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0380N\Desktop\"/>
    </mc:Choice>
  </mc:AlternateContent>
  <xr:revisionPtr revIDLastSave="0" documentId="8_{0A2F9608-EC19-4145-8F53-73E73CAC02C8}" xr6:coauthVersionLast="47" xr6:coauthVersionMax="47" xr10:uidLastSave="{00000000-0000-0000-0000-000000000000}"/>
  <bookViews>
    <workbookView xWindow="-108" yWindow="-108" windowWidth="23256" windowHeight="12456" xr2:uid="{B999FC1C-C706-4B5A-8DFC-FFD9384D703B}"/>
  </bookViews>
  <sheets>
    <sheet name="transmittal" sheetId="1" r:id="rId1"/>
    <sheet name="2026 mapping" sheetId="2" r:id="rId2"/>
    <sheet name="data source" sheetId="3" r:id="rId3"/>
  </sheets>
  <externalReferences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F7138" i="1" l="1"/>
  <c r="AE7138" i="1"/>
  <c r="AD7138" i="1"/>
  <c r="AC7138" i="1"/>
  <c r="AB7138" i="1"/>
  <c r="AA7138" i="1"/>
  <c r="AF7137" i="1"/>
  <c r="AE7137" i="1"/>
  <c r="AD7137" i="1"/>
  <c r="AC7137" i="1"/>
  <c r="AB7137" i="1"/>
  <c r="AA7137" i="1"/>
  <c r="AF7136" i="1"/>
  <c r="AE7136" i="1"/>
  <c r="AD7136" i="1"/>
  <c r="AC7136" i="1"/>
  <c r="AB7136" i="1"/>
  <c r="AA7136" i="1"/>
  <c r="AF7135" i="1"/>
  <c r="AE7135" i="1"/>
  <c r="AD7135" i="1"/>
  <c r="AC7135" i="1"/>
  <c r="AB7135" i="1"/>
  <c r="AA7135" i="1"/>
  <c r="AF7134" i="1"/>
  <c r="AE7134" i="1"/>
  <c r="AD7134" i="1"/>
  <c r="AC7134" i="1"/>
  <c r="AB7134" i="1"/>
  <c r="AA7134" i="1"/>
  <c r="AF7133" i="1"/>
  <c r="AE7133" i="1"/>
  <c r="AD7133" i="1"/>
  <c r="AC7133" i="1"/>
  <c r="AB7133" i="1"/>
  <c r="AA7133" i="1"/>
  <c r="AF7132" i="1"/>
  <c r="AE7132" i="1"/>
  <c r="AD7132" i="1"/>
  <c r="AC7132" i="1"/>
  <c r="AB7132" i="1"/>
  <c r="AA7132" i="1"/>
  <c r="AF7131" i="1"/>
  <c r="AE7131" i="1"/>
  <c r="AD7131" i="1"/>
  <c r="AC7131" i="1"/>
  <c r="AB7131" i="1"/>
  <c r="AA7131" i="1"/>
  <c r="AF7130" i="1"/>
  <c r="AE7130" i="1"/>
  <c r="AD7130" i="1"/>
  <c r="AC7130" i="1"/>
  <c r="AB7130" i="1"/>
  <c r="AA7130" i="1"/>
  <c r="AF7129" i="1"/>
  <c r="AE7129" i="1"/>
  <c r="AD7129" i="1"/>
  <c r="AC7129" i="1"/>
  <c r="AB7129" i="1"/>
  <c r="AA7129" i="1"/>
  <c r="AF7128" i="1"/>
  <c r="AE7128" i="1"/>
  <c r="AD7128" i="1"/>
  <c r="AC7128" i="1"/>
  <c r="AB7128" i="1"/>
  <c r="AA7128" i="1"/>
  <c r="AF7127" i="1"/>
  <c r="AE7127" i="1"/>
  <c r="AD7127" i="1"/>
  <c r="AC7127" i="1"/>
  <c r="AB7127" i="1"/>
  <c r="AA7127" i="1"/>
  <c r="AF7126" i="1"/>
  <c r="AE7126" i="1"/>
  <c r="AD7126" i="1"/>
  <c r="AC7126" i="1"/>
  <c r="AB7126" i="1"/>
  <c r="AA7126" i="1"/>
  <c r="AF7125" i="1"/>
  <c r="AE7125" i="1"/>
  <c r="AD7125" i="1"/>
  <c r="AC7125" i="1"/>
  <c r="AB7125" i="1"/>
  <c r="AA7125" i="1"/>
  <c r="AF7124" i="1"/>
  <c r="AE7124" i="1"/>
  <c r="AD7124" i="1"/>
  <c r="AC7124" i="1"/>
  <c r="AB7124" i="1"/>
  <c r="AA7124" i="1"/>
  <c r="AF7123" i="1"/>
  <c r="AE7123" i="1"/>
  <c r="AD7123" i="1"/>
  <c r="AC7123" i="1"/>
  <c r="AB7123" i="1"/>
  <c r="AA7123" i="1"/>
  <c r="AF7122" i="1"/>
  <c r="AE7122" i="1"/>
  <c r="AD7122" i="1"/>
  <c r="AC7122" i="1"/>
  <c r="AB7122" i="1"/>
  <c r="AA7122" i="1"/>
  <c r="AF7121" i="1"/>
  <c r="AE7121" i="1"/>
  <c r="AD7121" i="1"/>
  <c r="AC7121" i="1"/>
  <c r="AB7121" i="1"/>
  <c r="AA7121" i="1"/>
  <c r="AF7120" i="1"/>
  <c r="AE7120" i="1"/>
  <c r="AD7120" i="1"/>
  <c r="AC7120" i="1"/>
  <c r="AB7120" i="1"/>
  <c r="AA7120" i="1"/>
  <c r="AF7119" i="1"/>
  <c r="AE7119" i="1"/>
  <c r="AD7119" i="1"/>
  <c r="AC7119" i="1"/>
  <c r="AB7119" i="1"/>
  <c r="AA7119" i="1"/>
  <c r="AF7118" i="1"/>
  <c r="AE7118" i="1"/>
  <c r="AD7118" i="1"/>
  <c r="AC7118" i="1"/>
  <c r="AB7118" i="1"/>
  <c r="AA7118" i="1"/>
  <c r="AF7117" i="1"/>
  <c r="AE7117" i="1"/>
  <c r="AD7117" i="1"/>
  <c r="AC7117" i="1"/>
  <c r="AB7117" i="1"/>
  <c r="AA7117" i="1"/>
  <c r="AF7116" i="1"/>
  <c r="AE7116" i="1"/>
  <c r="AD7116" i="1"/>
  <c r="AC7116" i="1"/>
  <c r="AB7116" i="1"/>
  <c r="AA7116" i="1"/>
  <c r="AF7115" i="1"/>
  <c r="AE7115" i="1"/>
  <c r="AD7115" i="1"/>
  <c r="AC7115" i="1"/>
  <c r="AB7115" i="1"/>
  <c r="AA7115" i="1"/>
  <c r="AF7114" i="1"/>
  <c r="AE7114" i="1"/>
  <c r="AD7114" i="1"/>
  <c r="AC7114" i="1"/>
  <c r="AB7114" i="1"/>
  <c r="AA7114" i="1"/>
  <c r="AF7113" i="1"/>
  <c r="AE7113" i="1"/>
  <c r="AD7113" i="1"/>
  <c r="AC7113" i="1"/>
  <c r="AB7113" i="1"/>
  <c r="AA7113" i="1"/>
  <c r="AF7112" i="1"/>
  <c r="AE7112" i="1"/>
  <c r="AD7112" i="1"/>
  <c r="AC7112" i="1"/>
  <c r="AB7112" i="1"/>
  <c r="AA7112" i="1"/>
  <c r="AF7111" i="1"/>
  <c r="AE7111" i="1"/>
  <c r="AD7111" i="1"/>
  <c r="AC7111" i="1"/>
  <c r="AB7111" i="1"/>
  <c r="AA7111" i="1"/>
  <c r="AF7110" i="1"/>
  <c r="AE7110" i="1"/>
  <c r="AD7110" i="1"/>
  <c r="AC7110" i="1"/>
  <c r="AB7110" i="1"/>
  <c r="AA7110" i="1"/>
  <c r="AF7109" i="1"/>
  <c r="AE7109" i="1"/>
  <c r="AD7109" i="1"/>
  <c r="AC7109" i="1"/>
  <c r="AB7109" i="1"/>
  <c r="AA7109" i="1"/>
  <c r="AF7108" i="1"/>
  <c r="AE7108" i="1"/>
  <c r="AD7108" i="1"/>
  <c r="AC7108" i="1"/>
  <c r="AB7108" i="1"/>
  <c r="AA7108" i="1"/>
  <c r="AF7107" i="1"/>
  <c r="AE7107" i="1"/>
  <c r="AD7107" i="1"/>
  <c r="AC7107" i="1"/>
  <c r="AB7107" i="1"/>
  <c r="AA7107" i="1"/>
  <c r="AF7106" i="1"/>
  <c r="AE7106" i="1"/>
  <c r="AD7106" i="1"/>
  <c r="AC7106" i="1"/>
  <c r="AB7106" i="1"/>
  <c r="AA7106" i="1"/>
  <c r="AF7105" i="1"/>
  <c r="AE7105" i="1"/>
  <c r="AD7105" i="1"/>
  <c r="AC7105" i="1"/>
  <c r="AB7105" i="1"/>
  <c r="AA7105" i="1"/>
  <c r="AF7104" i="1"/>
  <c r="AE7104" i="1"/>
  <c r="AD7104" i="1"/>
  <c r="AC7104" i="1"/>
  <c r="AB7104" i="1"/>
  <c r="AA7104" i="1"/>
  <c r="AF7103" i="1"/>
  <c r="AE7103" i="1"/>
  <c r="AD7103" i="1"/>
  <c r="AC7103" i="1"/>
  <c r="AB7103" i="1"/>
  <c r="AA7103" i="1"/>
  <c r="AF7102" i="1"/>
  <c r="AE7102" i="1"/>
  <c r="AD7102" i="1"/>
  <c r="AC7102" i="1"/>
  <c r="AB7102" i="1"/>
  <c r="AA7102" i="1"/>
  <c r="AF7101" i="1"/>
  <c r="AE7101" i="1"/>
  <c r="AD7101" i="1"/>
  <c r="AC7101" i="1"/>
  <c r="AB7101" i="1"/>
  <c r="AA7101" i="1"/>
  <c r="AF7100" i="1"/>
  <c r="AE7100" i="1"/>
  <c r="AD7100" i="1"/>
  <c r="AC7100" i="1"/>
  <c r="AB7100" i="1"/>
  <c r="AA7100" i="1"/>
  <c r="AF7099" i="1"/>
  <c r="AE7099" i="1"/>
  <c r="AD7099" i="1"/>
  <c r="AC7099" i="1"/>
  <c r="AB7099" i="1"/>
  <c r="AA7099" i="1"/>
  <c r="AF7098" i="1"/>
  <c r="AE7098" i="1"/>
  <c r="AD7098" i="1"/>
  <c r="AC7098" i="1"/>
  <c r="AB7098" i="1"/>
  <c r="AA7098" i="1"/>
  <c r="AF7097" i="1"/>
  <c r="AE7097" i="1"/>
  <c r="AD7097" i="1"/>
  <c r="AC7097" i="1"/>
  <c r="AB7097" i="1"/>
  <c r="AA7097" i="1"/>
  <c r="AF7096" i="1"/>
  <c r="AE7096" i="1"/>
  <c r="AD7096" i="1"/>
  <c r="AC7096" i="1"/>
  <c r="AB7096" i="1"/>
  <c r="AA7096" i="1"/>
  <c r="AF7095" i="1"/>
  <c r="AE7095" i="1"/>
  <c r="AD7095" i="1"/>
  <c r="AC7095" i="1"/>
  <c r="AB7095" i="1"/>
  <c r="AA7095" i="1"/>
  <c r="AF7094" i="1"/>
  <c r="AE7094" i="1"/>
  <c r="AD7094" i="1"/>
  <c r="AC7094" i="1"/>
  <c r="AB7094" i="1"/>
  <c r="AA7094" i="1"/>
  <c r="AF7093" i="1"/>
  <c r="AE7093" i="1"/>
  <c r="AD7093" i="1"/>
  <c r="AC7093" i="1"/>
  <c r="AB7093" i="1"/>
  <c r="AA7093" i="1"/>
  <c r="AF7092" i="1"/>
  <c r="AE7092" i="1"/>
  <c r="AD7092" i="1"/>
  <c r="AC7092" i="1"/>
  <c r="AB7092" i="1"/>
  <c r="AA7092" i="1"/>
  <c r="AF7091" i="1"/>
  <c r="AE7091" i="1"/>
  <c r="AD7091" i="1"/>
  <c r="AC7091" i="1"/>
  <c r="AB7091" i="1"/>
  <c r="AA7091" i="1"/>
  <c r="AF7090" i="1"/>
  <c r="AE7090" i="1"/>
  <c r="AD7090" i="1"/>
  <c r="AC7090" i="1"/>
  <c r="AB7090" i="1"/>
  <c r="AA7090" i="1"/>
  <c r="AF7089" i="1"/>
  <c r="AE7089" i="1"/>
  <c r="AD7089" i="1"/>
  <c r="AC7089" i="1"/>
  <c r="AB7089" i="1"/>
  <c r="AA7089" i="1"/>
  <c r="AF7088" i="1"/>
  <c r="AE7088" i="1"/>
  <c r="AD7088" i="1"/>
  <c r="AC7088" i="1"/>
  <c r="AB7088" i="1"/>
  <c r="AA7088" i="1"/>
  <c r="AF7087" i="1"/>
  <c r="AE7087" i="1"/>
  <c r="AD7087" i="1"/>
  <c r="AC7087" i="1"/>
  <c r="AB7087" i="1"/>
  <c r="AA7087" i="1"/>
  <c r="AF7086" i="1"/>
  <c r="AE7086" i="1"/>
  <c r="AD7086" i="1"/>
  <c r="AC7086" i="1"/>
  <c r="AB7086" i="1"/>
  <c r="AA7086" i="1"/>
  <c r="AF7085" i="1"/>
  <c r="AE7085" i="1"/>
  <c r="AD7085" i="1"/>
  <c r="AC7085" i="1"/>
  <c r="AB7085" i="1"/>
  <c r="AA7085" i="1"/>
  <c r="AF7084" i="1"/>
  <c r="AE7084" i="1"/>
  <c r="AD7084" i="1"/>
  <c r="AC7084" i="1"/>
  <c r="AB7084" i="1"/>
  <c r="AA7084" i="1"/>
  <c r="AF7083" i="1"/>
  <c r="AE7083" i="1"/>
  <c r="AD7083" i="1"/>
  <c r="AC7083" i="1"/>
  <c r="AB7083" i="1"/>
  <c r="AA7083" i="1"/>
  <c r="AF7082" i="1"/>
  <c r="AE7082" i="1"/>
  <c r="AD7082" i="1"/>
  <c r="AC7082" i="1"/>
  <c r="AB7082" i="1"/>
  <c r="AA7082" i="1"/>
  <c r="AF7081" i="1"/>
  <c r="AE7081" i="1"/>
  <c r="AD7081" i="1"/>
  <c r="AC7081" i="1"/>
  <c r="AB7081" i="1"/>
  <c r="AA7081" i="1"/>
  <c r="AF7080" i="1"/>
  <c r="AE7080" i="1"/>
  <c r="AD7080" i="1"/>
  <c r="AC7080" i="1"/>
  <c r="AB7080" i="1"/>
  <c r="AA7080" i="1"/>
  <c r="AF7079" i="1"/>
  <c r="AE7079" i="1"/>
  <c r="AD7079" i="1"/>
  <c r="AC7079" i="1"/>
  <c r="AB7079" i="1"/>
  <c r="AA7079" i="1"/>
  <c r="AF7078" i="1"/>
  <c r="AE7078" i="1"/>
  <c r="AD7078" i="1"/>
  <c r="AC7078" i="1"/>
  <c r="AB7078" i="1"/>
  <c r="AA7078" i="1"/>
  <c r="AF7077" i="1"/>
  <c r="AE7077" i="1"/>
  <c r="AD7077" i="1"/>
  <c r="AC7077" i="1"/>
  <c r="AB7077" i="1"/>
  <c r="AA7077" i="1"/>
  <c r="AF7076" i="1"/>
  <c r="AE7076" i="1"/>
  <c r="AD7076" i="1"/>
  <c r="AC7076" i="1"/>
  <c r="AB7076" i="1"/>
  <c r="AA7076" i="1"/>
  <c r="AF7075" i="1"/>
  <c r="AE7075" i="1"/>
  <c r="AD7075" i="1"/>
  <c r="AC7075" i="1"/>
  <c r="AB7075" i="1"/>
  <c r="AA7075" i="1"/>
  <c r="AF7074" i="1"/>
  <c r="AE7074" i="1"/>
  <c r="AD7074" i="1"/>
  <c r="AC7074" i="1"/>
  <c r="AB7074" i="1"/>
  <c r="AA7074" i="1"/>
  <c r="AF7073" i="1"/>
  <c r="AE7073" i="1"/>
  <c r="AD7073" i="1"/>
  <c r="AC7073" i="1"/>
  <c r="AB7073" i="1"/>
  <c r="AA7073" i="1"/>
  <c r="AF7072" i="1"/>
  <c r="AE7072" i="1"/>
  <c r="AD7072" i="1"/>
  <c r="AC7072" i="1"/>
  <c r="AB7072" i="1"/>
  <c r="AA7072" i="1"/>
  <c r="AF7071" i="1"/>
  <c r="AE7071" i="1"/>
  <c r="AD7071" i="1"/>
  <c r="AC7071" i="1"/>
  <c r="AB7071" i="1"/>
  <c r="AA7071" i="1"/>
  <c r="AF7070" i="1"/>
  <c r="AE7070" i="1"/>
  <c r="AD7070" i="1"/>
  <c r="AC7070" i="1"/>
  <c r="AB7070" i="1"/>
  <c r="AA7070" i="1"/>
  <c r="AF7069" i="1"/>
  <c r="AE7069" i="1"/>
  <c r="AD7069" i="1"/>
  <c r="AC7069" i="1"/>
  <c r="AB7069" i="1"/>
  <c r="AA7069" i="1"/>
  <c r="AF7068" i="1"/>
  <c r="AE7068" i="1"/>
  <c r="AD7068" i="1"/>
  <c r="AC7068" i="1"/>
  <c r="AB7068" i="1"/>
  <c r="AA7068" i="1"/>
  <c r="AF7067" i="1"/>
  <c r="AE7067" i="1"/>
  <c r="AD7067" i="1"/>
  <c r="AC7067" i="1"/>
  <c r="AB7067" i="1"/>
  <c r="AA7067" i="1"/>
  <c r="AF7066" i="1"/>
  <c r="AE7066" i="1"/>
  <c r="AD7066" i="1"/>
  <c r="AC7066" i="1"/>
  <c r="AB7066" i="1"/>
  <c r="AA7066" i="1"/>
  <c r="AF7065" i="1"/>
  <c r="AE7065" i="1"/>
  <c r="AD7065" i="1"/>
  <c r="AC7065" i="1"/>
  <c r="AB7065" i="1"/>
  <c r="AA7065" i="1"/>
  <c r="AF7064" i="1"/>
  <c r="AE7064" i="1"/>
  <c r="AD7064" i="1"/>
  <c r="AC7064" i="1"/>
  <c r="AB7064" i="1"/>
  <c r="AA7064" i="1"/>
  <c r="AF7063" i="1"/>
  <c r="AE7063" i="1"/>
  <c r="AD7063" i="1"/>
  <c r="AC7063" i="1"/>
  <c r="AB7063" i="1"/>
  <c r="AA7063" i="1"/>
  <c r="AF7062" i="1"/>
  <c r="AE7062" i="1"/>
  <c r="AD7062" i="1"/>
  <c r="AC7062" i="1"/>
  <c r="AB7062" i="1"/>
  <c r="AA7062" i="1"/>
  <c r="AF7061" i="1"/>
  <c r="AE7061" i="1"/>
  <c r="AD7061" i="1"/>
  <c r="AC7061" i="1"/>
  <c r="AB7061" i="1"/>
  <c r="AA7061" i="1"/>
  <c r="AF7060" i="1"/>
  <c r="AE7060" i="1"/>
  <c r="AD7060" i="1"/>
  <c r="AC7060" i="1"/>
  <c r="AB7060" i="1"/>
  <c r="AA7060" i="1"/>
  <c r="AF7059" i="1"/>
  <c r="AE7059" i="1"/>
  <c r="AD7059" i="1"/>
  <c r="AC7059" i="1"/>
  <c r="AB7059" i="1"/>
  <c r="AA7059" i="1"/>
  <c r="AF7058" i="1"/>
  <c r="AE7058" i="1"/>
  <c r="AD7058" i="1"/>
  <c r="AC7058" i="1"/>
  <c r="AB7058" i="1"/>
  <c r="AA7058" i="1"/>
  <c r="AF7057" i="1"/>
  <c r="AE7057" i="1"/>
  <c r="AD7057" i="1"/>
  <c r="AC7057" i="1"/>
  <c r="AB7057" i="1"/>
  <c r="AA7057" i="1"/>
  <c r="AF7056" i="1"/>
  <c r="AE7056" i="1"/>
  <c r="AD7056" i="1"/>
  <c r="AC7056" i="1"/>
  <c r="AB7056" i="1"/>
  <c r="AA7056" i="1"/>
  <c r="AF7055" i="1"/>
  <c r="AE7055" i="1"/>
  <c r="AD7055" i="1"/>
  <c r="AC7055" i="1"/>
  <c r="AB7055" i="1"/>
  <c r="AA7055" i="1"/>
  <c r="AF7054" i="1"/>
  <c r="AE7054" i="1"/>
  <c r="AD7054" i="1"/>
  <c r="AC7054" i="1"/>
  <c r="AB7054" i="1"/>
  <c r="AA7054" i="1"/>
  <c r="AF7053" i="1"/>
  <c r="AE7053" i="1"/>
  <c r="AD7053" i="1"/>
  <c r="AC7053" i="1"/>
  <c r="AB7053" i="1"/>
  <c r="AA7053" i="1"/>
  <c r="AF7052" i="1"/>
  <c r="AE7052" i="1"/>
  <c r="AD7052" i="1"/>
  <c r="AC7052" i="1"/>
  <c r="AB7052" i="1"/>
  <c r="AA7052" i="1"/>
  <c r="AF7051" i="1"/>
  <c r="AE7051" i="1"/>
  <c r="AD7051" i="1"/>
  <c r="AC7051" i="1"/>
  <c r="AB7051" i="1"/>
  <c r="AA7051" i="1"/>
  <c r="AF7050" i="1"/>
  <c r="AE7050" i="1"/>
  <c r="AD7050" i="1"/>
  <c r="AC7050" i="1"/>
  <c r="AB7050" i="1"/>
  <c r="AA7050" i="1"/>
  <c r="AF7049" i="1"/>
  <c r="AE7049" i="1"/>
  <c r="AD7049" i="1"/>
  <c r="AC7049" i="1"/>
  <c r="AB7049" i="1"/>
  <c r="AA7049" i="1"/>
  <c r="AF7048" i="1"/>
  <c r="AE7048" i="1"/>
  <c r="AD7048" i="1"/>
  <c r="AC7048" i="1"/>
  <c r="AB7048" i="1"/>
  <c r="AA7048" i="1"/>
  <c r="AF7047" i="1"/>
  <c r="AE7047" i="1"/>
  <c r="AD7047" i="1"/>
  <c r="AC7047" i="1"/>
  <c r="AB7047" i="1"/>
  <c r="AA7047" i="1"/>
  <c r="AF7046" i="1"/>
  <c r="AE7046" i="1"/>
  <c r="AD7046" i="1"/>
  <c r="AC7046" i="1"/>
  <c r="AB7046" i="1"/>
  <c r="AA7046" i="1"/>
  <c r="AF7045" i="1"/>
  <c r="AE7045" i="1"/>
  <c r="AD7045" i="1"/>
  <c r="AC7045" i="1"/>
  <c r="AB7045" i="1"/>
  <c r="AA7045" i="1"/>
  <c r="AF7044" i="1"/>
  <c r="AE7044" i="1"/>
  <c r="AD7044" i="1"/>
  <c r="AC7044" i="1"/>
  <c r="AB7044" i="1"/>
  <c r="AA7044" i="1"/>
  <c r="AF7043" i="1"/>
  <c r="AE7043" i="1"/>
  <c r="AD7043" i="1"/>
  <c r="AC7043" i="1"/>
  <c r="AB7043" i="1"/>
  <c r="AA7043" i="1"/>
  <c r="AF7042" i="1"/>
  <c r="AE7042" i="1"/>
  <c r="AD7042" i="1"/>
  <c r="AC7042" i="1"/>
  <c r="AB7042" i="1"/>
  <c r="AA7042" i="1"/>
  <c r="AF7041" i="1"/>
  <c r="AE7041" i="1"/>
  <c r="AD7041" i="1"/>
  <c r="AC7041" i="1"/>
  <c r="AB7041" i="1"/>
  <c r="AA7041" i="1"/>
  <c r="AF7040" i="1"/>
  <c r="AE7040" i="1"/>
  <c r="AD7040" i="1"/>
  <c r="AC7040" i="1"/>
  <c r="AB7040" i="1"/>
  <c r="AA7040" i="1"/>
  <c r="AF7039" i="1"/>
  <c r="AE7039" i="1"/>
  <c r="AD7039" i="1"/>
  <c r="AC7039" i="1"/>
  <c r="AB7039" i="1"/>
  <c r="AA7039" i="1"/>
  <c r="AF7038" i="1"/>
  <c r="AE7038" i="1"/>
  <c r="AD7038" i="1"/>
  <c r="AC7038" i="1"/>
  <c r="AB7038" i="1"/>
  <c r="AA7038" i="1"/>
  <c r="AF7037" i="1"/>
  <c r="AE7037" i="1"/>
  <c r="AD7037" i="1"/>
  <c r="AC7037" i="1"/>
  <c r="AB7037" i="1"/>
  <c r="AA7037" i="1"/>
  <c r="AF7036" i="1"/>
  <c r="AE7036" i="1"/>
  <c r="AD7036" i="1"/>
  <c r="AC7036" i="1"/>
  <c r="AB7036" i="1"/>
  <c r="AA7036" i="1"/>
  <c r="AF7035" i="1"/>
  <c r="AE7035" i="1"/>
  <c r="AD7035" i="1"/>
  <c r="AC7035" i="1"/>
  <c r="AB7035" i="1"/>
  <c r="AA7035" i="1"/>
  <c r="AF7034" i="1"/>
  <c r="AE7034" i="1"/>
  <c r="AD7034" i="1"/>
  <c r="AC7034" i="1"/>
  <c r="AB7034" i="1"/>
  <c r="AA7034" i="1"/>
  <c r="AF7033" i="1"/>
  <c r="AE7033" i="1"/>
  <c r="AD7033" i="1"/>
  <c r="AC7033" i="1"/>
  <c r="AB7033" i="1"/>
  <c r="AA7033" i="1"/>
  <c r="AF7032" i="1"/>
  <c r="AE7032" i="1"/>
  <c r="AD7032" i="1"/>
  <c r="AC7032" i="1"/>
  <c r="AB7032" i="1"/>
  <c r="AA7032" i="1"/>
  <c r="AF7031" i="1"/>
  <c r="AE7031" i="1"/>
  <c r="AD7031" i="1"/>
  <c r="AC7031" i="1"/>
  <c r="AB7031" i="1"/>
  <c r="AA7031" i="1"/>
  <c r="AF7030" i="1"/>
  <c r="AE7030" i="1"/>
  <c r="AD7030" i="1"/>
  <c r="AC7030" i="1"/>
  <c r="AB7030" i="1"/>
  <c r="AA7030" i="1"/>
  <c r="AF7029" i="1"/>
  <c r="AE7029" i="1"/>
  <c r="AD7029" i="1"/>
  <c r="AC7029" i="1"/>
  <c r="AB7029" i="1"/>
  <c r="AA7029" i="1"/>
  <c r="AF7028" i="1"/>
  <c r="AE7028" i="1"/>
  <c r="AD7028" i="1"/>
  <c r="AC7028" i="1"/>
  <c r="AB7028" i="1"/>
  <c r="AA7028" i="1"/>
  <c r="AF7027" i="1"/>
  <c r="AE7027" i="1"/>
  <c r="AD7027" i="1"/>
  <c r="AC7027" i="1"/>
  <c r="AB7027" i="1"/>
  <c r="AA7027" i="1"/>
  <c r="AF7026" i="1"/>
  <c r="AE7026" i="1"/>
  <c r="AD7026" i="1"/>
  <c r="AC7026" i="1"/>
  <c r="AB7026" i="1"/>
  <c r="AA7026" i="1"/>
  <c r="AF7025" i="1"/>
  <c r="AE7025" i="1"/>
  <c r="AD7025" i="1"/>
  <c r="AC7025" i="1"/>
  <c r="AB7025" i="1"/>
  <c r="AA7025" i="1"/>
  <c r="AF7024" i="1"/>
  <c r="AE7024" i="1"/>
  <c r="AD7024" i="1"/>
  <c r="AC7024" i="1"/>
  <c r="AB7024" i="1"/>
  <c r="AA7024" i="1"/>
  <c r="AF7023" i="1"/>
  <c r="AE7023" i="1"/>
  <c r="AD7023" i="1"/>
  <c r="AC7023" i="1"/>
  <c r="AB7023" i="1"/>
  <c r="AA7023" i="1"/>
  <c r="AF7022" i="1"/>
  <c r="AE7022" i="1"/>
  <c r="AD7022" i="1"/>
  <c r="AC7022" i="1"/>
  <c r="AB7022" i="1"/>
  <c r="AA7022" i="1"/>
  <c r="AF7021" i="1"/>
  <c r="AE7021" i="1"/>
  <c r="AD7021" i="1"/>
  <c r="AC7021" i="1"/>
  <c r="AB7021" i="1"/>
  <c r="AA7021" i="1"/>
  <c r="AF7020" i="1"/>
  <c r="AE7020" i="1"/>
  <c r="AD7020" i="1"/>
  <c r="AC7020" i="1"/>
  <c r="AB7020" i="1"/>
  <c r="AA7020" i="1"/>
  <c r="AF7019" i="1"/>
  <c r="AE7019" i="1"/>
  <c r="AD7019" i="1"/>
  <c r="AC7019" i="1"/>
  <c r="AB7019" i="1"/>
  <c r="AA7019" i="1"/>
  <c r="AF7018" i="1"/>
  <c r="AE7018" i="1"/>
  <c r="AD7018" i="1"/>
  <c r="AC7018" i="1"/>
  <c r="AB7018" i="1"/>
  <c r="AA7018" i="1"/>
  <c r="AF7017" i="1"/>
  <c r="AE7017" i="1"/>
  <c r="AD7017" i="1"/>
  <c r="AC7017" i="1"/>
  <c r="AB7017" i="1"/>
  <c r="AA7017" i="1"/>
  <c r="AF7016" i="1"/>
  <c r="AE7016" i="1"/>
  <c r="AD7016" i="1"/>
  <c r="AC7016" i="1"/>
  <c r="AB7016" i="1"/>
  <c r="AA7016" i="1"/>
  <c r="AF7015" i="1"/>
  <c r="AE7015" i="1"/>
  <c r="AD7015" i="1"/>
  <c r="AC7015" i="1"/>
  <c r="AB7015" i="1"/>
  <c r="AA7015" i="1"/>
  <c r="AF7014" i="1"/>
  <c r="AE7014" i="1"/>
  <c r="AD7014" i="1"/>
  <c r="AC7014" i="1"/>
  <c r="AB7014" i="1"/>
  <c r="AA7014" i="1"/>
  <c r="AF7013" i="1"/>
  <c r="AE7013" i="1"/>
  <c r="AD7013" i="1"/>
  <c r="AC7013" i="1"/>
  <c r="AB7013" i="1"/>
  <c r="AA7013" i="1"/>
  <c r="AF7012" i="1"/>
  <c r="AE7012" i="1"/>
  <c r="AD7012" i="1"/>
  <c r="AC7012" i="1"/>
  <c r="AB7012" i="1"/>
  <c r="AA7012" i="1"/>
  <c r="AF7011" i="1"/>
  <c r="AE7011" i="1"/>
  <c r="AD7011" i="1"/>
  <c r="AC7011" i="1"/>
  <c r="AB7011" i="1"/>
  <c r="AA7011" i="1"/>
  <c r="AF7010" i="1"/>
  <c r="AE7010" i="1"/>
  <c r="AD7010" i="1"/>
  <c r="AC7010" i="1"/>
  <c r="AB7010" i="1"/>
  <c r="AA7010" i="1"/>
  <c r="AF7009" i="1"/>
  <c r="AE7009" i="1"/>
  <c r="AD7009" i="1"/>
  <c r="AC7009" i="1"/>
  <c r="AB7009" i="1"/>
  <c r="AA7009" i="1"/>
  <c r="AF7008" i="1"/>
  <c r="AE7008" i="1"/>
  <c r="AD7008" i="1"/>
  <c r="AC7008" i="1"/>
  <c r="AB7008" i="1"/>
  <c r="AA7008" i="1"/>
  <c r="AF7007" i="1"/>
  <c r="AE7007" i="1"/>
  <c r="AD7007" i="1"/>
  <c r="AC7007" i="1"/>
  <c r="AB7007" i="1"/>
  <c r="AA7007" i="1"/>
  <c r="AF7006" i="1"/>
  <c r="AE7006" i="1"/>
  <c r="AD7006" i="1"/>
  <c r="AC7006" i="1"/>
  <c r="AB7006" i="1"/>
  <c r="AA7006" i="1"/>
  <c r="AF7005" i="1"/>
  <c r="AE7005" i="1"/>
  <c r="AD7005" i="1"/>
  <c r="AC7005" i="1"/>
  <c r="AB7005" i="1"/>
  <c r="AA7005" i="1"/>
  <c r="AF7004" i="1"/>
  <c r="AE7004" i="1"/>
  <c r="AD7004" i="1"/>
  <c r="AC7004" i="1"/>
  <c r="AB7004" i="1"/>
  <c r="AA7004" i="1"/>
  <c r="AF7003" i="1"/>
  <c r="AE7003" i="1"/>
  <c r="AD7003" i="1"/>
  <c r="AC7003" i="1"/>
  <c r="AB7003" i="1"/>
  <c r="AA7003" i="1"/>
  <c r="AF7002" i="1"/>
  <c r="AE7002" i="1"/>
  <c r="AD7002" i="1"/>
  <c r="AC7002" i="1"/>
  <c r="AB7002" i="1"/>
  <c r="AA7002" i="1"/>
  <c r="AF7001" i="1"/>
  <c r="AE7001" i="1"/>
  <c r="AD7001" i="1"/>
  <c r="AC7001" i="1"/>
  <c r="AB7001" i="1"/>
  <c r="AA7001" i="1"/>
  <c r="AF7000" i="1"/>
  <c r="AE7000" i="1"/>
  <c r="AD7000" i="1"/>
  <c r="AC7000" i="1"/>
  <c r="AB7000" i="1"/>
  <c r="AA7000" i="1"/>
  <c r="AF6999" i="1"/>
  <c r="AE6999" i="1"/>
  <c r="AD6999" i="1"/>
  <c r="AC6999" i="1"/>
  <c r="AB6999" i="1"/>
  <c r="AA6999" i="1"/>
  <c r="AF6998" i="1"/>
  <c r="AE6998" i="1"/>
  <c r="AD6998" i="1"/>
  <c r="AC6998" i="1"/>
  <c r="AB6998" i="1"/>
  <c r="AA6998" i="1"/>
  <c r="AF6997" i="1"/>
  <c r="AE6997" i="1"/>
  <c r="AD6997" i="1"/>
  <c r="AC6997" i="1"/>
  <c r="AB6997" i="1"/>
  <c r="AA6997" i="1"/>
  <c r="AF6996" i="1"/>
  <c r="AE6996" i="1"/>
  <c r="AD6996" i="1"/>
  <c r="AC6996" i="1"/>
  <c r="AB6996" i="1"/>
  <c r="AA6996" i="1"/>
  <c r="AF6995" i="1"/>
  <c r="AE6995" i="1"/>
  <c r="AD6995" i="1"/>
  <c r="AC6995" i="1"/>
  <c r="AB6995" i="1"/>
  <c r="AA6995" i="1"/>
  <c r="AF6994" i="1"/>
  <c r="AE6994" i="1"/>
  <c r="AD6994" i="1"/>
  <c r="AC6994" i="1"/>
  <c r="AB6994" i="1"/>
  <c r="AA6994" i="1"/>
  <c r="AF6993" i="1"/>
  <c r="AE6993" i="1"/>
  <c r="AD6993" i="1"/>
  <c r="AC6993" i="1"/>
  <c r="AB6993" i="1"/>
  <c r="AA6993" i="1"/>
  <c r="AF6992" i="1"/>
  <c r="AE6992" i="1"/>
  <c r="AD6992" i="1"/>
  <c r="AC6992" i="1"/>
  <c r="AB6992" i="1"/>
  <c r="AA6992" i="1"/>
  <c r="AF6991" i="1"/>
  <c r="AE6991" i="1"/>
  <c r="AD6991" i="1"/>
  <c r="AC6991" i="1"/>
  <c r="AB6991" i="1"/>
  <c r="AA6991" i="1"/>
  <c r="AF6990" i="1"/>
  <c r="AE6990" i="1"/>
  <c r="AD6990" i="1"/>
  <c r="AC6990" i="1"/>
  <c r="AB6990" i="1"/>
  <c r="AA6990" i="1"/>
  <c r="AF6989" i="1"/>
  <c r="AE6989" i="1"/>
  <c r="AD6989" i="1"/>
  <c r="AC6989" i="1"/>
  <c r="AB6989" i="1"/>
  <c r="AA6989" i="1"/>
  <c r="AF6988" i="1"/>
  <c r="AE6988" i="1"/>
  <c r="AD6988" i="1"/>
  <c r="AC6988" i="1"/>
  <c r="AB6988" i="1"/>
  <c r="AA6988" i="1"/>
  <c r="AF6987" i="1"/>
  <c r="AE6987" i="1"/>
  <c r="AD6987" i="1"/>
  <c r="AC6987" i="1"/>
  <c r="AB6987" i="1"/>
  <c r="AA6987" i="1"/>
  <c r="AF6986" i="1"/>
  <c r="AE6986" i="1"/>
  <c r="AD6986" i="1"/>
  <c r="AC6986" i="1"/>
  <c r="AB6986" i="1"/>
  <c r="AA6986" i="1"/>
  <c r="AF6985" i="1"/>
  <c r="AE6985" i="1"/>
  <c r="AD6985" i="1"/>
  <c r="AC6985" i="1"/>
  <c r="AB6985" i="1"/>
  <c r="AA6985" i="1"/>
  <c r="AF6984" i="1"/>
  <c r="AE6984" i="1"/>
  <c r="AD6984" i="1"/>
  <c r="AC6984" i="1"/>
  <c r="AB6984" i="1"/>
  <c r="AA6984" i="1"/>
  <c r="AF6983" i="1"/>
  <c r="AE6983" i="1"/>
  <c r="AD6983" i="1"/>
  <c r="AC6983" i="1"/>
  <c r="AB6983" i="1"/>
  <c r="AA6983" i="1"/>
  <c r="AF6982" i="1"/>
  <c r="AE6982" i="1"/>
  <c r="AD6982" i="1"/>
  <c r="AC6982" i="1"/>
  <c r="AB6982" i="1"/>
  <c r="AA6982" i="1"/>
  <c r="AF6981" i="1"/>
  <c r="AE6981" i="1"/>
  <c r="AD6981" i="1"/>
  <c r="AC6981" i="1"/>
  <c r="AB6981" i="1"/>
  <c r="AA6981" i="1"/>
  <c r="AF6980" i="1"/>
  <c r="AE6980" i="1"/>
  <c r="AD6980" i="1"/>
  <c r="AC6980" i="1"/>
  <c r="AB6980" i="1"/>
  <c r="AA6980" i="1"/>
  <c r="AF6979" i="1"/>
  <c r="AE6979" i="1"/>
  <c r="AD6979" i="1"/>
  <c r="AC6979" i="1"/>
  <c r="AB6979" i="1"/>
  <c r="AA6979" i="1"/>
  <c r="AF6978" i="1"/>
  <c r="AE6978" i="1"/>
  <c r="AD6978" i="1"/>
  <c r="AC6978" i="1"/>
  <c r="AB6978" i="1"/>
  <c r="AA6978" i="1"/>
  <c r="AF6977" i="1"/>
  <c r="AE6977" i="1"/>
  <c r="AD6977" i="1"/>
  <c r="AC6977" i="1"/>
  <c r="AB6977" i="1"/>
  <c r="AA6977" i="1"/>
  <c r="AF6976" i="1"/>
  <c r="AE6976" i="1"/>
  <c r="AD6976" i="1"/>
  <c r="AC6976" i="1"/>
  <c r="AB6976" i="1"/>
  <c r="AA6976" i="1"/>
  <c r="AF6975" i="1"/>
  <c r="AE6975" i="1"/>
  <c r="AD6975" i="1"/>
  <c r="AC6975" i="1"/>
  <c r="AB6975" i="1"/>
  <c r="AA6975" i="1"/>
  <c r="AF6974" i="1"/>
  <c r="AE6974" i="1"/>
  <c r="AD6974" i="1"/>
  <c r="AC6974" i="1"/>
  <c r="AB6974" i="1"/>
  <c r="AA6974" i="1"/>
  <c r="AF6973" i="1"/>
  <c r="AE6973" i="1"/>
  <c r="AD6973" i="1"/>
  <c r="AC6973" i="1"/>
  <c r="AB6973" i="1"/>
  <c r="AA6973" i="1"/>
  <c r="AF6972" i="1"/>
  <c r="AE6972" i="1"/>
  <c r="AD6972" i="1"/>
  <c r="AC6972" i="1"/>
  <c r="AB6972" i="1"/>
  <c r="AA6972" i="1"/>
  <c r="AF6971" i="1"/>
  <c r="AE6971" i="1"/>
  <c r="AD6971" i="1"/>
  <c r="AC6971" i="1"/>
  <c r="AB6971" i="1"/>
  <c r="AA6971" i="1"/>
  <c r="AF6970" i="1"/>
  <c r="AE6970" i="1"/>
  <c r="AD6970" i="1"/>
  <c r="AC6970" i="1"/>
  <c r="AB6970" i="1"/>
  <c r="AA6970" i="1"/>
  <c r="AF6969" i="1"/>
  <c r="AE6969" i="1"/>
  <c r="AD6969" i="1"/>
  <c r="AC6969" i="1"/>
  <c r="AB6969" i="1"/>
  <c r="AA6969" i="1"/>
  <c r="AF6968" i="1"/>
  <c r="AE6968" i="1"/>
  <c r="AD6968" i="1"/>
  <c r="AC6968" i="1"/>
  <c r="AB6968" i="1"/>
  <c r="AA6968" i="1"/>
  <c r="AF6967" i="1"/>
  <c r="AE6967" i="1"/>
  <c r="AD6967" i="1"/>
  <c r="AC6967" i="1"/>
  <c r="AB6967" i="1"/>
  <c r="AA6967" i="1"/>
  <c r="AF6966" i="1"/>
  <c r="AE6966" i="1"/>
  <c r="AD6966" i="1"/>
  <c r="AC6966" i="1"/>
  <c r="AB6966" i="1"/>
  <c r="AA6966" i="1"/>
  <c r="AF6965" i="1"/>
  <c r="AE6965" i="1"/>
  <c r="AD6965" i="1"/>
  <c r="AC6965" i="1"/>
  <c r="AB6965" i="1"/>
  <c r="AA6965" i="1"/>
  <c r="AF6964" i="1"/>
  <c r="AE6964" i="1"/>
  <c r="AD6964" i="1"/>
  <c r="AC6964" i="1"/>
  <c r="AB6964" i="1"/>
  <c r="AA6964" i="1"/>
  <c r="AF6963" i="1"/>
  <c r="AE6963" i="1"/>
  <c r="AD6963" i="1"/>
  <c r="AC6963" i="1"/>
  <c r="AB6963" i="1"/>
  <c r="AA6963" i="1"/>
  <c r="AF6962" i="1"/>
  <c r="AE6962" i="1"/>
  <c r="AD6962" i="1"/>
  <c r="AC6962" i="1"/>
  <c r="AB6962" i="1"/>
  <c r="AA6962" i="1"/>
  <c r="AF6961" i="1"/>
  <c r="AE6961" i="1"/>
  <c r="AD6961" i="1"/>
  <c r="AC6961" i="1"/>
  <c r="AB6961" i="1"/>
  <c r="AA6961" i="1"/>
  <c r="AF6960" i="1"/>
  <c r="AE6960" i="1"/>
  <c r="AD6960" i="1"/>
  <c r="AC6960" i="1"/>
  <c r="AB6960" i="1"/>
  <c r="AA6960" i="1"/>
  <c r="AF6959" i="1"/>
  <c r="AE6959" i="1"/>
  <c r="AD6959" i="1"/>
  <c r="AC6959" i="1"/>
  <c r="AB6959" i="1"/>
  <c r="AA6959" i="1"/>
  <c r="AF6958" i="1"/>
  <c r="AE6958" i="1"/>
  <c r="AD6958" i="1"/>
  <c r="AC6958" i="1"/>
  <c r="AB6958" i="1"/>
  <c r="AA6958" i="1"/>
  <c r="AF6957" i="1"/>
  <c r="AE6957" i="1"/>
  <c r="AD6957" i="1"/>
  <c r="AC6957" i="1"/>
  <c r="AB6957" i="1"/>
  <c r="AA6957" i="1"/>
  <c r="AF6956" i="1"/>
  <c r="AE6956" i="1"/>
  <c r="AD6956" i="1"/>
  <c r="AC6956" i="1"/>
  <c r="AB6956" i="1"/>
  <c r="AA6956" i="1"/>
  <c r="AF6955" i="1"/>
  <c r="AE6955" i="1"/>
  <c r="AD6955" i="1"/>
  <c r="AC6955" i="1"/>
  <c r="AB6955" i="1"/>
  <c r="AA6955" i="1"/>
  <c r="AF6954" i="1"/>
  <c r="AE6954" i="1"/>
  <c r="AD6954" i="1"/>
  <c r="AC6954" i="1"/>
  <c r="AB6954" i="1"/>
  <c r="AA6954" i="1"/>
  <c r="AF6953" i="1"/>
  <c r="AE6953" i="1"/>
  <c r="AD6953" i="1"/>
  <c r="AC6953" i="1"/>
  <c r="AB6953" i="1"/>
  <c r="AA6953" i="1"/>
  <c r="AF6952" i="1"/>
  <c r="AE6952" i="1"/>
  <c r="AD6952" i="1"/>
  <c r="AC6952" i="1"/>
  <c r="AB6952" i="1"/>
  <c r="AA6952" i="1"/>
  <c r="AF6951" i="1"/>
  <c r="AE6951" i="1"/>
  <c r="AD6951" i="1"/>
  <c r="AC6951" i="1"/>
  <c r="AB6951" i="1"/>
  <c r="AA6951" i="1"/>
  <c r="AF6950" i="1"/>
  <c r="AE6950" i="1"/>
  <c r="AD6950" i="1"/>
  <c r="AC6950" i="1"/>
  <c r="AB6950" i="1"/>
  <c r="AA6950" i="1"/>
  <c r="AF6949" i="1"/>
  <c r="AE6949" i="1"/>
  <c r="AD6949" i="1"/>
  <c r="AC6949" i="1"/>
  <c r="AB6949" i="1"/>
  <c r="AA6949" i="1"/>
  <c r="AF6948" i="1"/>
  <c r="AE6948" i="1"/>
  <c r="AD6948" i="1"/>
  <c r="AC6948" i="1"/>
  <c r="AB6948" i="1"/>
  <c r="AA6948" i="1"/>
  <c r="AF6947" i="1"/>
  <c r="AE6947" i="1"/>
  <c r="AD6947" i="1"/>
  <c r="AC6947" i="1"/>
  <c r="AB6947" i="1"/>
  <c r="AA6947" i="1"/>
  <c r="AF6946" i="1"/>
  <c r="AE6946" i="1"/>
  <c r="AD6946" i="1"/>
  <c r="AC6946" i="1"/>
  <c r="AB6946" i="1"/>
  <c r="AA6946" i="1"/>
  <c r="AF6945" i="1"/>
  <c r="AE6945" i="1"/>
  <c r="AD6945" i="1"/>
  <c r="AC6945" i="1"/>
  <c r="AB6945" i="1"/>
  <c r="AA6945" i="1"/>
  <c r="AF6944" i="1"/>
  <c r="AE6944" i="1"/>
  <c r="AD6944" i="1"/>
  <c r="AC6944" i="1"/>
  <c r="AB6944" i="1"/>
  <c r="AA6944" i="1"/>
  <c r="AF6943" i="1"/>
  <c r="AE6943" i="1"/>
  <c r="AD6943" i="1"/>
  <c r="AC6943" i="1"/>
  <c r="AB6943" i="1"/>
  <c r="AA6943" i="1"/>
  <c r="AF6942" i="1"/>
  <c r="AE6942" i="1"/>
  <c r="AD6942" i="1"/>
  <c r="AC6942" i="1"/>
  <c r="AB6942" i="1"/>
  <c r="AA6942" i="1"/>
  <c r="AF6941" i="1"/>
  <c r="AE6941" i="1"/>
  <c r="AD6941" i="1"/>
  <c r="AC6941" i="1"/>
  <c r="AB6941" i="1"/>
  <c r="AA6941" i="1"/>
  <c r="AF6940" i="1"/>
  <c r="AE6940" i="1"/>
  <c r="AD6940" i="1"/>
  <c r="AC6940" i="1"/>
  <c r="AB6940" i="1"/>
  <c r="AA6940" i="1"/>
  <c r="AF6939" i="1"/>
  <c r="AE6939" i="1"/>
  <c r="AD6939" i="1"/>
  <c r="AC6939" i="1"/>
  <c r="AB6939" i="1"/>
  <c r="AA6939" i="1"/>
  <c r="AF6938" i="1"/>
  <c r="AE6938" i="1"/>
  <c r="AD6938" i="1"/>
  <c r="AC6938" i="1"/>
  <c r="AB6938" i="1"/>
  <c r="AA6938" i="1"/>
  <c r="AF6937" i="1"/>
  <c r="AE6937" i="1"/>
  <c r="AD6937" i="1"/>
  <c r="AC6937" i="1"/>
  <c r="AB6937" i="1"/>
  <c r="AA6937" i="1"/>
  <c r="AF6936" i="1"/>
  <c r="AE6936" i="1"/>
  <c r="AD6936" i="1"/>
  <c r="AC6936" i="1"/>
  <c r="AB6936" i="1"/>
  <c r="AA6936" i="1"/>
  <c r="AF6935" i="1"/>
  <c r="AE6935" i="1"/>
  <c r="AD6935" i="1"/>
  <c r="AC6935" i="1"/>
  <c r="AB6935" i="1"/>
  <c r="AA6935" i="1"/>
  <c r="AF6934" i="1"/>
  <c r="AE6934" i="1"/>
  <c r="AD6934" i="1"/>
  <c r="AC6934" i="1"/>
  <c r="AB6934" i="1"/>
  <c r="AA6934" i="1"/>
  <c r="AF6933" i="1"/>
  <c r="AE6933" i="1"/>
  <c r="AD6933" i="1"/>
  <c r="AC6933" i="1"/>
  <c r="AB6933" i="1"/>
  <c r="AA6933" i="1"/>
  <c r="AF6932" i="1"/>
  <c r="AE6932" i="1"/>
  <c r="AD6932" i="1"/>
  <c r="AC6932" i="1"/>
  <c r="AB6932" i="1"/>
  <c r="AA6932" i="1"/>
  <c r="AF6931" i="1"/>
  <c r="AE6931" i="1"/>
  <c r="AD6931" i="1"/>
  <c r="AC6931" i="1"/>
  <c r="AB6931" i="1"/>
  <c r="AA6931" i="1"/>
  <c r="AF6930" i="1"/>
  <c r="AE6930" i="1"/>
  <c r="AD6930" i="1"/>
  <c r="AC6930" i="1"/>
  <c r="AB6930" i="1"/>
  <c r="AA6930" i="1"/>
  <c r="AF6929" i="1"/>
  <c r="AE6929" i="1"/>
  <c r="AD6929" i="1"/>
  <c r="AC6929" i="1"/>
  <c r="AB6929" i="1"/>
  <c r="AA6929" i="1"/>
  <c r="AF6928" i="1"/>
  <c r="AE6928" i="1"/>
  <c r="AD6928" i="1"/>
  <c r="AC6928" i="1"/>
  <c r="AB6928" i="1"/>
  <c r="AA6928" i="1"/>
  <c r="AF6927" i="1"/>
  <c r="AE6927" i="1"/>
  <c r="AD6927" i="1"/>
  <c r="AC6927" i="1"/>
  <c r="AB6927" i="1"/>
  <c r="AA6927" i="1"/>
  <c r="AF6926" i="1"/>
  <c r="AE6926" i="1"/>
  <c r="AD6926" i="1"/>
  <c r="AC6926" i="1"/>
  <c r="AB6926" i="1"/>
  <c r="AA6926" i="1"/>
  <c r="AF6925" i="1"/>
  <c r="AE6925" i="1"/>
  <c r="AD6925" i="1"/>
  <c r="AC6925" i="1"/>
  <c r="AB6925" i="1"/>
  <c r="AA6925" i="1"/>
  <c r="AF6924" i="1"/>
  <c r="AE6924" i="1"/>
  <c r="AD6924" i="1"/>
  <c r="AC6924" i="1"/>
  <c r="AB6924" i="1"/>
  <c r="AA6924" i="1"/>
  <c r="AF6923" i="1"/>
  <c r="AE6923" i="1"/>
  <c r="AD6923" i="1"/>
  <c r="AC6923" i="1"/>
  <c r="AB6923" i="1"/>
  <c r="AA6923" i="1"/>
  <c r="AF6922" i="1"/>
  <c r="AE6922" i="1"/>
  <c r="AD6922" i="1"/>
  <c r="AC6922" i="1"/>
  <c r="AB6922" i="1"/>
  <c r="AA6922" i="1"/>
  <c r="AF6921" i="1"/>
  <c r="AE6921" i="1"/>
  <c r="AD6921" i="1"/>
  <c r="AC6921" i="1"/>
  <c r="AB6921" i="1"/>
  <c r="AA6921" i="1"/>
  <c r="AF6920" i="1"/>
  <c r="AE6920" i="1"/>
  <c r="AD6920" i="1"/>
  <c r="AC6920" i="1"/>
  <c r="AB6920" i="1"/>
  <c r="AA6920" i="1"/>
  <c r="AF6919" i="1"/>
  <c r="AE6919" i="1"/>
  <c r="AD6919" i="1"/>
  <c r="AC6919" i="1"/>
  <c r="AB6919" i="1"/>
  <c r="AA6919" i="1"/>
  <c r="AF6918" i="1"/>
  <c r="AE6918" i="1"/>
  <c r="AD6918" i="1"/>
  <c r="AC6918" i="1"/>
  <c r="AB6918" i="1"/>
  <c r="AA6918" i="1"/>
  <c r="AF6917" i="1"/>
  <c r="AE6917" i="1"/>
  <c r="AD6917" i="1"/>
  <c r="AC6917" i="1"/>
  <c r="AB6917" i="1"/>
  <c r="AA6917" i="1"/>
  <c r="AF6916" i="1"/>
  <c r="AE6916" i="1"/>
  <c r="AD6916" i="1"/>
  <c r="AC6916" i="1"/>
  <c r="AB6916" i="1"/>
  <c r="AA6916" i="1"/>
  <c r="AF6915" i="1"/>
  <c r="AE6915" i="1"/>
  <c r="AD6915" i="1"/>
  <c r="AC6915" i="1"/>
  <c r="AB6915" i="1"/>
  <c r="AA6915" i="1"/>
  <c r="AF6914" i="1"/>
  <c r="AE6914" i="1"/>
  <c r="AD6914" i="1"/>
  <c r="AC6914" i="1"/>
  <c r="AB6914" i="1"/>
  <c r="AA6914" i="1"/>
  <c r="AF6913" i="1"/>
  <c r="AE6913" i="1"/>
  <c r="AD6913" i="1"/>
  <c r="AC6913" i="1"/>
  <c r="AB6913" i="1"/>
  <c r="AA6913" i="1"/>
  <c r="AF6912" i="1"/>
  <c r="AE6912" i="1"/>
  <c r="AD6912" i="1"/>
  <c r="AC6912" i="1"/>
  <c r="AB6912" i="1"/>
  <c r="AA6912" i="1"/>
  <c r="AF6911" i="1"/>
  <c r="AE6911" i="1"/>
  <c r="AD6911" i="1"/>
  <c r="AC6911" i="1"/>
  <c r="AB6911" i="1"/>
  <c r="AA6911" i="1"/>
  <c r="AF6910" i="1"/>
  <c r="AE6910" i="1"/>
  <c r="AD6910" i="1"/>
  <c r="AC6910" i="1"/>
  <c r="AB6910" i="1"/>
  <c r="AA6910" i="1"/>
  <c r="AF6909" i="1"/>
  <c r="AE6909" i="1"/>
  <c r="AD6909" i="1"/>
  <c r="AC6909" i="1"/>
  <c r="AB6909" i="1"/>
  <c r="AA6909" i="1"/>
  <c r="AF6908" i="1"/>
  <c r="AE6908" i="1"/>
  <c r="AD6908" i="1"/>
  <c r="AC6908" i="1"/>
  <c r="AB6908" i="1"/>
  <c r="AA6908" i="1"/>
  <c r="AF6907" i="1"/>
  <c r="AE6907" i="1"/>
  <c r="AD6907" i="1"/>
  <c r="AC6907" i="1"/>
  <c r="AB6907" i="1"/>
  <c r="AA6907" i="1"/>
  <c r="AF6906" i="1"/>
  <c r="AE6906" i="1"/>
  <c r="AD6906" i="1"/>
  <c r="AC6906" i="1"/>
  <c r="AB6906" i="1"/>
  <c r="AA6906" i="1"/>
  <c r="AF6905" i="1"/>
  <c r="AE6905" i="1"/>
  <c r="AD6905" i="1"/>
  <c r="AC6905" i="1"/>
  <c r="AB6905" i="1"/>
  <c r="AA6905" i="1"/>
  <c r="AF6904" i="1"/>
  <c r="AE6904" i="1"/>
  <c r="AD6904" i="1"/>
  <c r="AC6904" i="1"/>
  <c r="AB6904" i="1"/>
  <c r="AA6904" i="1"/>
  <c r="AF6903" i="1"/>
  <c r="AE6903" i="1"/>
  <c r="AD6903" i="1"/>
  <c r="AC6903" i="1"/>
  <c r="AB6903" i="1"/>
  <c r="AA6903" i="1"/>
  <c r="AF6902" i="1"/>
  <c r="AE6902" i="1"/>
  <c r="AD6902" i="1"/>
  <c r="AC6902" i="1"/>
  <c r="AB6902" i="1"/>
  <c r="AA6902" i="1"/>
  <c r="AF6901" i="1"/>
  <c r="AE6901" i="1"/>
  <c r="AD6901" i="1"/>
  <c r="AC6901" i="1"/>
  <c r="AB6901" i="1"/>
  <c r="AA6901" i="1"/>
  <c r="AF6900" i="1"/>
  <c r="AE6900" i="1"/>
  <c r="AD6900" i="1"/>
  <c r="AC6900" i="1"/>
  <c r="AB6900" i="1"/>
  <c r="AA6900" i="1"/>
  <c r="AF6899" i="1"/>
  <c r="AE6899" i="1"/>
  <c r="AD6899" i="1"/>
  <c r="AC6899" i="1"/>
  <c r="AB6899" i="1"/>
  <c r="AA6899" i="1"/>
  <c r="AF6898" i="1"/>
  <c r="AE6898" i="1"/>
  <c r="AD6898" i="1"/>
  <c r="AC6898" i="1"/>
  <c r="AB6898" i="1"/>
  <c r="AA6898" i="1"/>
  <c r="AF6897" i="1"/>
  <c r="AE6897" i="1"/>
  <c r="AD6897" i="1"/>
  <c r="AC6897" i="1"/>
  <c r="AB6897" i="1"/>
  <c r="AA6897" i="1"/>
  <c r="AF6896" i="1"/>
  <c r="AE6896" i="1"/>
  <c r="AD6896" i="1"/>
  <c r="AC6896" i="1"/>
  <c r="AB6896" i="1"/>
  <c r="AA6896" i="1"/>
  <c r="AF6895" i="1"/>
  <c r="AE6895" i="1"/>
  <c r="AD6895" i="1"/>
  <c r="AC6895" i="1"/>
  <c r="AB6895" i="1"/>
  <c r="AA6895" i="1"/>
  <c r="AF6894" i="1"/>
  <c r="AE6894" i="1"/>
  <c r="AD6894" i="1"/>
  <c r="AC6894" i="1"/>
  <c r="AB6894" i="1"/>
  <c r="AA6894" i="1"/>
  <c r="AF6893" i="1"/>
  <c r="AE6893" i="1"/>
  <c r="AD6893" i="1"/>
  <c r="AC6893" i="1"/>
  <c r="AB6893" i="1"/>
  <c r="AA6893" i="1"/>
  <c r="AF6892" i="1"/>
  <c r="AE6892" i="1"/>
  <c r="AD6892" i="1"/>
  <c r="AC6892" i="1"/>
  <c r="AB6892" i="1"/>
  <c r="AA6892" i="1"/>
  <c r="AF6891" i="1"/>
  <c r="AE6891" i="1"/>
  <c r="AD6891" i="1"/>
  <c r="AC6891" i="1"/>
  <c r="AB6891" i="1"/>
  <c r="AA6891" i="1"/>
  <c r="AF6890" i="1"/>
  <c r="AE6890" i="1"/>
  <c r="AD6890" i="1"/>
  <c r="AC6890" i="1"/>
  <c r="AB6890" i="1"/>
  <c r="AA6890" i="1"/>
  <c r="AF6889" i="1"/>
  <c r="AE6889" i="1"/>
  <c r="AD6889" i="1"/>
  <c r="AC6889" i="1"/>
  <c r="AB6889" i="1"/>
  <c r="AA6889" i="1"/>
  <c r="AF6888" i="1"/>
  <c r="AE6888" i="1"/>
  <c r="AD6888" i="1"/>
  <c r="AC6888" i="1"/>
  <c r="AB6888" i="1"/>
  <c r="AA6888" i="1"/>
  <c r="AF6887" i="1"/>
  <c r="AE6887" i="1"/>
  <c r="AD6887" i="1"/>
  <c r="AC6887" i="1"/>
  <c r="AB6887" i="1"/>
  <c r="AA6887" i="1"/>
  <c r="AF6886" i="1"/>
  <c r="AE6886" i="1"/>
  <c r="AD6886" i="1"/>
  <c r="AC6886" i="1"/>
  <c r="AB6886" i="1"/>
  <c r="AA6886" i="1"/>
  <c r="AF6885" i="1"/>
  <c r="AE6885" i="1"/>
  <c r="AD6885" i="1"/>
  <c r="AC6885" i="1"/>
  <c r="AB6885" i="1"/>
  <c r="AA6885" i="1"/>
  <c r="AF6884" i="1"/>
  <c r="AE6884" i="1"/>
  <c r="AD6884" i="1"/>
  <c r="AC6884" i="1"/>
  <c r="AB6884" i="1"/>
  <c r="AA6884" i="1"/>
  <c r="AF6883" i="1"/>
  <c r="AE6883" i="1"/>
  <c r="AD6883" i="1"/>
  <c r="AC6883" i="1"/>
  <c r="AB6883" i="1"/>
  <c r="AA6883" i="1"/>
  <c r="AF6882" i="1"/>
  <c r="AE6882" i="1"/>
  <c r="AD6882" i="1"/>
  <c r="AC6882" i="1"/>
  <c r="AB6882" i="1"/>
  <c r="AA6882" i="1"/>
  <c r="AF6881" i="1"/>
  <c r="AE6881" i="1"/>
  <c r="AD6881" i="1"/>
  <c r="AC6881" i="1"/>
  <c r="AB6881" i="1"/>
  <c r="AA6881" i="1"/>
  <c r="AF6880" i="1"/>
  <c r="AE6880" i="1"/>
  <c r="AD6880" i="1"/>
  <c r="AC6880" i="1"/>
  <c r="AB6880" i="1"/>
  <c r="AA6880" i="1"/>
  <c r="AF6879" i="1"/>
  <c r="AE6879" i="1"/>
  <c r="AD6879" i="1"/>
  <c r="AC6879" i="1"/>
  <c r="AB6879" i="1"/>
  <c r="AA6879" i="1"/>
  <c r="AF6878" i="1"/>
  <c r="AE6878" i="1"/>
  <c r="AD6878" i="1"/>
  <c r="AC6878" i="1"/>
  <c r="AB6878" i="1"/>
  <c r="AA6878" i="1"/>
  <c r="AF6877" i="1"/>
  <c r="AE6877" i="1"/>
  <c r="AD6877" i="1"/>
  <c r="AC6877" i="1"/>
  <c r="AB6877" i="1"/>
  <c r="AA6877" i="1"/>
  <c r="AF6876" i="1"/>
  <c r="AE6876" i="1"/>
  <c r="AD6876" i="1"/>
  <c r="AC6876" i="1"/>
  <c r="AB6876" i="1"/>
  <c r="AA6876" i="1"/>
  <c r="AF6875" i="1"/>
  <c r="AE6875" i="1"/>
  <c r="AD6875" i="1"/>
  <c r="AC6875" i="1"/>
  <c r="AB6875" i="1"/>
  <c r="AA6875" i="1"/>
  <c r="AF6874" i="1"/>
  <c r="AE6874" i="1"/>
  <c r="AD6874" i="1"/>
  <c r="AC6874" i="1"/>
  <c r="AB6874" i="1"/>
  <c r="AA6874" i="1"/>
  <c r="AF6873" i="1"/>
  <c r="AE6873" i="1"/>
  <c r="AD6873" i="1"/>
  <c r="AC6873" i="1"/>
  <c r="AB6873" i="1"/>
  <c r="AA6873" i="1"/>
  <c r="AF6872" i="1"/>
  <c r="AE6872" i="1"/>
  <c r="AD6872" i="1"/>
  <c r="AC6872" i="1"/>
  <c r="AB6872" i="1"/>
  <c r="AA6872" i="1"/>
  <c r="AF6871" i="1"/>
  <c r="AE6871" i="1"/>
  <c r="AD6871" i="1"/>
  <c r="AC6871" i="1"/>
  <c r="AB6871" i="1"/>
  <c r="AA6871" i="1"/>
  <c r="AF6870" i="1"/>
  <c r="AE6870" i="1"/>
  <c r="AD6870" i="1"/>
  <c r="AC6870" i="1"/>
  <c r="AB6870" i="1"/>
  <c r="AA6870" i="1"/>
  <c r="AF6869" i="1"/>
  <c r="AE6869" i="1"/>
  <c r="AD6869" i="1"/>
  <c r="AC6869" i="1"/>
  <c r="AB6869" i="1"/>
  <c r="AA6869" i="1"/>
  <c r="AF6868" i="1"/>
  <c r="AE6868" i="1"/>
  <c r="AD6868" i="1"/>
  <c r="AC6868" i="1"/>
  <c r="AB6868" i="1"/>
  <c r="AA6868" i="1"/>
  <c r="AF6867" i="1"/>
  <c r="AE6867" i="1"/>
  <c r="AD6867" i="1"/>
  <c r="AC6867" i="1"/>
  <c r="AB6867" i="1"/>
  <c r="AA6867" i="1"/>
  <c r="AF6866" i="1"/>
  <c r="AE6866" i="1"/>
  <c r="AD6866" i="1"/>
  <c r="AC6866" i="1"/>
  <c r="AB6866" i="1"/>
  <c r="AA6866" i="1"/>
  <c r="AF6865" i="1"/>
  <c r="AE6865" i="1"/>
  <c r="AD6865" i="1"/>
  <c r="AC6865" i="1"/>
  <c r="AB6865" i="1"/>
  <c r="AA6865" i="1"/>
  <c r="AF6864" i="1"/>
  <c r="AE6864" i="1"/>
  <c r="AD6864" i="1"/>
  <c r="AC6864" i="1"/>
  <c r="AB6864" i="1"/>
  <c r="AA6864" i="1"/>
  <c r="AF6863" i="1"/>
  <c r="AE6863" i="1"/>
  <c r="AD6863" i="1"/>
  <c r="AC6863" i="1"/>
  <c r="AB6863" i="1"/>
  <c r="AA6863" i="1"/>
  <c r="AF6862" i="1"/>
  <c r="AE6862" i="1"/>
  <c r="AD6862" i="1"/>
  <c r="AC6862" i="1"/>
  <c r="AB6862" i="1"/>
  <c r="AA6862" i="1"/>
  <c r="AF6861" i="1"/>
  <c r="AE6861" i="1"/>
  <c r="AD6861" i="1"/>
  <c r="AC6861" i="1"/>
  <c r="AB6861" i="1"/>
  <c r="AA6861" i="1"/>
  <c r="AF6860" i="1"/>
  <c r="AE6860" i="1"/>
  <c r="AD6860" i="1"/>
  <c r="AC6860" i="1"/>
  <c r="AB6860" i="1"/>
  <c r="AA6860" i="1"/>
  <c r="AF6859" i="1"/>
  <c r="AE6859" i="1"/>
  <c r="AD6859" i="1"/>
  <c r="AC6859" i="1"/>
  <c r="AB6859" i="1"/>
  <c r="AA6859" i="1"/>
  <c r="AF6858" i="1"/>
  <c r="AE6858" i="1"/>
  <c r="AD6858" i="1"/>
  <c r="AC6858" i="1"/>
  <c r="AB6858" i="1"/>
  <c r="AA6858" i="1"/>
  <c r="AF6857" i="1"/>
  <c r="AE6857" i="1"/>
  <c r="AD6857" i="1"/>
  <c r="AC6857" i="1"/>
  <c r="AB6857" i="1"/>
  <c r="AA6857" i="1"/>
  <c r="AF6856" i="1"/>
  <c r="AE6856" i="1"/>
  <c r="AD6856" i="1"/>
  <c r="AC6856" i="1"/>
  <c r="AB6856" i="1"/>
  <c r="AA6856" i="1"/>
  <c r="AF6855" i="1"/>
  <c r="AE6855" i="1"/>
  <c r="AD6855" i="1"/>
  <c r="AC6855" i="1"/>
  <c r="AB6855" i="1"/>
  <c r="AA6855" i="1"/>
  <c r="AF6854" i="1"/>
  <c r="AE6854" i="1"/>
  <c r="AD6854" i="1"/>
  <c r="AC6854" i="1"/>
  <c r="AB6854" i="1"/>
  <c r="AA6854" i="1"/>
  <c r="AF6853" i="1"/>
  <c r="AE6853" i="1"/>
  <c r="AD6853" i="1"/>
  <c r="AC6853" i="1"/>
  <c r="AB6853" i="1"/>
  <c r="AA6853" i="1"/>
  <c r="AF6852" i="1"/>
  <c r="AE6852" i="1"/>
  <c r="AD6852" i="1"/>
  <c r="AC6852" i="1"/>
  <c r="AB6852" i="1"/>
  <c r="AA6852" i="1"/>
  <c r="AF6851" i="1"/>
  <c r="AE6851" i="1"/>
  <c r="AD6851" i="1"/>
  <c r="AC6851" i="1"/>
  <c r="AB6851" i="1"/>
  <c r="AA6851" i="1"/>
  <c r="AF6850" i="1"/>
  <c r="AE6850" i="1"/>
  <c r="AD6850" i="1"/>
  <c r="AC6850" i="1"/>
  <c r="AB6850" i="1"/>
  <c r="AA6850" i="1"/>
  <c r="AF6849" i="1"/>
  <c r="AE6849" i="1"/>
  <c r="AD6849" i="1"/>
  <c r="AC6849" i="1"/>
  <c r="AB6849" i="1"/>
  <c r="AA6849" i="1"/>
  <c r="AF6848" i="1"/>
  <c r="AE6848" i="1"/>
  <c r="AD6848" i="1"/>
  <c r="AC6848" i="1"/>
  <c r="AB6848" i="1"/>
  <c r="AA6848" i="1"/>
  <c r="AF6847" i="1"/>
  <c r="AE6847" i="1"/>
  <c r="AD6847" i="1"/>
  <c r="AC6847" i="1"/>
  <c r="AB6847" i="1"/>
  <c r="AA6847" i="1"/>
  <c r="AF6846" i="1"/>
  <c r="AE6846" i="1"/>
  <c r="AD6846" i="1"/>
  <c r="AC6846" i="1"/>
  <c r="AB6846" i="1"/>
  <c r="AA6846" i="1"/>
  <c r="AF6845" i="1"/>
  <c r="AE6845" i="1"/>
  <c r="AD6845" i="1"/>
  <c r="AC6845" i="1"/>
  <c r="AB6845" i="1"/>
  <c r="AA6845" i="1"/>
  <c r="AF6844" i="1"/>
  <c r="AE6844" i="1"/>
  <c r="AD6844" i="1"/>
  <c r="AC6844" i="1"/>
  <c r="AB6844" i="1"/>
  <c r="AA6844" i="1"/>
  <c r="AF6843" i="1"/>
  <c r="AE6843" i="1"/>
  <c r="AD6843" i="1"/>
  <c r="AC6843" i="1"/>
  <c r="AB6843" i="1"/>
  <c r="AA6843" i="1"/>
  <c r="AF6842" i="1"/>
  <c r="AE6842" i="1"/>
  <c r="AD6842" i="1"/>
  <c r="AC6842" i="1"/>
  <c r="AB6842" i="1"/>
  <c r="AA6842" i="1"/>
  <c r="AF6841" i="1"/>
  <c r="AE6841" i="1"/>
  <c r="AD6841" i="1"/>
  <c r="AC6841" i="1"/>
  <c r="AB6841" i="1"/>
  <c r="AA6841" i="1"/>
  <c r="AF6840" i="1"/>
  <c r="AE6840" i="1"/>
  <c r="AD6840" i="1"/>
  <c r="AC6840" i="1"/>
  <c r="AB6840" i="1"/>
  <c r="AA6840" i="1"/>
  <c r="AF6839" i="1"/>
  <c r="AE6839" i="1"/>
  <c r="AD6839" i="1"/>
  <c r="AC6839" i="1"/>
  <c r="AB6839" i="1"/>
  <c r="AA6839" i="1"/>
  <c r="AF6838" i="1"/>
  <c r="AE6838" i="1"/>
  <c r="AD6838" i="1"/>
  <c r="AC6838" i="1"/>
  <c r="AB6838" i="1"/>
  <c r="AA6838" i="1"/>
  <c r="AF6837" i="1"/>
  <c r="AE6837" i="1"/>
  <c r="AD6837" i="1"/>
  <c r="AC6837" i="1"/>
  <c r="AB6837" i="1"/>
  <c r="AA6837" i="1"/>
  <c r="AF6836" i="1"/>
  <c r="AE6836" i="1"/>
  <c r="AD6836" i="1"/>
  <c r="AC6836" i="1"/>
  <c r="AB6836" i="1"/>
  <c r="AA6836" i="1"/>
  <c r="AF6835" i="1"/>
  <c r="AE6835" i="1"/>
  <c r="AD6835" i="1"/>
  <c r="AC6835" i="1"/>
  <c r="AB6835" i="1"/>
  <c r="AA6835" i="1"/>
  <c r="AF6834" i="1"/>
  <c r="AE6834" i="1"/>
  <c r="AD6834" i="1"/>
  <c r="AC6834" i="1"/>
  <c r="AB6834" i="1"/>
  <c r="AA6834" i="1"/>
  <c r="AF6833" i="1"/>
  <c r="AE6833" i="1"/>
  <c r="AD6833" i="1"/>
  <c r="AC6833" i="1"/>
  <c r="AB6833" i="1"/>
  <c r="AA6833" i="1"/>
  <c r="AF6832" i="1"/>
  <c r="AE6832" i="1"/>
  <c r="AD6832" i="1"/>
  <c r="AC6832" i="1"/>
  <c r="AB6832" i="1"/>
  <c r="AA6832" i="1"/>
  <c r="AF6831" i="1"/>
  <c r="AE6831" i="1"/>
  <c r="AD6831" i="1"/>
  <c r="AC6831" i="1"/>
  <c r="AB6831" i="1"/>
  <c r="AA6831" i="1"/>
  <c r="AF6830" i="1"/>
  <c r="AE6830" i="1"/>
  <c r="AD6830" i="1"/>
  <c r="AC6830" i="1"/>
  <c r="AB6830" i="1"/>
  <c r="AA6830" i="1"/>
  <c r="AF6829" i="1"/>
  <c r="AE6829" i="1"/>
  <c r="AD6829" i="1"/>
  <c r="AC6829" i="1"/>
  <c r="AB6829" i="1"/>
  <c r="AA6829" i="1"/>
  <c r="AF6828" i="1"/>
  <c r="AE6828" i="1"/>
  <c r="AD6828" i="1"/>
  <c r="AC6828" i="1"/>
  <c r="AB6828" i="1"/>
  <c r="AA6828" i="1"/>
  <c r="AF6827" i="1"/>
  <c r="AE6827" i="1"/>
  <c r="AD6827" i="1"/>
  <c r="AC6827" i="1"/>
  <c r="AB6827" i="1"/>
  <c r="AA6827" i="1"/>
  <c r="AF6826" i="1"/>
  <c r="AE6826" i="1"/>
  <c r="AD6826" i="1"/>
  <c r="AC6826" i="1"/>
  <c r="AB6826" i="1"/>
  <c r="AA6826" i="1"/>
  <c r="AF6825" i="1"/>
  <c r="AE6825" i="1"/>
  <c r="AD6825" i="1"/>
  <c r="AC6825" i="1"/>
  <c r="AB6825" i="1"/>
  <c r="AA6825" i="1"/>
  <c r="AF6824" i="1"/>
  <c r="AE6824" i="1"/>
  <c r="AD6824" i="1"/>
  <c r="AC6824" i="1"/>
  <c r="AB6824" i="1"/>
  <c r="AA6824" i="1"/>
  <c r="AF6823" i="1"/>
  <c r="AE6823" i="1"/>
  <c r="AD6823" i="1"/>
  <c r="AC6823" i="1"/>
  <c r="AB6823" i="1"/>
  <c r="AA6823" i="1"/>
  <c r="AF6822" i="1"/>
  <c r="AE6822" i="1"/>
  <c r="AD6822" i="1"/>
  <c r="AC6822" i="1"/>
  <c r="AB6822" i="1"/>
  <c r="AA6822" i="1"/>
  <c r="AF6821" i="1"/>
  <c r="AE6821" i="1"/>
  <c r="AD6821" i="1"/>
  <c r="AC6821" i="1"/>
  <c r="AB6821" i="1"/>
  <c r="AA6821" i="1"/>
  <c r="AF6820" i="1"/>
  <c r="AE6820" i="1"/>
  <c r="AD6820" i="1"/>
  <c r="AC6820" i="1"/>
  <c r="AB6820" i="1"/>
  <c r="AA6820" i="1"/>
  <c r="AF6819" i="1"/>
  <c r="AE6819" i="1"/>
  <c r="AD6819" i="1"/>
  <c r="AC6819" i="1"/>
  <c r="AB6819" i="1"/>
  <c r="AA6819" i="1"/>
  <c r="AF6818" i="1"/>
  <c r="AE6818" i="1"/>
  <c r="AD6818" i="1"/>
  <c r="AC6818" i="1"/>
  <c r="AB6818" i="1"/>
  <c r="AA6818" i="1"/>
  <c r="AF6817" i="1"/>
  <c r="AE6817" i="1"/>
  <c r="AD6817" i="1"/>
  <c r="AC6817" i="1"/>
  <c r="AB6817" i="1"/>
  <c r="AA6817" i="1"/>
  <c r="AF6816" i="1"/>
  <c r="AE6816" i="1"/>
  <c r="AD6816" i="1"/>
  <c r="AC6816" i="1"/>
  <c r="AB6816" i="1"/>
  <c r="AA6816" i="1"/>
  <c r="AF6815" i="1"/>
  <c r="AE6815" i="1"/>
  <c r="AD6815" i="1"/>
  <c r="AC6815" i="1"/>
  <c r="AB6815" i="1"/>
  <c r="AA6815" i="1"/>
  <c r="AF6814" i="1"/>
  <c r="AE6814" i="1"/>
  <c r="AD6814" i="1"/>
  <c r="AC6814" i="1"/>
  <c r="AB6814" i="1"/>
  <c r="AA6814" i="1"/>
  <c r="AF6813" i="1"/>
  <c r="AE6813" i="1"/>
  <c r="AD6813" i="1"/>
  <c r="AC6813" i="1"/>
  <c r="AB6813" i="1"/>
  <c r="AA6813" i="1"/>
  <c r="AF6812" i="1"/>
  <c r="AE6812" i="1"/>
  <c r="AD6812" i="1"/>
  <c r="AC6812" i="1"/>
  <c r="AB6812" i="1"/>
  <c r="AA6812" i="1"/>
  <c r="AF6811" i="1"/>
  <c r="AE6811" i="1"/>
  <c r="AD6811" i="1"/>
  <c r="AC6811" i="1"/>
  <c r="AB6811" i="1"/>
  <c r="AA6811" i="1"/>
  <c r="AF6810" i="1"/>
  <c r="AE6810" i="1"/>
  <c r="AD6810" i="1"/>
  <c r="AC6810" i="1"/>
  <c r="AB6810" i="1"/>
  <c r="AA6810" i="1"/>
  <c r="AF6809" i="1"/>
  <c r="AE6809" i="1"/>
  <c r="AD6809" i="1"/>
  <c r="AC6809" i="1"/>
  <c r="AB6809" i="1"/>
  <c r="AA6809" i="1"/>
  <c r="AF6808" i="1"/>
  <c r="AE6808" i="1"/>
  <c r="AD6808" i="1"/>
  <c r="AC6808" i="1"/>
  <c r="AB6808" i="1"/>
  <c r="AA6808" i="1"/>
  <c r="AF6807" i="1"/>
  <c r="AE6807" i="1"/>
  <c r="AD6807" i="1"/>
  <c r="AC6807" i="1"/>
  <c r="AB6807" i="1"/>
  <c r="AA6807" i="1"/>
  <c r="AF6806" i="1"/>
  <c r="AE6806" i="1"/>
  <c r="AD6806" i="1"/>
  <c r="AC6806" i="1"/>
  <c r="AB6806" i="1"/>
  <c r="AA6806" i="1"/>
  <c r="AF6805" i="1"/>
  <c r="AE6805" i="1"/>
  <c r="AD6805" i="1"/>
  <c r="AC6805" i="1"/>
  <c r="AB6805" i="1"/>
  <c r="AA6805" i="1"/>
  <c r="AF6804" i="1"/>
  <c r="AE6804" i="1"/>
  <c r="AD6804" i="1"/>
  <c r="AC6804" i="1"/>
  <c r="AB6804" i="1"/>
  <c r="AA6804" i="1"/>
  <c r="AF6803" i="1"/>
  <c r="AE6803" i="1"/>
  <c r="AD6803" i="1"/>
  <c r="AC6803" i="1"/>
  <c r="AB6803" i="1"/>
  <c r="AA6803" i="1"/>
  <c r="AF6802" i="1"/>
  <c r="AE6802" i="1"/>
  <c r="AD6802" i="1"/>
  <c r="AC6802" i="1"/>
  <c r="AB6802" i="1"/>
  <c r="AA6802" i="1"/>
  <c r="AF6801" i="1"/>
  <c r="AE6801" i="1"/>
  <c r="AD6801" i="1"/>
  <c r="AC6801" i="1"/>
  <c r="AB6801" i="1"/>
  <c r="AA6801" i="1"/>
  <c r="AF6800" i="1"/>
  <c r="AE6800" i="1"/>
  <c r="AD6800" i="1"/>
  <c r="AC6800" i="1"/>
  <c r="AB6800" i="1"/>
  <c r="AA6800" i="1"/>
  <c r="AF6799" i="1"/>
  <c r="AE6799" i="1"/>
  <c r="AD6799" i="1"/>
  <c r="AC6799" i="1"/>
  <c r="AB6799" i="1"/>
  <c r="AA6799" i="1"/>
  <c r="AF6798" i="1"/>
  <c r="AE6798" i="1"/>
  <c r="AD6798" i="1"/>
  <c r="AC6798" i="1"/>
  <c r="AB6798" i="1"/>
  <c r="AA6798" i="1"/>
  <c r="AF6797" i="1"/>
  <c r="AE6797" i="1"/>
  <c r="AD6797" i="1"/>
  <c r="AC6797" i="1"/>
  <c r="AB6797" i="1"/>
  <c r="AA6797" i="1"/>
  <c r="AF6796" i="1"/>
  <c r="AE6796" i="1"/>
  <c r="AD6796" i="1"/>
  <c r="AC6796" i="1"/>
  <c r="AB6796" i="1"/>
  <c r="AA6796" i="1"/>
  <c r="AF6795" i="1"/>
  <c r="AE6795" i="1"/>
  <c r="AD6795" i="1"/>
  <c r="AC6795" i="1"/>
  <c r="AB6795" i="1"/>
  <c r="AA6795" i="1"/>
  <c r="AF6794" i="1"/>
  <c r="AE6794" i="1"/>
  <c r="AD6794" i="1"/>
  <c r="AC6794" i="1"/>
  <c r="AB6794" i="1"/>
  <c r="AA6794" i="1"/>
  <c r="AF6793" i="1"/>
  <c r="AE6793" i="1"/>
  <c r="AD6793" i="1"/>
  <c r="AC6793" i="1"/>
  <c r="AB6793" i="1"/>
  <c r="AA6793" i="1"/>
  <c r="AF6792" i="1"/>
  <c r="AE6792" i="1"/>
  <c r="AD6792" i="1"/>
  <c r="AC6792" i="1"/>
  <c r="AB6792" i="1"/>
  <c r="AA6792" i="1"/>
  <c r="AF6791" i="1"/>
  <c r="AE6791" i="1"/>
  <c r="AD6791" i="1"/>
  <c r="AC6791" i="1"/>
  <c r="AB6791" i="1"/>
  <c r="AA6791" i="1"/>
  <c r="AF6790" i="1"/>
  <c r="AE6790" i="1"/>
  <c r="AD6790" i="1"/>
  <c r="AC6790" i="1"/>
  <c r="AB6790" i="1"/>
  <c r="AA6790" i="1"/>
  <c r="AF6789" i="1"/>
  <c r="AE6789" i="1"/>
  <c r="AD6789" i="1"/>
  <c r="AC6789" i="1"/>
  <c r="AB6789" i="1"/>
  <c r="AA6789" i="1"/>
  <c r="AF6788" i="1"/>
  <c r="AE6788" i="1"/>
  <c r="AD6788" i="1"/>
  <c r="AC6788" i="1"/>
  <c r="AB6788" i="1"/>
  <c r="AA6788" i="1"/>
  <c r="AF6787" i="1"/>
  <c r="AE6787" i="1"/>
  <c r="AD6787" i="1"/>
  <c r="AC6787" i="1"/>
  <c r="AB6787" i="1"/>
  <c r="AA6787" i="1"/>
  <c r="AF6786" i="1"/>
  <c r="AE6786" i="1"/>
  <c r="AD6786" i="1"/>
  <c r="AC6786" i="1"/>
  <c r="AB6786" i="1"/>
  <c r="AA6786" i="1"/>
  <c r="AF6785" i="1"/>
  <c r="AE6785" i="1"/>
  <c r="AD6785" i="1"/>
  <c r="AC6785" i="1"/>
  <c r="AB6785" i="1"/>
  <c r="AA6785" i="1"/>
  <c r="AF6784" i="1"/>
  <c r="AE6784" i="1"/>
  <c r="AD6784" i="1"/>
  <c r="AC6784" i="1"/>
  <c r="AB6784" i="1"/>
  <c r="AA6784" i="1"/>
  <c r="AF6783" i="1"/>
  <c r="AE6783" i="1"/>
  <c r="AD6783" i="1"/>
  <c r="AC6783" i="1"/>
  <c r="AB6783" i="1"/>
  <c r="AA6783" i="1"/>
  <c r="AF6782" i="1"/>
  <c r="AE6782" i="1"/>
  <c r="AD6782" i="1"/>
  <c r="AC6782" i="1"/>
  <c r="AB6782" i="1"/>
  <c r="AA6782" i="1"/>
  <c r="AF6781" i="1"/>
  <c r="AE6781" i="1"/>
  <c r="AD6781" i="1"/>
  <c r="AC6781" i="1"/>
  <c r="AB6781" i="1"/>
  <c r="AA6781" i="1"/>
  <c r="AF6780" i="1"/>
  <c r="AE6780" i="1"/>
  <c r="AD6780" i="1"/>
  <c r="AC6780" i="1"/>
  <c r="AB6780" i="1"/>
  <c r="AA6780" i="1"/>
  <c r="AF6779" i="1"/>
  <c r="AE6779" i="1"/>
  <c r="AD6779" i="1"/>
  <c r="AC6779" i="1"/>
  <c r="AB6779" i="1"/>
  <c r="AA6779" i="1"/>
  <c r="AF6778" i="1"/>
  <c r="AE6778" i="1"/>
  <c r="AD6778" i="1"/>
  <c r="AC6778" i="1"/>
  <c r="AB6778" i="1"/>
  <c r="AA6778" i="1"/>
  <c r="AF6777" i="1"/>
  <c r="AE6777" i="1"/>
  <c r="AD6777" i="1"/>
  <c r="AC6777" i="1"/>
  <c r="AB6777" i="1"/>
  <c r="AA6777" i="1"/>
  <c r="AF6776" i="1"/>
  <c r="AE6776" i="1"/>
  <c r="AD6776" i="1"/>
  <c r="AC6776" i="1"/>
  <c r="AB6776" i="1"/>
  <c r="AA6776" i="1"/>
  <c r="AF6775" i="1"/>
  <c r="AE6775" i="1"/>
  <c r="AD6775" i="1"/>
  <c r="AC6775" i="1"/>
  <c r="AB6775" i="1"/>
  <c r="AA6775" i="1"/>
  <c r="AF6774" i="1"/>
  <c r="AE6774" i="1"/>
  <c r="AD6774" i="1"/>
  <c r="AC6774" i="1"/>
  <c r="AB6774" i="1"/>
  <c r="AA6774" i="1"/>
  <c r="AF6773" i="1"/>
  <c r="AE6773" i="1"/>
  <c r="AD6773" i="1"/>
  <c r="AC6773" i="1"/>
  <c r="AB6773" i="1"/>
  <c r="AA6773" i="1"/>
  <c r="AF6772" i="1"/>
  <c r="AE6772" i="1"/>
  <c r="AD6772" i="1"/>
  <c r="AC6772" i="1"/>
  <c r="AB6772" i="1"/>
  <c r="AA6772" i="1"/>
  <c r="AF6771" i="1"/>
  <c r="AE6771" i="1"/>
  <c r="AD6771" i="1"/>
  <c r="AC6771" i="1"/>
  <c r="AB6771" i="1"/>
  <c r="AA6771" i="1"/>
  <c r="AF6770" i="1"/>
  <c r="AE6770" i="1"/>
  <c r="AD6770" i="1"/>
  <c r="AC6770" i="1"/>
  <c r="AB6770" i="1"/>
  <c r="AA6770" i="1"/>
  <c r="AF6769" i="1"/>
  <c r="AE6769" i="1"/>
  <c r="AD6769" i="1"/>
  <c r="AC6769" i="1"/>
  <c r="AB6769" i="1"/>
  <c r="AA6769" i="1"/>
  <c r="AF6768" i="1"/>
  <c r="AE6768" i="1"/>
  <c r="AD6768" i="1"/>
  <c r="AC6768" i="1"/>
  <c r="AB6768" i="1"/>
  <c r="AA6768" i="1"/>
  <c r="AF6767" i="1"/>
  <c r="AE6767" i="1"/>
  <c r="AD6767" i="1"/>
  <c r="AC6767" i="1"/>
  <c r="AB6767" i="1"/>
  <c r="AA6767" i="1"/>
  <c r="AF6766" i="1"/>
  <c r="AE6766" i="1"/>
  <c r="AD6766" i="1"/>
  <c r="AC6766" i="1"/>
  <c r="AB6766" i="1"/>
  <c r="AA6766" i="1"/>
  <c r="AF6765" i="1"/>
  <c r="AE6765" i="1"/>
  <c r="AD6765" i="1"/>
  <c r="AC6765" i="1"/>
  <c r="AB6765" i="1"/>
  <c r="AA6765" i="1"/>
  <c r="AF6764" i="1"/>
  <c r="AE6764" i="1"/>
  <c r="AD6764" i="1"/>
  <c r="AC6764" i="1"/>
  <c r="AB6764" i="1"/>
  <c r="AA6764" i="1"/>
  <c r="AF6763" i="1"/>
  <c r="AE6763" i="1"/>
  <c r="AD6763" i="1"/>
  <c r="AC6763" i="1"/>
  <c r="AB6763" i="1"/>
  <c r="AA6763" i="1"/>
  <c r="AF6762" i="1"/>
  <c r="AE6762" i="1"/>
  <c r="AD6762" i="1"/>
  <c r="AC6762" i="1"/>
  <c r="AB6762" i="1"/>
  <c r="AA6762" i="1"/>
  <c r="AF6761" i="1"/>
  <c r="AE6761" i="1"/>
  <c r="AD6761" i="1"/>
  <c r="AC6761" i="1"/>
  <c r="AB6761" i="1"/>
  <c r="AA6761" i="1"/>
  <c r="AF6760" i="1"/>
  <c r="AE6760" i="1"/>
  <c r="AD6760" i="1"/>
  <c r="AC6760" i="1"/>
  <c r="AB6760" i="1"/>
  <c r="AA6760" i="1"/>
  <c r="AF6759" i="1"/>
  <c r="AE6759" i="1"/>
  <c r="AD6759" i="1"/>
  <c r="AC6759" i="1"/>
  <c r="AB6759" i="1"/>
  <c r="AA6759" i="1"/>
  <c r="AF6758" i="1"/>
  <c r="AE6758" i="1"/>
  <c r="AD6758" i="1"/>
  <c r="AC6758" i="1"/>
  <c r="AB6758" i="1"/>
  <c r="AA6758" i="1"/>
  <c r="AF6757" i="1"/>
  <c r="AE6757" i="1"/>
  <c r="AD6757" i="1"/>
  <c r="AC6757" i="1"/>
  <c r="AB6757" i="1"/>
  <c r="AA6757" i="1"/>
  <c r="AF6756" i="1"/>
  <c r="AE6756" i="1"/>
  <c r="AD6756" i="1"/>
  <c r="AC6756" i="1"/>
  <c r="AB6756" i="1"/>
  <c r="AA6756" i="1"/>
  <c r="AF6755" i="1"/>
  <c r="AE6755" i="1"/>
  <c r="AD6755" i="1"/>
  <c r="AC6755" i="1"/>
  <c r="AB6755" i="1"/>
  <c r="AA6755" i="1"/>
  <c r="AF6754" i="1"/>
  <c r="AE6754" i="1"/>
  <c r="AD6754" i="1"/>
  <c r="AC6754" i="1"/>
  <c r="AB6754" i="1"/>
  <c r="AA6754" i="1"/>
  <c r="AF6753" i="1"/>
  <c r="AE6753" i="1"/>
  <c r="AD6753" i="1"/>
  <c r="AC6753" i="1"/>
  <c r="AB6753" i="1"/>
  <c r="AA6753" i="1"/>
  <c r="AF6752" i="1"/>
  <c r="AE6752" i="1"/>
  <c r="AD6752" i="1"/>
  <c r="AC6752" i="1"/>
  <c r="AB6752" i="1"/>
  <c r="AA6752" i="1"/>
  <c r="AF6751" i="1"/>
  <c r="AE6751" i="1"/>
  <c r="AD6751" i="1"/>
  <c r="AC6751" i="1"/>
  <c r="AB6751" i="1"/>
  <c r="AA6751" i="1"/>
  <c r="AF6750" i="1"/>
  <c r="AE6750" i="1"/>
  <c r="AD6750" i="1"/>
  <c r="AC6750" i="1"/>
  <c r="AB6750" i="1"/>
  <c r="AA6750" i="1"/>
  <c r="AF6749" i="1"/>
  <c r="AE6749" i="1"/>
  <c r="AD6749" i="1"/>
  <c r="AC6749" i="1"/>
  <c r="AB6749" i="1"/>
  <c r="AA6749" i="1"/>
  <c r="AF6748" i="1"/>
  <c r="AE6748" i="1"/>
  <c r="AD6748" i="1"/>
  <c r="AC6748" i="1"/>
  <c r="AB6748" i="1"/>
  <c r="AA6748" i="1"/>
  <c r="AF6747" i="1"/>
  <c r="AE6747" i="1"/>
  <c r="AD6747" i="1"/>
  <c r="AC6747" i="1"/>
  <c r="AB6747" i="1"/>
  <c r="AA6747" i="1"/>
  <c r="AF6746" i="1"/>
  <c r="AE6746" i="1"/>
  <c r="AD6746" i="1"/>
  <c r="AC6746" i="1"/>
  <c r="AB6746" i="1"/>
  <c r="AA6746" i="1"/>
  <c r="AF6745" i="1"/>
  <c r="AE6745" i="1"/>
  <c r="AD6745" i="1"/>
  <c r="AC6745" i="1"/>
  <c r="AB6745" i="1"/>
  <c r="AA6745" i="1"/>
  <c r="AF6744" i="1"/>
  <c r="AE6744" i="1"/>
  <c r="AD6744" i="1"/>
  <c r="AC6744" i="1"/>
  <c r="AB6744" i="1"/>
  <c r="AA6744" i="1"/>
  <c r="AF6743" i="1"/>
  <c r="AE6743" i="1"/>
  <c r="AD6743" i="1"/>
  <c r="AC6743" i="1"/>
  <c r="AB6743" i="1"/>
  <c r="AA6743" i="1"/>
  <c r="AF6742" i="1"/>
  <c r="AE6742" i="1"/>
  <c r="AD6742" i="1"/>
  <c r="AC6742" i="1"/>
  <c r="AB6742" i="1"/>
  <c r="AA6742" i="1"/>
  <c r="AF6741" i="1"/>
  <c r="AE6741" i="1"/>
  <c r="AD6741" i="1"/>
  <c r="AC6741" i="1"/>
  <c r="AB6741" i="1"/>
  <c r="AA6741" i="1"/>
  <c r="AF6740" i="1"/>
  <c r="AE6740" i="1"/>
  <c r="AD6740" i="1"/>
  <c r="AC6740" i="1"/>
  <c r="AB6740" i="1"/>
  <c r="AA6740" i="1"/>
  <c r="AF6739" i="1"/>
  <c r="AE6739" i="1"/>
  <c r="AD6739" i="1"/>
  <c r="AC6739" i="1"/>
  <c r="AB6739" i="1"/>
  <c r="AA6739" i="1"/>
  <c r="AF6738" i="1"/>
  <c r="AE6738" i="1"/>
  <c r="AD6738" i="1"/>
  <c r="AC6738" i="1"/>
  <c r="AB6738" i="1"/>
  <c r="AA6738" i="1"/>
  <c r="AF6737" i="1"/>
  <c r="AE6737" i="1"/>
  <c r="AD6737" i="1"/>
  <c r="AC6737" i="1"/>
  <c r="AB6737" i="1"/>
  <c r="AA6737" i="1"/>
  <c r="AF6736" i="1"/>
  <c r="AE6736" i="1"/>
  <c r="AD6736" i="1"/>
  <c r="AC6736" i="1"/>
  <c r="AB6736" i="1"/>
  <c r="AA6736" i="1"/>
  <c r="AF6735" i="1"/>
  <c r="AE6735" i="1"/>
  <c r="AD6735" i="1"/>
  <c r="AC6735" i="1"/>
  <c r="AB6735" i="1"/>
  <c r="AA6735" i="1"/>
  <c r="AF6734" i="1"/>
  <c r="AE6734" i="1"/>
  <c r="AD6734" i="1"/>
  <c r="AC6734" i="1"/>
  <c r="AB6734" i="1"/>
  <c r="AA6734" i="1"/>
  <c r="AF6733" i="1"/>
  <c r="AE6733" i="1"/>
  <c r="AD6733" i="1"/>
  <c r="AC6733" i="1"/>
  <c r="AB6733" i="1"/>
  <c r="AA6733" i="1"/>
  <c r="AF6732" i="1"/>
  <c r="AE6732" i="1"/>
  <c r="AD6732" i="1"/>
  <c r="AC6732" i="1"/>
  <c r="AB6732" i="1"/>
  <c r="AA6732" i="1"/>
  <c r="AF6731" i="1"/>
  <c r="AE6731" i="1"/>
  <c r="AD6731" i="1"/>
  <c r="AC6731" i="1"/>
  <c r="AB6731" i="1"/>
  <c r="AA6731" i="1"/>
  <c r="AF6730" i="1"/>
  <c r="AE6730" i="1"/>
  <c r="AD6730" i="1"/>
  <c r="AC6730" i="1"/>
  <c r="AB6730" i="1"/>
  <c r="AA6730" i="1"/>
  <c r="AF6729" i="1"/>
  <c r="AE6729" i="1"/>
  <c r="AD6729" i="1"/>
  <c r="AC6729" i="1"/>
  <c r="AB6729" i="1"/>
  <c r="AA6729" i="1"/>
  <c r="AF6728" i="1"/>
  <c r="AE6728" i="1"/>
  <c r="AD6728" i="1"/>
  <c r="AC6728" i="1"/>
  <c r="AB6728" i="1"/>
  <c r="AA6728" i="1"/>
  <c r="AF6727" i="1"/>
  <c r="AE6727" i="1"/>
  <c r="AD6727" i="1"/>
  <c r="AC6727" i="1"/>
  <c r="AB6727" i="1"/>
  <c r="AA6727" i="1"/>
  <c r="AF6726" i="1"/>
  <c r="AE6726" i="1"/>
  <c r="AD6726" i="1"/>
  <c r="AC6726" i="1"/>
  <c r="AB6726" i="1"/>
  <c r="AA6726" i="1"/>
  <c r="AF6725" i="1"/>
  <c r="AE6725" i="1"/>
  <c r="AD6725" i="1"/>
  <c r="AC6725" i="1"/>
  <c r="AB6725" i="1"/>
  <c r="AA6725" i="1"/>
  <c r="AF6724" i="1"/>
  <c r="AE6724" i="1"/>
  <c r="AD6724" i="1"/>
  <c r="AC6724" i="1"/>
  <c r="AB6724" i="1"/>
  <c r="AA6724" i="1"/>
  <c r="AF6723" i="1"/>
  <c r="AE6723" i="1"/>
  <c r="AD6723" i="1"/>
  <c r="AC6723" i="1"/>
  <c r="AB6723" i="1"/>
  <c r="AA6723" i="1"/>
  <c r="AF6722" i="1"/>
  <c r="AE6722" i="1"/>
  <c r="AD6722" i="1"/>
  <c r="AC6722" i="1"/>
  <c r="AB6722" i="1"/>
  <c r="AA6722" i="1"/>
  <c r="AF6721" i="1"/>
  <c r="AE6721" i="1"/>
  <c r="AD6721" i="1"/>
  <c r="AC6721" i="1"/>
  <c r="AB6721" i="1"/>
  <c r="AA6721" i="1"/>
  <c r="AF6720" i="1"/>
  <c r="AE6720" i="1"/>
  <c r="AD6720" i="1"/>
  <c r="AC6720" i="1"/>
  <c r="AB6720" i="1"/>
  <c r="AA6720" i="1"/>
  <c r="AF6719" i="1"/>
  <c r="AE6719" i="1"/>
  <c r="AD6719" i="1"/>
  <c r="AC6719" i="1"/>
  <c r="AB6719" i="1"/>
  <c r="AA6719" i="1"/>
  <c r="AF6718" i="1"/>
  <c r="AE6718" i="1"/>
  <c r="AD6718" i="1"/>
  <c r="AC6718" i="1"/>
  <c r="AB6718" i="1"/>
  <c r="AA6718" i="1"/>
  <c r="AF6717" i="1"/>
  <c r="AE6717" i="1"/>
  <c r="AD6717" i="1"/>
  <c r="AC6717" i="1"/>
  <c r="AB6717" i="1"/>
  <c r="AA6717" i="1"/>
  <c r="AF6716" i="1"/>
  <c r="AE6716" i="1"/>
  <c r="AD6716" i="1"/>
  <c r="AC6716" i="1"/>
  <c r="AB6716" i="1"/>
  <c r="AA6716" i="1"/>
  <c r="AF6715" i="1"/>
  <c r="AE6715" i="1"/>
  <c r="AD6715" i="1"/>
  <c r="AC6715" i="1"/>
  <c r="AB6715" i="1"/>
  <c r="AA6715" i="1"/>
  <c r="AF6714" i="1"/>
  <c r="AE6714" i="1"/>
  <c r="AD6714" i="1"/>
  <c r="AC6714" i="1"/>
  <c r="AB6714" i="1"/>
  <c r="AA6714" i="1"/>
  <c r="AF6713" i="1"/>
  <c r="AE6713" i="1"/>
  <c r="AD6713" i="1"/>
  <c r="AC6713" i="1"/>
  <c r="AB6713" i="1"/>
  <c r="AA6713" i="1"/>
  <c r="AF6712" i="1"/>
  <c r="AE6712" i="1"/>
  <c r="AD6712" i="1"/>
  <c r="AC6712" i="1"/>
  <c r="AB6712" i="1"/>
  <c r="AA6712" i="1"/>
  <c r="AF6711" i="1"/>
  <c r="AE6711" i="1"/>
  <c r="AD6711" i="1"/>
  <c r="AC6711" i="1"/>
  <c r="AB6711" i="1"/>
  <c r="AA6711" i="1"/>
  <c r="AF6710" i="1"/>
  <c r="AE6710" i="1"/>
  <c r="AD6710" i="1"/>
  <c r="AC6710" i="1"/>
  <c r="AB6710" i="1"/>
  <c r="AA6710" i="1"/>
  <c r="AF6709" i="1"/>
  <c r="AE6709" i="1"/>
  <c r="AD6709" i="1"/>
  <c r="AC6709" i="1"/>
  <c r="AB6709" i="1"/>
  <c r="AA6709" i="1"/>
  <c r="AF6708" i="1"/>
  <c r="AE6708" i="1"/>
  <c r="AD6708" i="1"/>
  <c r="AC6708" i="1"/>
  <c r="AB6708" i="1"/>
  <c r="AA6708" i="1"/>
  <c r="AF6707" i="1"/>
  <c r="AE6707" i="1"/>
  <c r="AD6707" i="1"/>
  <c r="AC6707" i="1"/>
  <c r="AB6707" i="1"/>
  <c r="AA6707" i="1"/>
  <c r="AF6706" i="1"/>
  <c r="AE6706" i="1"/>
  <c r="AD6706" i="1"/>
  <c r="AC6706" i="1"/>
  <c r="AB6706" i="1"/>
  <c r="AA6706" i="1"/>
  <c r="AF6705" i="1"/>
  <c r="AE6705" i="1"/>
  <c r="AD6705" i="1"/>
  <c r="AC6705" i="1"/>
  <c r="AB6705" i="1"/>
  <c r="AA6705" i="1"/>
  <c r="AF6704" i="1"/>
  <c r="AE6704" i="1"/>
  <c r="AD6704" i="1"/>
  <c r="AC6704" i="1"/>
  <c r="AB6704" i="1"/>
  <c r="AA6704" i="1"/>
  <c r="AF6703" i="1"/>
  <c r="AE6703" i="1"/>
  <c r="AD6703" i="1"/>
  <c r="AC6703" i="1"/>
  <c r="AB6703" i="1"/>
  <c r="AA6703" i="1"/>
  <c r="AF6702" i="1"/>
  <c r="AE6702" i="1"/>
  <c r="AD6702" i="1"/>
  <c r="AC6702" i="1"/>
  <c r="AB6702" i="1"/>
  <c r="AA6702" i="1"/>
  <c r="AF6701" i="1"/>
  <c r="AE6701" i="1"/>
  <c r="AD6701" i="1"/>
  <c r="AC6701" i="1"/>
  <c r="AB6701" i="1"/>
  <c r="AA6701" i="1"/>
  <c r="AF6700" i="1"/>
  <c r="AE6700" i="1"/>
  <c r="AD6700" i="1"/>
  <c r="AC6700" i="1"/>
  <c r="AB6700" i="1"/>
  <c r="AA6700" i="1"/>
  <c r="AF6699" i="1"/>
  <c r="AE6699" i="1"/>
  <c r="AD6699" i="1"/>
  <c r="AC6699" i="1"/>
  <c r="AB6699" i="1"/>
  <c r="AA6699" i="1"/>
  <c r="AF6698" i="1"/>
  <c r="AE6698" i="1"/>
  <c r="AD6698" i="1"/>
  <c r="AC6698" i="1"/>
  <c r="AB6698" i="1"/>
  <c r="AA6698" i="1"/>
  <c r="AF6697" i="1"/>
  <c r="AE6697" i="1"/>
  <c r="AD6697" i="1"/>
  <c r="AC6697" i="1"/>
  <c r="AB6697" i="1"/>
  <c r="AA6697" i="1"/>
  <c r="AF6696" i="1"/>
  <c r="AE6696" i="1"/>
  <c r="AD6696" i="1"/>
  <c r="AC6696" i="1"/>
  <c r="AB6696" i="1"/>
  <c r="AA6696" i="1"/>
  <c r="AF6695" i="1"/>
  <c r="AE6695" i="1"/>
  <c r="AD6695" i="1"/>
  <c r="AC6695" i="1"/>
  <c r="AB6695" i="1"/>
  <c r="AA6695" i="1"/>
  <c r="AF6694" i="1"/>
  <c r="AE6694" i="1"/>
  <c r="AD6694" i="1"/>
  <c r="AC6694" i="1"/>
  <c r="AB6694" i="1"/>
  <c r="AA6694" i="1"/>
  <c r="AF6693" i="1"/>
  <c r="AE6693" i="1"/>
  <c r="AD6693" i="1"/>
  <c r="AC6693" i="1"/>
  <c r="AB6693" i="1"/>
  <c r="AA6693" i="1"/>
  <c r="AF6692" i="1"/>
  <c r="AE6692" i="1"/>
  <c r="AD6692" i="1"/>
  <c r="AC6692" i="1"/>
  <c r="AB6692" i="1"/>
  <c r="AA6692" i="1"/>
  <c r="AF6691" i="1"/>
  <c r="AE6691" i="1"/>
  <c r="AD6691" i="1"/>
  <c r="AC6691" i="1"/>
  <c r="AB6691" i="1"/>
  <c r="AA6691" i="1"/>
  <c r="AF6690" i="1"/>
  <c r="AE6690" i="1"/>
  <c r="AD6690" i="1"/>
  <c r="AC6690" i="1"/>
  <c r="AB6690" i="1"/>
  <c r="AA6690" i="1"/>
  <c r="AF6689" i="1"/>
  <c r="AE6689" i="1"/>
  <c r="AD6689" i="1"/>
  <c r="AC6689" i="1"/>
  <c r="AB6689" i="1"/>
  <c r="AA6689" i="1"/>
  <c r="AF6688" i="1"/>
  <c r="AE6688" i="1"/>
  <c r="AD6688" i="1"/>
  <c r="AC6688" i="1"/>
  <c r="AB6688" i="1"/>
  <c r="AA6688" i="1"/>
  <c r="AF6687" i="1"/>
  <c r="AE6687" i="1"/>
  <c r="AD6687" i="1"/>
  <c r="AC6687" i="1"/>
  <c r="AB6687" i="1"/>
  <c r="AA6687" i="1"/>
  <c r="AF6686" i="1"/>
  <c r="AE6686" i="1"/>
  <c r="AD6686" i="1"/>
  <c r="AC6686" i="1"/>
  <c r="AB6686" i="1"/>
  <c r="AA6686" i="1"/>
  <c r="AF6685" i="1"/>
  <c r="AE6685" i="1"/>
  <c r="AD6685" i="1"/>
  <c r="AC6685" i="1"/>
  <c r="AB6685" i="1"/>
  <c r="AA6685" i="1"/>
  <c r="AF6684" i="1"/>
  <c r="AE6684" i="1"/>
  <c r="AD6684" i="1"/>
  <c r="AC6684" i="1"/>
  <c r="AB6684" i="1"/>
  <c r="AA6684" i="1"/>
  <c r="AF6683" i="1"/>
  <c r="AE6683" i="1"/>
  <c r="AD6683" i="1"/>
  <c r="AC6683" i="1"/>
  <c r="AB6683" i="1"/>
  <c r="AA6683" i="1"/>
  <c r="AF6682" i="1"/>
  <c r="AE6682" i="1"/>
  <c r="AD6682" i="1"/>
  <c r="AC6682" i="1"/>
  <c r="AB6682" i="1"/>
  <c r="AA6682" i="1"/>
  <c r="AF6681" i="1"/>
  <c r="AE6681" i="1"/>
  <c r="AD6681" i="1"/>
  <c r="AC6681" i="1"/>
  <c r="AB6681" i="1"/>
  <c r="AA6681" i="1"/>
  <c r="AF6680" i="1"/>
  <c r="AE6680" i="1"/>
  <c r="AD6680" i="1"/>
  <c r="AC6680" i="1"/>
  <c r="AB6680" i="1"/>
  <c r="AA6680" i="1"/>
  <c r="AF6679" i="1"/>
  <c r="AE6679" i="1"/>
  <c r="AD6679" i="1"/>
  <c r="AC6679" i="1"/>
  <c r="AB6679" i="1"/>
  <c r="AA6679" i="1"/>
  <c r="AF6678" i="1"/>
  <c r="AE6678" i="1"/>
  <c r="AD6678" i="1"/>
  <c r="AC6678" i="1"/>
  <c r="AB6678" i="1"/>
  <c r="AA6678" i="1"/>
  <c r="AF6677" i="1"/>
  <c r="AE6677" i="1"/>
  <c r="AD6677" i="1"/>
  <c r="AC6677" i="1"/>
  <c r="AB6677" i="1"/>
  <c r="AA6677" i="1"/>
  <c r="AF6676" i="1"/>
  <c r="AE6676" i="1"/>
  <c r="AD6676" i="1"/>
  <c r="AC6676" i="1"/>
  <c r="AB6676" i="1"/>
  <c r="AA6676" i="1"/>
  <c r="AF6675" i="1"/>
  <c r="AE6675" i="1"/>
  <c r="AD6675" i="1"/>
  <c r="AC6675" i="1"/>
  <c r="AB6675" i="1"/>
  <c r="AA6675" i="1"/>
  <c r="AF6674" i="1"/>
  <c r="AE6674" i="1"/>
  <c r="AD6674" i="1"/>
  <c r="AC6674" i="1"/>
  <c r="AB6674" i="1"/>
  <c r="AA6674" i="1"/>
  <c r="AF6673" i="1"/>
  <c r="AE6673" i="1"/>
  <c r="AD6673" i="1"/>
  <c r="AC6673" i="1"/>
  <c r="AB6673" i="1"/>
  <c r="AA6673" i="1"/>
  <c r="AF6672" i="1"/>
  <c r="AE6672" i="1"/>
  <c r="AD6672" i="1"/>
  <c r="AC6672" i="1"/>
  <c r="AB6672" i="1"/>
  <c r="AA6672" i="1"/>
  <c r="AF6671" i="1"/>
  <c r="AE6671" i="1"/>
  <c r="AD6671" i="1"/>
  <c r="AC6671" i="1"/>
  <c r="AB6671" i="1"/>
  <c r="AA6671" i="1"/>
  <c r="AF6670" i="1"/>
  <c r="AE6670" i="1"/>
  <c r="AD6670" i="1"/>
  <c r="AC6670" i="1"/>
  <c r="AB6670" i="1"/>
  <c r="AA6670" i="1"/>
  <c r="AF6669" i="1"/>
  <c r="AE6669" i="1"/>
  <c r="AD6669" i="1"/>
  <c r="AC6669" i="1"/>
  <c r="AB6669" i="1"/>
  <c r="AA6669" i="1"/>
  <c r="AF6668" i="1"/>
  <c r="AE6668" i="1"/>
  <c r="AD6668" i="1"/>
  <c r="AC6668" i="1"/>
  <c r="AB6668" i="1"/>
  <c r="AA6668" i="1"/>
  <c r="AF6667" i="1"/>
  <c r="AE6667" i="1"/>
  <c r="AD6667" i="1"/>
  <c r="AC6667" i="1"/>
  <c r="AB6667" i="1"/>
  <c r="AA6667" i="1"/>
  <c r="AF6666" i="1"/>
  <c r="AE6666" i="1"/>
  <c r="AD6666" i="1"/>
  <c r="AC6666" i="1"/>
  <c r="AB6666" i="1"/>
  <c r="AA6666" i="1"/>
  <c r="AF6665" i="1"/>
  <c r="AE6665" i="1"/>
  <c r="AD6665" i="1"/>
  <c r="AC6665" i="1"/>
  <c r="AB6665" i="1"/>
  <c r="AA6665" i="1"/>
  <c r="BE327" i="1"/>
  <c r="BE326" i="1"/>
  <c r="AT325" i="1"/>
  <c r="BE325" i="1" s="1"/>
  <c r="AF325" i="1"/>
  <c r="AB325" i="1"/>
  <c r="AA325" i="1"/>
  <c r="Z325" i="1"/>
  <c r="L325" i="1"/>
  <c r="AC325" i="1" s="1"/>
  <c r="J325" i="1"/>
  <c r="H325" i="1"/>
  <c r="AT324" i="1"/>
  <c r="BE324" i="1" s="1"/>
  <c r="AB324" i="1"/>
  <c r="AA324" i="1"/>
  <c r="Z324" i="1"/>
  <c r="L324" i="1"/>
  <c r="AD324" i="1" s="1"/>
  <c r="J324" i="1"/>
  <c r="H324" i="1"/>
  <c r="AT323" i="1"/>
  <c r="BE323" i="1" s="1"/>
  <c r="AF323" i="1"/>
  <c r="AE323" i="1"/>
  <c r="AD323" i="1"/>
  <c r="AC323" i="1"/>
  <c r="AB323" i="1"/>
  <c r="AA323" i="1"/>
  <c r="Z323" i="1"/>
  <c r="J323" i="1"/>
  <c r="H323" i="1"/>
  <c r="AT322" i="1"/>
  <c r="BE322" i="1" s="1"/>
  <c r="AF322" i="1"/>
  <c r="AE322" i="1"/>
  <c r="AD322" i="1"/>
  <c r="AC322" i="1"/>
  <c r="AB322" i="1"/>
  <c r="AA322" i="1"/>
  <c r="Z322" i="1"/>
  <c r="J322" i="1"/>
  <c r="H322" i="1"/>
  <c r="AT321" i="1"/>
  <c r="BE321" i="1" s="1"/>
  <c r="AF321" i="1"/>
  <c r="AE321" i="1"/>
  <c r="AD321" i="1"/>
  <c r="AC321" i="1"/>
  <c r="AB321" i="1"/>
  <c r="AA321" i="1"/>
  <c r="Z321" i="1"/>
  <c r="J321" i="1"/>
  <c r="H321" i="1"/>
  <c r="AT320" i="1"/>
  <c r="BE320" i="1" s="1"/>
  <c r="AF320" i="1"/>
  <c r="AE320" i="1"/>
  <c r="AD320" i="1"/>
  <c r="AC320" i="1"/>
  <c r="AB320" i="1"/>
  <c r="AA320" i="1"/>
  <c r="Z320" i="1"/>
  <c r="J320" i="1"/>
  <c r="H320" i="1"/>
  <c r="AT319" i="1"/>
  <c r="BE319" i="1" s="1"/>
  <c r="AF319" i="1"/>
  <c r="AE319" i="1"/>
  <c r="AD319" i="1"/>
  <c r="AC319" i="1"/>
  <c r="AB319" i="1"/>
  <c r="AA319" i="1"/>
  <c r="Z319" i="1"/>
  <c r="J319" i="1"/>
  <c r="H319" i="1"/>
  <c r="AT318" i="1"/>
  <c r="BE318" i="1" s="1"/>
  <c r="AF318" i="1"/>
  <c r="AE318" i="1"/>
  <c r="AD318" i="1"/>
  <c r="AC318" i="1"/>
  <c r="AB318" i="1"/>
  <c r="AA318" i="1"/>
  <c r="Z318" i="1"/>
  <c r="J318" i="1"/>
  <c r="H318" i="1"/>
  <c r="AT317" i="1"/>
  <c r="BE317" i="1" s="1"/>
  <c r="AF317" i="1"/>
  <c r="AE317" i="1"/>
  <c r="AD317" i="1"/>
  <c r="AC317" i="1"/>
  <c r="AB317" i="1"/>
  <c r="AA317" i="1"/>
  <c r="J317" i="1"/>
  <c r="H317" i="1"/>
  <c r="AT316" i="1"/>
  <c r="BE316" i="1" s="1"/>
  <c r="AF316" i="1"/>
  <c r="AE316" i="1"/>
  <c r="AD316" i="1"/>
  <c r="AC316" i="1"/>
  <c r="AB316" i="1"/>
  <c r="AA316" i="1"/>
  <c r="Z316" i="1"/>
  <c r="J316" i="1"/>
  <c r="H316" i="1"/>
  <c r="AT315" i="1"/>
  <c r="BE315" i="1" s="1"/>
  <c r="AF315" i="1"/>
  <c r="AE315" i="1"/>
  <c r="AD315" i="1"/>
  <c r="AC315" i="1"/>
  <c r="AB315" i="1"/>
  <c r="AA315" i="1"/>
  <c r="J315" i="1"/>
  <c r="H315" i="1"/>
  <c r="AT314" i="1"/>
  <c r="BE314" i="1" s="1"/>
  <c r="AF314" i="1"/>
  <c r="AE314" i="1"/>
  <c r="AD314" i="1"/>
  <c r="AC314" i="1"/>
  <c r="AB314" i="1"/>
  <c r="AA314" i="1"/>
  <c r="J314" i="1"/>
  <c r="H314" i="1"/>
  <c r="AT313" i="1"/>
  <c r="BE313" i="1" s="1"/>
  <c r="AF313" i="1"/>
  <c r="AE313" i="1"/>
  <c r="AD313" i="1"/>
  <c r="AC313" i="1"/>
  <c r="AB313" i="1"/>
  <c r="AA313" i="1"/>
  <c r="J313" i="1"/>
  <c r="H313" i="1"/>
  <c r="AT312" i="1"/>
  <c r="BE312" i="1" s="1"/>
  <c r="AF312" i="1"/>
  <c r="AE312" i="1"/>
  <c r="AD312" i="1"/>
  <c r="AC312" i="1"/>
  <c r="AB312" i="1"/>
  <c r="AA312" i="1"/>
  <c r="J312" i="1"/>
  <c r="H312" i="1"/>
  <c r="AT311" i="1"/>
  <c r="BE311" i="1" s="1"/>
  <c r="AF311" i="1"/>
  <c r="AE311" i="1"/>
  <c r="AD311" i="1"/>
  <c r="AC311" i="1"/>
  <c r="AB311" i="1"/>
  <c r="AA311" i="1"/>
  <c r="Z311" i="1"/>
  <c r="J311" i="1"/>
  <c r="H311" i="1"/>
  <c r="AT310" i="1"/>
  <c r="BE310" i="1" s="1"/>
  <c r="AF310" i="1"/>
  <c r="AE310" i="1"/>
  <c r="AD310" i="1"/>
  <c r="AC310" i="1"/>
  <c r="AB310" i="1"/>
  <c r="AA310" i="1"/>
  <c r="Z310" i="1"/>
  <c r="J310" i="1"/>
  <c r="H310" i="1"/>
  <c r="AT309" i="1"/>
  <c r="BE309" i="1" s="1"/>
  <c r="AF309" i="1"/>
  <c r="AE309" i="1"/>
  <c r="AD309" i="1"/>
  <c r="AC309" i="1"/>
  <c r="AB309" i="1"/>
  <c r="AA309" i="1"/>
  <c r="Z309" i="1"/>
  <c r="J309" i="1"/>
  <c r="H309" i="1"/>
  <c r="AT308" i="1"/>
  <c r="BE308" i="1" s="1"/>
  <c r="AB308" i="1"/>
  <c r="AA308" i="1"/>
  <c r="Z308" i="1"/>
  <c r="L308" i="1"/>
  <c r="J308" i="1"/>
  <c r="AT307" i="1"/>
  <c r="BE307" i="1" s="1"/>
  <c r="AF307" i="1"/>
  <c r="AE307" i="1"/>
  <c r="AD307" i="1"/>
  <c r="AC307" i="1"/>
  <c r="AB307" i="1"/>
  <c r="AA307" i="1"/>
  <c r="J307" i="1"/>
  <c r="H307" i="1"/>
  <c r="AT306" i="1"/>
  <c r="BE306" i="1" s="1"/>
  <c r="AF306" i="1"/>
  <c r="AE306" i="1"/>
  <c r="AD306" i="1"/>
  <c r="AC306" i="1"/>
  <c r="AB306" i="1"/>
  <c r="AA306" i="1"/>
  <c r="Z306" i="1"/>
  <c r="J306" i="1"/>
  <c r="H306" i="1"/>
  <c r="BE305" i="1"/>
  <c r="AT305" i="1"/>
  <c r="AF305" i="1"/>
  <c r="AE305" i="1"/>
  <c r="AD305" i="1"/>
  <c r="AC305" i="1"/>
  <c r="AB305" i="1"/>
  <c r="AA305" i="1"/>
  <c r="Z305" i="1"/>
  <c r="J305" i="1"/>
  <c r="H305" i="1"/>
  <c r="AT304" i="1"/>
  <c r="BE304" i="1" s="1"/>
  <c r="AF304" i="1"/>
  <c r="AE304" i="1"/>
  <c r="AD304" i="1"/>
  <c r="AC304" i="1"/>
  <c r="AB304" i="1"/>
  <c r="AA304" i="1"/>
  <c r="J304" i="1"/>
  <c r="H304" i="1"/>
  <c r="AT303" i="1"/>
  <c r="BE303" i="1" s="1"/>
  <c r="AF303" i="1"/>
  <c r="AE303" i="1"/>
  <c r="AD303" i="1"/>
  <c r="AC303" i="1"/>
  <c r="AB303" i="1"/>
  <c r="AA303" i="1"/>
  <c r="J303" i="1"/>
  <c r="H303" i="1"/>
  <c r="AT302" i="1"/>
  <c r="BE302" i="1" s="1"/>
  <c r="AF302" i="1"/>
  <c r="AE302" i="1"/>
  <c r="AD302" i="1"/>
  <c r="AC302" i="1"/>
  <c r="AB302" i="1"/>
  <c r="AA302" i="1"/>
  <c r="J302" i="1"/>
  <c r="H302" i="1"/>
  <c r="AT301" i="1"/>
  <c r="BE301" i="1" s="1"/>
  <c r="AF301" i="1"/>
  <c r="AE301" i="1"/>
  <c r="AD301" i="1"/>
  <c r="AC301" i="1"/>
  <c r="AB301" i="1"/>
  <c r="AA301" i="1"/>
  <c r="J301" i="1"/>
  <c r="H301" i="1"/>
  <c r="AT300" i="1"/>
  <c r="BE300" i="1" s="1"/>
  <c r="AF300" i="1"/>
  <c r="AE300" i="1"/>
  <c r="AD300" i="1"/>
  <c r="AC300" i="1"/>
  <c r="AB300" i="1"/>
  <c r="AA300" i="1"/>
  <c r="Z300" i="1"/>
  <c r="J300" i="1"/>
  <c r="H300" i="1"/>
  <c r="AT299" i="1"/>
  <c r="BE299" i="1" s="1"/>
  <c r="AB299" i="1"/>
  <c r="AA299" i="1"/>
  <c r="Z299" i="1"/>
  <c r="L299" i="1"/>
  <c r="AF299" i="1" s="1"/>
  <c r="J299" i="1"/>
  <c r="H299" i="1"/>
  <c r="AT298" i="1"/>
  <c r="BE298" i="1" s="1"/>
  <c r="AF298" i="1"/>
  <c r="AE298" i="1"/>
  <c r="AD298" i="1"/>
  <c r="AC298" i="1"/>
  <c r="AB298" i="1"/>
  <c r="AA298" i="1"/>
  <c r="Z298" i="1"/>
  <c r="J298" i="1"/>
  <c r="H298" i="1"/>
  <c r="AT297" i="1"/>
  <c r="BE297" i="1" s="1"/>
  <c r="AF297" i="1"/>
  <c r="AE297" i="1"/>
  <c r="AD297" i="1"/>
  <c r="AC297" i="1"/>
  <c r="AB297" i="1"/>
  <c r="AA297" i="1"/>
  <c r="Z297" i="1"/>
  <c r="J297" i="1"/>
  <c r="H297" i="1"/>
  <c r="AT296" i="1"/>
  <c r="BE296" i="1" s="1"/>
  <c r="AF296" i="1"/>
  <c r="AE296" i="1"/>
  <c r="AD296" i="1"/>
  <c r="AC296" i="1"/>
  <c r="AB296" i="1"/>
  <c r="AA296" i="1"/>
  <c r="Z296" i="1"/>
  <c r="J296" i="1"/>
  <c r="H296" i="1"/>
  <c r="AT295" i="1"/>
  <c r="BE295" i="1" s="1"/>
  <c r="AF295" i="1"/>
  <c r="AE295" i="1"/>
  <c r="AD295" i="1"/>
  <c r="AC295" i="1"/>
  <c r="AB295" i="1"/>
  <c r="AA295" i="1"/>
  <c r="Z295" i="1"/>
  <c r="J295" i="1"/>
  <c r="H295" i="1"/>
  <c r="AT294" i="1"/>
  <c r="BE294" i="1" s="1"/>
  <c r="AF294" i="1"/>
  <c r="AE294" i="1"/>
  <c r="AD294" i="1"/>
  <c r="AC294" i="1"/>
  <c r="AB294" i="1"/>
  <c r="AA294" i="1"/>
  <c r="Z294" i="1"/>
  <c r="J294" i="1"/>
  <c r="H294" i="1"/>
  <c r="AT293" i="1"/>
  <c r="BE293" i="1" s="1"/>
  <c r="AF293" i="1"/>
  <c r="AE293" i="1"/>
  <c r="AD293" i="1"/>
  <c r="AC293" i="1"/>
  <c r="AB293" i="1"/>
  <c r="AA293" i="1"/>
  <c r="Z293" i="1"/>
  <c r="J293" i="1"/>
  <c r="H293" i="1"/>
  <c r="AD292" i="1"/>
  <c r="AC292" i="1"/>
  <c r="AB292" i="1"/>
  <c r="Z292" i="1"/>
  <c r="L292" i="1"/>
  <c r="H292" i="1"/>
  <c r="AF291" i="1"/>
  <c r="AE291" i="1"/>
  <c r="AD291" i="1"/>
  <c r="AC291" i="1"/>
  <c r="Z291" i="1"/>
  <c r="H291" i="1"/>
  <c r="AF290" i="1"/>
  <c r="AE290" i="1"/>
  <c r="AD290" i="1"/>
  <c r="AC290" i="1"/>
  <c r="Z290" i="1"/>
  <c r="H290" i="1"/>
  <c r="AF289" i="1"/>
  <c r="AE289" i="1"/>
  <c r="AD289" i="1"/>
  <c r="AC289" i="1"/>
  <c r="Z289" i="1"/>
  <c r="H289" i="1"/>
  <c r="AF288" i="1"/>
  <c r="AE288" i="1"/>
  <c r="AD288" i="1"/>
  <c r="AC288" i="1"/>
  <c r="Z288" i="1"/>
  <c r="H288" i="1"/>
  <c r="AF287" i="1"/>
  <c r="AE287" i="1"/>
  <c r="AD287" i="1"/>
  <c r="AC287" i="1"/>
  <c r="Z287" i="1"/>
  <c r="H287" i="1"/>
  <c r="AF286" i="1"/>
  <c r="AE286" i="1"/>
  <c r="AD286" i="1"/>
  <c r="AC286" i="1"/>
  <c r="Z286" i="1"/>
  <c r="H286" i="1"/>
  <c r="AF285" i="1"/>
  <c r="AE285" i="1"/>
  <c r="AD285" i="1"/>
  <c r="AC285" i="1"/>
  <c r="Z285" i="1"/>
  <c r="H285" i="1"/>
  <c r="AF284" i="1"/>
  <c r="AE284" i="1"/>
  <c r="AD284" i="1"/>
  <c r="AC284" i="1"/>
  <c r="Z284" i="1"/>
  <c r="H284" i="1"/>
  <c r="AF283" i="1"/>
  <c r="AE283" i="1"/>
  <c r="AD283" i="1"/>
  <c r="AC283" i="1"/>
  <c r="Z283" i="1"/>
  <c r="H283" i="1"/>
  <c r="AF282" i="1"/>
  <c r="AE282" i="1"/>
  <c r="AD282" i="1"/>
  <c r="AC282" i="1"/>
  <c r="Z282" i="1"/>
  <c r="H282" i="1"/>
  <c r="AF281" i="1"/>
  <c r="AE281" i="1"/>
  <c r="AD281" i="1"/>
  <c r="AC281" i="1"/>
  <c r="Z281" i="1"/>
  <c r="H281" i="1"/>
  <c r="AF280" i="1"/>
  <c r="AE280" i="1"/>
  <c r="AD280" i="1"/>
  <c r="AC280" i="1"/>
  <c r="Z280" i="1"/>
  <c r="H280" i="1"/>
  <c r="AF279" i="1"/>
  <c r="AE279" i="1"/>
  <c r="AD279" i="1"/>
  <c r="AC279" i="1"/>
  <c r="Z279" i="1"/>
  <c r="H279" i="1"/>
  <c r="AF278" i="1"/>
  <c r="AE278" i="1"/>
  <c r="AD278" i="1"/>
  <c r="AC278" i="1"/>
  <c r="Z278" i="1"/>
  <c r="H278" i="1"/>
  <c r="AF277" i="1"/>
  <c r="AE277" i="1"/>
  <c r="AD277" i="1"/>
  <c r="AC277" i="1"/>
  <c r="Z277" i="1"/>
  <c r="H277" i="1"/>
  <c r="AF276" i="1"/>
  <c r="AE276" i="1"/>
  <c r="AD276" i="1"/>
  <c r="AC276" i="1"/>
  <c r="Z276" i="1"/>
  <c r="H276" i="1"/>
  <c r="AF275" i="1"/>
  <c r="AE275" i="1"/>
  <c r="AD275" i="1"/>
  <c r="AC275" i="1"/>
  <c r="Z275" i="1"/>
  <c r="H275" i="1"/>
  <c r="AF274" i="1"/>
  <c r="AE274" i="1"/>
  <c r="AD274" i="1"/>
  <c r="AC274" i="1"/>
  <c r="Z274" i="1"/>
  <c r="H274" i="1"/>
  <c r="AF273" i="1"/>
  <c r="AE273" i="1"/>
  <c r="AD273" i="1"/>
  <c r="AC273" i="1"/>
  <c r="Z273" i="1"/>
  <c r="H273" i="1"/>
  <c r="AF272" i="1"/>
  <c r="AE272" i="1"/>
  <c r="AD272" i="1"/>
  <c r="AC272" i="1"/>
  <c r="Z272" i="1"/>
  <c r="H272" i="1"/>
  <c r="AF271" i="1"/>
  <c r="AE271" i="1"/>
  <c r="AD271" i="1"/>
  <c r="AC271" i="1"/>
  <c r="Z271" i="1"/>
  <c r="H271" i="1"/>
  <c r="AF270" i="1"/>
  <c r="AE270" i="1"/>
  <c r="AD270" i="1"/>
  <c r="AC270" i="1"/>
  <c r="Z270" i="1"/>
  <c r="H270" i="1"/>
  <c r="AF269" i="1"/>
  <c r="AE269" i="1"/>
  <c r="AD269" i="1"/>
  <c r="AC269" i="1"/>
  <c r="Z269" i="1"/>
  <c r="H269" i="1"/>
  <c r="AF268" i="1"/>
  <c r="AE268" i="1"/>
  <c r="AD268" i="1"/>
  <c r="AC268" i="1"/>
  <c r="Z268" i="1"/>
  <c r="H268" i="1"/>
  <c r="AF267" i="1"/>
  <c r="AE267" i="1"/>
  <c r="AD267" i="1"/>
  <c r="AC267" i="1"/>
  <c r="Z267" i="1"/>
  <c r="H267" i="1"/>
  <c r="AF266" i="1"/>
  <c r="AE266" i="1"/>
  <c r="AD266" i="1"/>
  <c r="AC266" i="1"/>
  <c r="Z266" i="1"/>
  <c r="H266" i="1"/>
  <c r="AF265" i="1"/>
  <c r="AE265" i="1"/>
  <c r="AD265" i="1"/>
  <c r="AC265" i="1"/>
  <c r="Z265" i="1"/>
  <c r="H265" i="1"/>
  <c r="AF264" i="1"/>
  <c r="AE264" i="1"/>
  <c r="AD264" i="1"/>
  <c r="AC264" i="1"/>
  <c r="Z264" i="1"/>
  <c r="H264" i="1"/>
  <c r="AF263" i="1"/>
  <c r="AE263" i="1"/>
  <c r="AD263" i="1"/>
  <c r="AC263" i="1"/>
  <c r="Z263" i="1"/>
  <c r="H263" i="1"/>
  <c r="AF262" i="1"/>
  <c r="AE262" i="1"/>
  <c r="AD262" i="1"/>
  <c r="AC262" i="1"/>
  <c r="Z262" i="1"/>
  <c r="H262" i="1"/>
  <c r="AF261" i="1"/>
  <c r="AE261" i="1"/>
  <c r="AD261" i="1"/>
  <c r="AC261" i="1"/>
  <c r="Z261" i="1"/>
  <c r="H261" i="1"/>
  <c r="AF260" i="1"/>
  <c r="AE260" i="1"/>
  <c r="AD260" i="1"/>
  <c r="AC260" i="1"/>
  <c r="Z260" i="1"/>
  <c r="H260" i="1"/>
  <c r="AF259" i="1"/>
  <c r="AE259" i="1"/>
  <c r="AD259" i="1"/>
  <c r="AC259" i="1"/>
  <c r="Z259" i="1"/>
  <c r="H259" i="1"/>
  <c r="AF258" i="1"/>
  <c r="AE258" i="1"/>
  <c r="AD258" i="1"/>
  <c r="AC258" i="1"/>
  <c r="Z258" i="1"/>
  <c r="H258" i="1"/>
  <c r="AF257" i="1"/>
  <c r="AE257" i="1"/>
  <c r="AD257" i="1"/>
  <c r="AC257" i="1"/>
  <c r="Z257" i="1"/>
  <c r="H257" i="1"/>
  <c r="AF256" i="1"/>
  <c r="AE256" i="1"/>
  <c r="AD256" i="1"/>
  <c r="AC256" i="1"/>
  <c r="Z256" i="1"/>
  <c r="H256" i="1"/>
  <c r="AF255" i="1"/>
  <c r="AE255" i="1"/>
  <c r="AD255" i="1"/>
  <c r="AC255" i="1"/>
  <c r="Z255" i="1"/>
  <c r="H255" i="1"/>
  <c r="AF254" i="1"/>
  <c r="AE254" i="1"/>
  <c r="AD254" i="1"/>
  <c r="AC254" i="1"/>
  <c r="Z254" i="1"/>
  <c r="H254" i="1"/>
  <c r="AF253" i="1"/>
  <c r="AE253" i="1"/>
  <c r="AD253" i="1"/>
  <c r="AC253" i="1"/>
  <c r="Z253" i="1"/>
  <c r="H253" i="1"/>
  <c r="AF252" i="1"/>
  <c r="AE252" i="1"/>
  <c r="AD252" i="1"/>
  <c r="AC252" i="1"/>
  <c r="Z252" i="1"/>
  <c r="H252" i="1"/>
  <c r="AF251" i="1"/>
  <c r="AE251" i="1"/>
  <c r="AD251" i="1"/>
  <c r="AC251" i="1"/>
  <c r="Z251" i="1"/>
  <c r="H251" i="1"/>
  <c r="AF250" i="1"/>
  <c r="AE250" i="1"/>
  <c r="AD250" i="1"/>
  <c r="AC250" i="1"/>
  <c r="Z250" i="1"/>
  <c r="H250" i="1"/>
  <c r="AF249" i="1"/>
  <c r="AE249" i="1"/>
  <c r="AD249" i="1"/>
  <c r="AC249" i="1"/>
  <c r="Z249" i="1"/>
  <c r="H249" i="1"/>
  <c r="AF248" i="1"/>
  <c r="AE248" i="1"/>
  <c r="AD248" i="1"/>
  <c r="AC248" i="1"/>
  <c r="Z248" i="1"/>
  <c r="H248" i="1"/>
  <c r="AF247" i="1"/>
  <c r="AE247" i="1"/>
  <c r="AD247" i="1"/>
  <c r="AC247" i="1"/>
  <c r="Z247" i="1"/>
  <c r="H247" i="1"/>
  <c r="AF246" i="1"/>
  <c r="AE246" i="1"/>
  <c r="AD246" i="1"/>
  <c r="AC246" i="1"/>
  <c r="Z246" i="1"/>
  <c r="H246" i="1"/>
  <c r="AF245" i="1"/>
  <c r="AE245" i="1"/>
  <c r="AD245" i="1"/>
  <c r="AC245" i="1"/>
  <c r="Z245" i="1"/>
  <c r="H245" i="1"/>
  <c r="AF244" i="1"/>
  <c r="AE244" i="1"/>
  <c r="AD244" i="1"/>
  <c r="AC244" i="1"/>
  <c r="Z244" i="1"/>
  <c r="H244" i="1"/>
  <c r="AF243" i="1"/>
  <c r="AE243" i="1"/>
  <c r="AD243" i="1"/>
  <c r="AC243" i="1"/>
  <c r="Z243" i="1"/>
  <c r="H243" i="1"/>
  <c r="AF242" i="1"/>
  <c r="AE242" i="1"/>
  <c r="AD242" i="1"/>
  <c r="AC242" i="1"/>
  <c r="Z242" i="1"/>
  <c r="H242" i="1"/>
  <c r="AF241" i="1"/>
  <c r="AE241" i="1"/>
  <c r="AD241" i="1"/>
  <c r="AC241" i="1"/>
  <c r="Z241" i="1"/>
  <c r="H241" i="1"/>
  <c r="AF240" i="1"/>
  <c r="AE240" i="1"/>
  <c r="AD240" i="1"/>
  <c r="AC240" i="1"/>
  <c r="Z240" i="1"/>
  <c r="H240" i="1"/>
  <c r="AB239" i="1"/>
  <c r="Z239" i="1"/>
  <c r="L239" i="1"/>
  <c r="H239" i="1"/>
  <c r="AB238" i="1"/>
  <c r="Z238" i="1"/>
  <c r="L238" i="1"/>
  <c r="H238" i="1" s="1"/>
  <c r="AF237" i="1"/>
  <c r="AE237" i="1"/>
  <c r="AD237" i="1"/>
  <c r="AC237" i="1"/>
  <c r="AB237" i="1"/>
  <c r="Z237" i="1"/>
  <c r="AF236" i="1"/>
  <c r="AE236" i="1"/>
  <c r="AD236" i="1"/>
  <c r="AC236" i="1"/>
  <c r="AB236" i="1"/>
  <c r="Z236" i="1"/>
  <c r="AF235" i="1"/>
  <c r="AE235" i="1"/>
  <c r="AD235" i="1"/>
  <c r="AC235" i="1"/>
  <c r="H235" i="1"/>
  <c r="AF234" i="1"/>
  <c r="AE234" i="1"/>
  <c r="AD234" i="1"/>
  <c r="AC234" i="1"/>
  <c r="H234" i="1"/>
  <c r="AF233" i="1"/>
  <c r="AE233" i="1"/>
  <c r="AD233" i="1"/>
  <c r="AC233" i="1"/>
  <c r="Z233" i="1"/>
  <c r="H233" i="1"/>
  <c r="AF232" i="1"/>
  <c r="AE232" i="1"/>
  <c r="AD232" i="1"/>
  <c r="AC232" i="1"/>
  <c r="Z232" i="1"/>
  <c r="H232" i="1"/>
  <c r="AF231" i="1"/>
  <c r="AE231" i="1"/>
  <c r="AD231" i="1"/>
  <c r="AC231" i="1"/>
  <c r="Z231" i="1"/>
  <c r="H231" i="1"/>
  <c r="AF230" i="1"/>
  <c r="AE230" i="1"/>
  <c r="AD230" i="1"/>
  <c r="AC230" i="1"/>
  <c r="Z230" i="1"/>
  <c r="H230" i="1"/>
  <c r="AF229" i="1"/>
  <c r="AE229" i="1"/>
  <c r="AD229" i="1"/>
  <c r="AC229" i="1"/>
  <c r="Z229" i="1"/>
  <c r="H229" i="1"/>
  <c r="AF228" i="1"/>
  <c r="AE228" i="1"/>
  <c r="AD228" i="1"/>
  <c r="AC228" i="1"/>
  <c r="Z228" i="1"/>
  <c r="H228" i="1"/>
  <c r="AF227" i="1"/>
  <c r="AE227" i="1"/>
  <c r="AD227" i="1"/>
  <c r="AC227" i="1"/>
  <c r="Z227" i="1"/>
  <c r="H227" i="1"/>
  <c r="AF226" i="1"/>
  <c r="AE226" i="1"/>
  <c r="AD226" i="1"/>
  <c r="AC226" i="1"/>
  <c r="Z226" i="1"/>
  <c r="H226" i="1"/>
  <c r="AF225" i="1"/>
  <c r="AE225" i="1"/>
  <c r="AD225" i="1"/>
  <c r="AC225" i="1"/>
  <c r="Z225" i="1"/>
  <c r="H225" i="1"/>
  <c r="AF224" i="1"/>
  <c r="AE224" i="1"/>
  <c r="AD224" i="1"/>
  <c r="AC224" i="1"/>
  <c r="Z224" i="1"/>
  <c r="H224" i="1"/>
  <c r="AF223" i="1"/>
  <c r="AE223" i="1"/>
  <c r="AD223" i="1"/>
  <c r="AC223" i="1"/>
  <c r="Z223" i="1"/>
  <c r="H223" i="1"/>
  <c r="AF222" i="1"/>
  <c r="AE222" i="1"/>
  <c r="AD222" i="1"/>
  <c r="AC222" i="1"/>
  <c r="Z222" i="1"/>
  <c r="H222" i="1"/>
  <c r="AF221" i="1"/>
  <c r="AE221" i="1"/>
  <c r="AD221" i="1"/>
  <c r="AC221" i="1"/>
  <c r="Z221" i="1"/>
  <c r="H221" i="1"/>
  <c r="AF220" i="1"/>
  <c r="AE220" i="1"/>
  <c r="AD220" i="1"/>
  <c r="AC220" i="1"/>
  <c r="Z220" i="1"/>
  <c r="H220" i="1"/>
  <c r="AF219" i="1"/>
  <c r="AE219" i="1"/>
  <c r="AD219" i="1"/>
  <c r="AC219" i="1"/>
  <c r="Z219" i="1"/>
  <c r="H219" i="1"/>
  <c r="AF218" i="1"/>
  <c r="AE218" i="1"/>
  <c r="AD218" i="1"/>
  <c r="AC218" i="1"/>
  <c r="Z218" i="1"/>
  <c r="H218" i="1"/>
  <c r="AF217" i="1"/>
  <c r="AE217" i="1"/>
  <c r="AD217" i="1"/>
  <c r="AC217" i="1"/>
  <c r="Z217" i="1"/>
  <c r="H217" i="1"/>
  <c r="AF216" i="1"/>
  <c r="AE216" i="1"/>
  <c r="AD216" i="1"/>
  <c r="AC216" i="1"/>
  <c r="Z216" i="1"/>
  <c r="H216" i="1"/>
  <c r="AF215" i="1"/>
  <c r="AE215" i="1"/>
  <c r="AD215" i="1"/>
  <c r="AC215" i="1"/>
  <c r="Z215" i="1"/>
  <c r="H215" i="1"/>
  <c r="AF214" i="1"/>
  <c r="AE214" i="1"/>
  <c r="AD214" i="1"/>
  <c r="AC214" i="1"/>
  <c r="Z214" i="1"/>
  <c r="H214" i="1"/>
  <c r="AF213" i="1"/>
  <c r="AE213" i="1"/>
  <c r="AD213" i="1"/>
  <c r="AC213" i="1"/>
  <c r="Z213" i="1"/>
  <c r="H213" i="1"/>
  <c r="AF212" i="1"/>
  <c r="AE212" i="1"/>
  <c r="AD212" i="1"/>
  <c r="AC212" i="1"/>
  <c r="Z212" i="1"/>
  <c r="H212" i="1"/>
  <c r="AF211" i="1"/>
  <c r="AE211" i="1"/>
  <c r="AD211" i="1"/>
  <c r="AC211" i="1"/>
  <c r="Z211" i="1"/>
  <c r="H211" i="1"/>
  <c r="AF210" i="1"/>
  <c r="AE210" i="1"/>
  <c r="AD210" i="1"/>
  <c r="AC210" i="1"/>
  <c r="Z210" i="1"/>
  <c r="H210" i="1"/>
  <c r="AF209" i="1"/>
  <c r="AE209" i="1"/>
  <c r="AD209" i="1"/>
  <c r="AC209" i="1"/>
  <c r="Z209" i="1"/>
  <c r="H209" i="1"/>
  <c r="AF208" i="1"/>
  <c r="AE208" i="1"/>
  <c r="AD208" i="1"/>
  <c r="AC208" i="1"/>
  <c r="Z208" i="1"/>
  <c r="H208" i="1"/>
  <c r="AF207" i="1"/>
  <c r="AE207" i="1"/>
  <c r="AD207" i="1"/>
  <c r="AC207" i="1"/>
  <c r="Z207" i="1"/>
  <c r="H207" i="1"/>
  <c r="AF206" i="1"/>
  <c r="AE206" i="1"/>
  <c r="AD206" i="1"/>
  <c r="AC206" i="1"/>
  <c r="Z206" i="1"/>
  <c r="H206" i="1"/>
  <c r="AF205" i="1"/>
  <c r="AE205" i="1"/>
  <c r="AD205" i="1"/>
  <c r="AC205" i="1"/>
  <c r="Z205" i="1"/>
  <c r="H205" i="1"/>
  <c r="AF204" i="1"/>
  <c r="AE204" i="1"/>
  <c r="AD204" i="1"/>
  <c r="AC204" i="1"/>
  <c r="Z204" i="1"/>
  <c r="H204" i="1"/>
  <c r="AF203" i="1"/>
  <c r="AE203" i="1"/>
  <c r="AD203" i="1"/>
  <c r="AC203" i="1"/>
  <c r="Z203" i="1"/>
  <c r="H203" i="1"/>
  <c r="AF202" i="1"/>
  <c r="AE202" i="1"/>
  <c r="AD202" i="1"/>
  <c r="AC202" i="1"/>
  <c r="Z202" i="1"/>
  <c r="H202" i="1"/>
  <c r="AF201" i="1"/>
  <c r="AE201" i="1"/>
  <c r="AD201" i="1"/>
  <c r="AC201" i="1"/>
  <c r="Z201" i="1"/>
  <c r="H201" i="1"/>
  <c r="AF200" i="1"/>
  <c r="AE200" i="1"/>
  <c r="AD200" i="1"/>
  <c r="AC200" i="1"/>
  <c r="Z200" i="1"/>
  <c r="H200" i="1"/>
  <c r="AF199" i="1"/>
  <c r="AE199" i="1"/>
  <c r="AD199" i="1"/>
  <c r="AC199" i="1"/>
  <c r="Z199" i="1"/>
  <c r="H199" i="1"/>
  <c r="AF198" i="1"/>
  <c r="AE198" i="1"/>
  <c r="AD198" i="1"/>
  <c r="AC198" i="1"/>
  <c r="Z198" i="1"/>
  <c r="H198" i="1"/>
  <c r="AF197" i="1"/>
  <c r="AE197" i="1"/>
  <c r="AD197" i="1"/>
  <c r="AC197" i="1"/>
  <c r="Z197" i="1"/>
  <c r="H197" i="1"/>
  <c r="AF196" i="1"/>
  <c r="AE196" i="1"/>
  <c r="AD196" i="1"/>
  <c r="AC196" i="1"/>
  <c r="Z196" i="1"/>
  <c r="H196" i="1"/>
  <c r="AF195" i="1"/>
  <c r="AE195" i="1"/>
  <c r="AD195" i="1"/>
  <c r="AC195" i="1"/>
  <c r="Z195" i="1"/>
  <c r="H195" i="1"/>
  <c r="AF194" i="1"/>
  <c r="AE194" i="1"/>
  <c r="AD194" i="1"/>
  <c r="AC194" i="1"/>
  <c r="Z194" i="1"/>
  <c r="H194" i="1"/>
  <c r="AF193" i="1"/>
  <c r="AE193" i="1"/>
  <c r="AD193" i="1"/>
  <c r="AC193" i="1"/>
  <c r="Z193" i="1"/>
  <c r="H193" i="1"/>
  <c r="AF192" i="1"/>
  <c r="AE192" i="1"/>
  <c r="AD192" i="1"/>
  <c r="AC192" i="1"/>
  <c r="Z192" i="1"/>
  <c r="H192" i="1"/>
  <c r="AF191" i="1"/>
  <c r="AE191" i="1"/>
  <c r="AD191" i="1"/>
  <c r="AC191" i="1"/>
  <c r="Z191" i="1"/>
  <c r="H191" i="1"/>
  <c r="AF190" i="1"/>
  <c r="AE190" i="1"/>
  <c r="AD190" i="1"/>
  <c r="AC190" i="1"/>
  <c r="Z190" i="1"/>
  <c r="H190" i="1"/>
  <c r="AF189" i="1"/>
  <c r="AE189" i="1"/>
  <c r="AD189" i="1"/>
  <c r="AC189" i="1"/>
  <c r="Z189" i="1"/>
  <c r="H189" i="1"/>
  <c r="AF188" i="1"/>
  <c r="AE188" i="1"/>
  <c r="AD188" i="1"/>
  <c r="AC188" i="1"/>
  <c r="Z188" i="1"/>
  <c r="H188" i="1"/>
  <c r="AF187" i="1"/>
  <c r="AE187" i="1"/>
  <c r="AD187" i="1"/>
  <c r="AC187" i="1"/>
  <c r="Z187" i="1"/>
  <c r="H187" i="1"/>
  <c r="AF186" i="1"/>
  <c r="AE186" i="1"/>
  <c r="AD186" i="1"/>
  <c r="AC186" i="1"/>
  <c r="Z186" i="1"/>
  <c r="H186" i="1"/>
  <c r="AF185" i="1"/>
  <c r="AE185" i="1"/>
  <c r="AD185" i="1"/>
  <c r="AC185" i="1"/>
  <c r="Z185" i="1"/>
  <c r="H185" i="1"/>
  <c r="AF184" i="1"/>
  <c r="AE184" i="1"/>
  <c r="AD184" i="1"/>
  <c r="AC184" i="1"/>
  <c r="Z184" i="1"/>
  <c r="H184" i="1"/>
  <c r="AF183" i="1"/>
  <c r="AE183" i="1"/>
  <c r="AD183" i="1"/>
  <c r="AC183" i="1"/>
  <c r="Z183" i="1"/>
  <c r="H183" i="1"/>
  <c r="AF182" i="1"/>
  <c r="AE182" i="1"/>
  <c r="AD182" i="1"/>
  <c r="AC182" i="1"/>
  <c r="Z182" i="1"/>
  <c r="H182" i="1"/>
  <c r="AB181" i="1"/>
  <c r="Z181" i="1"/>
  <c r="L181" i="1"/>
  <c r="H181" i="1"/>
  <c r="AB180" i="1"/>
  <c r="Z180" i="1"/>
  <c r="L180" i="1"/>
  <c r="AF180" i="1" s="1"/>
  <c r="H180" i="1"/>
  <c r="AB179" i="1"/>
  <c r="Z179" i="1"/>
  <c r="L179" i="1"/>
  <c r="AC179" i="1" s="1"/>
  <c r="AB178" i="1"/>
  <c r="Z178" i="1"/>
  <c r="L178" i="1"/>
  <c r="H178" i="1"/>
  <c r="AF177" i="1"/>
  <c r="AE177" i="1"/>
  <c r="AD177" i="1"/>
  <c r="AC177" i="1"/>
  <c r="Z177" i="1"/>
  <c r="H177" i="1"/>
  <c r="AF176" i="1"/>
  <c r="AE176" i="1"/>
  <c r="AD176" i="1"/>
  <c r="AC176" i="1"/>
  <c r="Z176" i="1"/>
  <c r="H176" i="1"/>
  <c r="AF175" i="1"/>
  <c r="AE175" i="1"/>
  <c r="AD175" i="1"/>
  <c r="AC175" i="1"/>
  <c r="Z175" i="1"/>
  <c r="H175" i="1"/>
  <c r="AF174" i="1"/>
  <c r="AE174" i="1"/>
  <c r="AD174" i="1"/>
  <c r="AC174" i="1"/>
  <c r="Z174" i="1"/>
  <c r="H174" i="1"/>
  <c r="AF173" i="1"/>
  <c r="AE173" i="1"/>
  <c r="AD173" i="1"/>
  <c r="AC173" i="1"/>
  <c r="Z173" i="1"/>
  <c r="H173" i="1"/>
  <c r="AF172" i="1"/>
  <c r="AE172" i="1"/>
  <c r="AD172" i="1"/>
  <c r="AC172" i="1"/>
  <c r="Z172" i="1"/>
  <c r="H172" i="1"/>
  <c r="AF171" i="1"/>
  <c r="AE171" i="1"/>
  <c r="AD171" i="1"/>
  <c r="AC171" i="1"/>
  <c r="Z171" i="1"/>
  <c r="H171" i="1"/>
  <c r="AF170" i="1"/>
  <c r="AE170" i="1"/>
  <c r="AD170" i="1"/>
  <c r="AC170" i="1"/>
  <c r="Z170" i="1"/>
  <c r="H170" i="1"/>
  <c r="AF169" i="1"/>
  <c r="AE169" i="1"/>
  <c r="AD169" i="1"/>
  <c r="AC169" i="1"/>
  <c r="Z169" i="1"/>
  <c r="H169" i="1"/>
  <c r="AF168" i="1"/>
  <c r="AE168" i="1"/>
  <c r="AD168" i="1"/>
  <c r="AC168" i="1"/>
  <c r="Z168" i="1"/>
  <c r="H168" i="1"/>
  <c r="AF167" i="1"/>
  <c r="AE167" i="1"/>
  <c r="AD167" i="1"/>
  <c r="AC167" i="1"/>
  <c r="Z167" i="1"/>
  <c r="H167" i="1"/>
  <c r="AF166" i="1"/>
  <c r="AE166" i="1"/>
  <c r="AD166" i="1"/>
  <c r="AC166" i="1"/>
  <c r="Z166" i="1"/>
  <c r="H166" i="1"/>
  <c r="AF165" i="1"/>
  <c r="AE165" i="1"/>
  <c r="AD165" i="1"/>
  <c r="AC165" i="1"/>
  <c r="Z165" i="1"/>
  <c r="H165" i="1"/>
  <c r="AF164" i="1"/>
  <c r="AE164" i="1"/>
  <c r="AD164" i="1"/>
  <c r="AC164" i="1"/>
  <c r="Z164" i="1"/>
  <c r="H164" i="1"/>
  <c r="AF163" i="1"/>
  <c r="AE163" i="1"/>
  <c r="AD163" i="1"/>
  <c r="AC163" i="1"/>
  <c r="Z163" i="1"/>
  <c r="H163" i="1"/>
  <c r="AF162" i="1"/>
  <c r="AE162" i="1"/>
  <c r="AD162" i="1"/>
  <c r="AC162" i="1"/>
  <c r="Z162" i="1"/>
  <c r="H162" i="1"/>
  <c r="AF161" i="1"/>
  <c r="AE161" i="1"/>
  <c r="AD161" i="1"/>
  <c r="AC161" i="1"/>
  <c r="Z161" i="1"/>
  <c r="H161" i="1"/>
  <c r="AF160" i="1"/>
  <c r="AE160" i="1"/>
  <c r="AD160" i="1"/>
  <c r="AC160" i="1"/>
  <c r="Z160" i="1"/>
  <c r="H160" i="1"/>
  <c r="AF159" i="1"/>
  <c r="AE159" i="1"/>
  <c r="AD159" i="1"/>
  <c r="AC159" i="1"/>
  <c r="Z159" i="1"/>
  <c r="H159" i="1"/>
  <c r="AF158" i="1"/>
  <c r="AE158" i="1"/>
  <c r="AD158" i="1"/>
  <c r="AC158" i="1"/>
  <c r="Z158" i="1"/>
  <c r="H158" i="1"/>
  <c r="AF157" i="1"/>
  <c r="AE157" i="1"/>
  <c r="AD157" i="1"/>
  <c r="AC157" i="1"/>
  <c r="Z157" i="1"/>
  <c r="H157" i="1"/>
  <c r="AF156" i="1"/>
  <c r="AE156" i="1"/>
  <c r="AD156" i="1"/>
  <c r="AC156" i="1"/>
  <c r="Z156" i="1"/>
  <c r="H156" i="1"/>
  <c r="AF155" i="1"/>
  <c r="AE155" i="1"/>
  <c r="AD155" i="1"/>
  <c r="AC155" i="1"/>
  <c r="Z155" i="1"/>
  <c r="H155" i="1"/>
  <c r="AF154" i="1"/>
  <c r="AE154" i="1"/>
  <c r="AD154" i="1"/>
  <c r="AC154" i="1"/>
  <c r="Z154" i="1"/>
  <c r="H154" i="1"/>
  <c r="AF153" i="1"/>
  <c r="AE153" i="1"/>
  <c r="AD153" i="1"/>
  <c r="AC153" i="1"/>
  <c r="Z153" i="1"/>
  <c r="H153" i="1"/>
  <c r="AF152" i="1"/>
  <c r="AE152" i="1"/>
  <c r="AD152" i="1"/>
  <c r="AC152" i="1"/>
  <c r="Z152" i="1"/>
  <c r="H152" i="1"/>
  <c r="AF151" i="1"/>
  <c r="AE151" i="1"/>
  <c r="AD151" i="1"/>
  <c r="AC151" i="1"/>
  <c r="Z151" i="1"/>
  <c r="H151" i="1"/>
  <c r="AF150" i="1"/>
  <c r="AE150" i="1"/>
  <c r="AD150" i="1"/>
  <c r="AC150" i="1"/>
  <c r="Z150" i="1"/>
  <c r="H150" i="1"/>
  <c r="AF149" i="1"/>
  <c r="AE149" i="1"/>
  <c r="AD149" i="1"/>
  <c r="AC149" i="1"/>
  <c r="Z149" i="1"/>
  <c r="H149" i="1"/>
  <c r="BE148" i="1"/>
  <c r="AF148" i="1"/>
  <c r="AE148" i="1"/>
  <c r="AD148" i="1"/>
  <c r="AC148" i="1"/>
  <c r="AB148" i="1"/>
  <c r="AA148" i="1"/>
  <c r="Z148" i="1"/>
  <c r="J148" i="1"/>
  <c r="H148" i="1"/>
  <c r="AF147" i="1"/>
  <c r="AE147" i="1"/>
  <c r="AD147" i="1"/>
  <c r="AC147" i="1"/>
  <c r="Z147" i="1"/>
  <c r="H147" i="1"/>
  <c r="AF146" i="1"/>
  <c r="AE146" i="1"/>
  <c r="AD146" i="1"/>
  <c r="AC146" i="1"/>
  <c r="Z146" i="1"/>
  <c r="H146" i="1"/>
  <c r="AF145" i="1"/>
  <c r="AE145" i="1"/>
  <c r="AD145" i="1"/>
  <c r="AC145" i="1"/>
  <c r="Z145" i="1"/>
  <c r="H145" i="1"/>
  <c r="AF144" i="1"/>
  <c r="AE144" i="1"/>
  <c r="AD144" i="1"/>
  <c r="AC144" i="1"/>
  <c r="Z144" i="1"/>
  <c r="H144" i="1"/>
  <c r="AF143" i="1"/>
  <c r="AE143" i="1"/>
  <c r="AD143" i="1"/>
  <c r="AC143" i="1"/>
  <c r="Z143" i="1"/>
  <c r="H143" i="1"/>
  <c r="AF142" i="1"/>
  <c r="AE142" i="1"/>
  <c r="AD142" i="1"/>
  <c r="AC142" i="1"/>
  <c r="Z142" i="1"/>
  <c r="H142" i="1"/>
  <c r="AF141" i="1"/>
  <c r="AE141" i="1"/>
  <c r="AD141" i="1"/>
  <c r="AC141" i="1"/>
  <c r="Z141" i="1"/>
  <c r="H141" i="1"/>
  <c r="AF140" i="1"/>
  <c r="AE140" i="1"/>
  <c r="AD140" i="1"/>
  <c r="AC140" i="1"/>
  <c r="Z140" i="1"/>
  <c r="H140" i="1"/>
  <c r="AF139" i="1"/>
  <c r="AE139" i="1"/>
  <c r="AD139" i="1"/>
  <c r="AC139" i="1"/>
  <c r="Z139" i="1"/>
  <c r="H139" i="1"/>
  <c r="AF138" i="1"/>
  <c r="AE138" i="1"/>
  <c r="AD138" i="1"/>
  <c r="AC138" i="1"/>
  <c r="Z138" i="1"/>
  <c r="H138" i="1"/>
  <c r="AF137" i="1"/>
  <c r="AE137" i="1"/>
  <c r="AD137" i="1"/>
  <c r="AC137" i="1"/>
  <c r="Z137" i="1"/>
  <c r="H137" i="1"/>
  <c r="AF136" i="1"/>
  <c r="AE136" i="1"/>
  <c r="AD136" i="1"/>
  <c r="AC136" i="1"/>
  <c r="Z136" i="1"/>
  <c r="H136" i="1"/>
  <c r="AF135" i="1"/>
  <c r="AE135" i="1"/>
  <c r="AD135" i="1"/>
  <c r="AC135" i="1"/>
  <c r="Z135" i="1"/>
  <c r="H135" i="1"/>
  <c r="AF134" i="1"/>
  <c r="AE134" i="1"/>
  <c r="AD134" i="1"/>
  <c r="AC134" i="1"/>
  <c r="Z134" i="1"/>
  <c r="H134" i="1"/>
  <c r="AF133" i="1"/>
  <c r="AE133" i="1"/>
  <c r="AD133" i="1"/>
  <c r="AC133" i="1"/>
  <c r="Z133" i="1"/>
  <c r="H133" i="1"/>
  <c r="AF132" i="1"/>
  <c r="AE132" i="1"/>
  <c r="AD132" i="1"/>
  <c r="AC132" i="1"/>
  <c r="Z132" i="1"/>
  <c r="H132" i="1"/>
  <c r="AF131" i="1"/>
  <c r="AE131" i="1"/>
  <c r="AD131" i="1"/>
  <c r="AC131" i="1"/>
  <c r="Z131" i="1"/>
  <c r="H131" i="1"/>
  <c r="AF130" i="1"/>
  <c r="AE130" i="1"/>
  <c r="AD130" i="1"/>
  <c r="AC130" i="1"/>
  <c r="Z130" i="1"/>
  <c r="H130" i="1"/>
  <c r="AF129" i="1"/>
  <c r="AE129" i="1"/>
  <c r="AD129" i="1"/>
  <c r="AC129" i="1"/>
  <c r="Z129" i="1"/>
  <c r="H129" i="1"/>
  <c r="AF128" i="1"/>
  <c r="AE128" i="1"/>
  <c r="AD128" i="1"/>
  <c r="AC128" i="1"/>
  <c r="Z128" i="1"/>
  <c r="H128" i="1"/>
  <c r="AB127" i="1"/>
  <c r="Z127" i="1"/>
  <c r="L127" i="1"/>
  <c r="AF127" i="1" s="1"/>
  <c r="H127" i="1"/>
  <c r="AF126" i="1"/>
  <c r="AE126" i="1"/>
  <c r="AD126" i="1"/>
  <c r="AC126" i="1"/>
  <c r="Z126" i="1"/>
  <c r="H126" i="1"/>
  <c r="AF125" i="1"/>
  <c r="AE125" i="1"/>
  <c r="AD125" i="1"/>
  <c r="AC125" i="1"/>
  <c r="Z125" i="1"/>
  <c r="H125" i="1"/>
  <c r="AF124" i="1"/>
  <c r="AE124" i="1"/>
  <c r="AD124" i="1"/>
  <c r="AC124" i="1"/>
  <c r="Z124" i="1"/>
  <c r="H124" i="1"/>
  <c r="AF123" i="1"/>
  <c r="AE123" i="1"/>
  <c r="AD123" i="1"/>
  <c r="AC123" i="1"/>
  <c r="Z123" i="1"/>
  <c r="H123" i="1"/>
  <c r="AF122" i="1"/>
  <c r="AE122" i="1"/>
  <c r="AD122" i="1"/>
  <c r="AC122" i="1"/>
  <c r="Z122" i="1"/>
  <c r="H122" i="1"/>
  <c r="AF121" i="1"/>
  <c r="AE121" i="1"/>
  <c r="AD121" i="1"/>
  <c r="AC121" i="1"/>
  <c r="Z121" i="1"/>
  <c r="H121" i="1"/>
  <c r="AB120" i="1"/>
  <c r="Z120" i="1"/>
  <c r="L120" i="1"/>
  <c r="AF120" i="1" s="1"/>
  <c r="H120" i="1"/>
  <c r="AF119" i="1"/>
  <c r="AE119" i="1"/>
  <c r="AD119" i="1"/>
  <c r="AC119" i="1"/>
  <c r="Z119" i="1"/>
  <c r="H119" i="1"/>
  <c r="AF118" i="1"/>
  <c r="AE118" i="1"/>
  <c r="AD118" i="1"/>
  <c r="AC118" i="1"/>
  <c r="Z118" i="1"/>
  <c r="H118" i="1"/>
  <c r="AF117" i="1"/>
  <c r="AE117" i="1"/>
  <c r="AD117" i="1"/>
  <c r="AC117" i="1"/>
  <c r="Z117" i="1"/>
  <c r="H117" i="1"/>
  <c r="AF116" i="1"/>
  <c r="AE116" i="1"/>
  <c r="AD116" i="1"/>
  <c r="AC116" i="1"/>
  <c r="Z116" i="1"/>
  <c r="H116" i="1"/>
  <c r="AF115" i="1"/>
  <c r="AE115" i="1"/>
  <c r="AD115" i="1"/>
  <c r="AC115" i="1"/>
  <c r="Z115" i="1"/>
  <c r="H115" i="1"/>
  <c r="AF114" i="1"/>
  <c r="AE114" i="1"/>
  <c r="AD114" i="1"/>
  <c r="AC114" i="1"/>
  <c r="Z114" i="1"/>
  <c r="H114" i="1"/>
  <c r="AF113" i="1"/>
  <c r="AE113" i="1"/>
  <c r="AD113" i="1"/>
  <c r="AC113" i="1"/>
  <c r="Z113" i="1"/>
  <c r="H113" i="1"/>
  <c r="AF112" i="1"/>
  <c r="AE112" i="1"/>
  <c r="AD112" i="1"/>
  <c r="AC112" i="1"/>
  <c r="Z112" i="1"/>
  <c r="H112" i="1"/>
  <c r="AF111" i="1"/>
  <c r="AE111" i="1"/>
  <c r="AD111" i="1"/>
  <c r="AC111" i="1"/>
  <c r="Z111" i="1"/>
  <c r="H111" i="1"/>
  <c r="AF110" i="1"/>
  <c r="AE110" i="1"/>
  <c r="AD110" i="1"/>
  <c r="AC110" i="1"/>
  <c r="H110" i="1"/>
  <c r="AF109" i="1"/>
  <c r="AE109" i="1"/>
  <c r="AD109" i="1"/>
  <c r="AC109" i="1"/>
  <c r="H109" i="1"/>
  <c r="AF108" i="1"/>
  <c r="AE108" i="1"/>
  <c r="AD108" i="1"/>
  <c r="AC108" i="1"/>
  <c r="H108" i="1"/>
  <c r="AF107" i="1"/>
  <c r="AE107" i="1"/>
  <c r="AD107" i="1"/>
  <c r="AC107" i="1"/>
  <c r="H107" i="1"/>
  <c r="AF106" i="1"/>
  <c r="AE106" i="1"/>
  <c r="AD106" i="1"/>
  <c r="AC106" i="1"/>
  <c r="AB106" i="1"/>
  <c r="Z106" i="1"/>
  <c r="AB105" i="1"/>
  <c r="Z105" i="1"/>
  <c r="L105" i="1"/>
  <c r="AF105" i="1" s="1"/>
  <c r="H105" i="1"/>
  <c r="AF104" i="1"/>
  <c r="AE104" i="1"/>
  <c r="AD104" i="1"/>
  <c r="AC104" i="1"/>
  <c r="Z104" i="1"/>
  <c r="H104" i="1"/>
  <c r="AF103" i="1"/>
  <c r="AB103" i="1"/>
  <c r="Z103" i="1"/>
  <c r="L103" i="1"/>
  <c r="AC103" i="1" s="1"/>
  <c r="H103" i="1"/>
  <c r="AF102" i="1"/>
  <c r="AE102" i="1"/>
  <c r="AD102" i="1"/>
  <c r="AC102" i="1"/>
  <c r="Z102" i="1"/>
  <c r="H102" i="1"/>
  <c r="AF101" i="1"/>
  <c r="AE101" i="1"/>
  <c r="AD101" i="1"/>
  <c r="AC101" i="1"/>
  <c r="Z101" i="1"/>
  <c r="H101" i="1"/>
  <c r="AF100" i="1"/>
  <c r="AE100" i="1"/>
  <c r="AD100" i="1"/>
  <c r="AC100" i="1"/>
  <c r="Z100" i="1"/>
  <c r="H100" i="1"/>
  <c r="AF99" i="1"/>
  <c r="AE99" i="1"/>
  <c r="AD99" i="1"/>
  <c r="AC99" i="1"/>
  <c r="Z99" i="1"/>
  <c r="H99" i="1"/>
  <c r="AF98" i="1"/>
  <c r="AE98" i="1"/>
  <c r="AD98" i="1"/>
  <c r="AC98" i="1"/>
  <c r="Z98" i="1"/>
  <c r="H98" i="1"/>
  <c r="AF97" i="1"/>
  <c r="AE97" i="1"/>
  <c r="AD97" i="1"/>
  <c r="AC97" i="1"/>
  <c r="Z97" i="1"/>
  <c r="H97" i="1"/>
  <c r="AF96" i="1"/>
  <c r="AE96" i="1"/>
  <c r="AD96" i="1"/>
  <c r="AC96" i="1"/>
  <c r="Z96" i="1"/>
  <c r="H96" i="1"/>
  <c r="AB95" i="1"/>
  <c r="Z95" i="1"/>
  <c r="L95" i="1"/>
  <c r="H95" i="1"/>
  <c r="AB94" i="1"/>
  <c r="Z94" i="1"/>
  <c r="L94" i="1"/>
  <c r="AF94" i="1" s="1"/>
  <c r="H94" i="1"/>
  <c r="AF93" i="1"/>
  <c r="AE93" i="1"/>
  <c r="AD93" i="1"/>
  <c r="AC93" i="1"/>
  <c r="Z93" i="1"/>
  <c r="H93" i="1"/>
  <c r="AF92" i="1"/>
  <c r="AE92" i="1"/>
  <c r="AD92" i="1"/>
  <c r="AC92" i="1"/>
  <c r="Z92" i="1"/>
  <c r="H92" i="1"/>
  <c r="AF91" i="1"/>
  <c r="AE91" i="1"/>
  <c r="AD91" i="1"/>
  <c r="AC91" i="1"/>
  <c r="Z91" i="1"/>
  <c r="H91" i="1"/>
  <c r="AB90" i="1"/>
  <c r="Z90" i="1"/>
  <c r="L90" i="1"/>
  <c r="H90" i="1"/>
  <c r="AF89" i="1"/>
  <c r="AE89" i="1"/>
  <c r="AD89" i="1"/>
  <c r="AC89" i="1"/>
  <c r="Z89" i="1"/>
  <c r="H89" i="1"/>
  <c r="AF88" i="1"/>
  <c r="AE88" i="1"/>
  <c r="AD88" i="1"/>
  <c r="AC88" i="1"/>
  <c r="Z88" i="1"/>
  <c r="H88" i="1"/>
  <c r="AF87" i="1"/>
  <c r="AE87" i="1"/>
  <c r="AD87" i="1"/>
  <c r="AC87" i="1"/>
  <c r="Z87" i="1"/>
  <c r="H87" i="1"/>
  <c r="AF86" i="1"/>
  <c r="AE86" i="1"/>
  <c r="AD86" i="1"/>
  <c r="AC86" i="1"/>
  <c r="Z86" i="1"/>
  <c r="H86" i="1"/>
  <c r="AF85" i="1"/>
  <c r="AE85" i="1"/>
  <c r="AD85" i="1"/>
  <c r="AC85" i="1"/>
  <c r="AB85" i="1"/>
  <c r="Z85" i="1"/>
  <c r="AF84" i="1"/>
  <c r="AE84" i="1"/>
  <c r="AD84" i="1"/>
  <c r="AC84" i="1"/>
  <c r="Z84" i="1"/>
  <c r="H84" i="1"/>
  <c r="BE83" i="1"/>
  <c r="AF83" i="1"/>
  <c r="AE83" i="1"/>
  <c r="AD83" i="1"/>
  <c r="AC83" i="1"/>
  <c r="AB83" i="1"/>
  <c r="AA83" i="1"/>
  <c r="Z83" i="1"/>
  <c r="AF82" i="1"/>
  <c r="AB82" i="1"/>
  <c r="Z82" i="1"/>
  <c r="L82" i="1"/>
  <c r="AE82" i="1" s="1"/>
  <c r="H82" i="1"/>
  <c r="AF81" i="1"/>
  <c r="AE81" i="1"/>
  <c r="AD81" i="1"/>
  <c r="AC81" i="1"/>
  <c r="Z81" i="1"/>
  <c r="H81" i="1"/>
  <c r="AF80" i="1"/>
  <c r="AE80" i="1"/>
  <c r="AD80" i="1"/>
  <c r="AC80" i="1"/>
  <c r="Z80" i="1"/>
  <c r="H80" i="1"/>
  <c r="AB79" i="1"/>
  <c r="Z79" i="1"/>
  <c r="L79" i="1"/>
  <c r="AC79" i="1" s="1"/>
  <c r="H79" i="1"/>
  <c r="AF78" i="1"/>
  <c r="AE78" i="1"/>
  <c r="AD78" i="1"/>
  <c r="AC78" i="1"/>
  <c r="Z78" i="1"/>
  <c r="H78" i="1"/>
  <c r="AF77" i="1"/>
  <c r="AE77" i="1"/>
  <c r="AB77" i="1"/>
  <c r="Z77" i="1"/>
  <c r="L77" i="1"/>
  <c r="H77" i="1"/>
  <c r="AF76" i="1"/>
  <c r="AE76" i="1"/>
  <c r="AD76" i="1"/>
  <c r="AC76" i="1"/>
  <c r="Z76" i="1"/>
  <c r="H76" i="1"/>
  <c r="AF75" i="1"/>
  <c r="AE75" i="1"/>
  <c r="AD75" i="1"/>
  <c r="AC75" i="1"/>
  <c r="Z75" i="1"/>
  <c r="H75" i="1"/>
  <c r="AF74" i="1"/>
  <c r="AE74" i="1"/>
  <c r="AD74" i="1"/>
  <c r="AC74" i="1"/>
  <c r="Z74" i="1"/>
  <c r="H74" i="1"/>
  <c r="AF73" i="1"/>
  <c r="AE73" i="1"/>
  <c r="AD73" i="1"/>
  <c r="AC73" i="1"/>
  <c r="Z73" i="1"/>
  <c r="H73" i="1"/>
  <c r="AF72" i="1"/>
  <c r="AE72" i="1"/>
  <c r="AD72" i="1"/>
  <c r="AC72" i="1"/>
  <c r="Z72" i="1"/>
  <c r="H72" i="1"/>
  <c r="AF71" i="1"/>
  <c r="AE71" i="1"/>
  <c r="AD71" i="1"/>
  <c r="AC71" i="1"/>
  <c r="Z71" i="1"/>
  <c r="H71" i="1"/>
  <c r="AB70" i="1"/>
  <c r="Z70" i="1"/>
  <c r="L70" i="1"/>
  <c r="AE70" i="1" s="1"/>
  <c r="H70" i="1"/>
  <c r="AF69" i="1"/>
  <c r="AE69" i="1"/>
  <c r="AD69" i="1"/>
  <c r="AC69" i="1"/>
  <c r="Z69" i="1"/>
  <c r="H69" i="1"/>
  <c r="AF68" i="1"/>
  <c r="AE68" i="1"/>
  <c r="AD68" i="1"/>
  <c r="AC68" i="1"/>
  <c r="Z68" i="1"/>
  <c r="H68" i="1"/>
  <c r="AF67" i="1"/>
  <c r="AE67" i="1"/>
  <c r="AD67" i="1"/>
  <c r="AC67" i="1"/>
  <c r="Z67" i="1"/>
  <c r="H67" i="1"/>
  <c r="AF66" i="1"/>
  <c r="AE66" i="1"/>
  <c r="AD66" i="1"/>
  <c r="AC66" i="1"/>
  <c r="Z66" i="1"/>
  <c r="H66" i="1"/>
  <c r="AF65" i="1"/>
  <c r="AE65" i="1"/>
  <c r="AD65" i="1"/>
  <c r="AC65" i="1"/>
  <c r="Z65" i="1"/>
  <c r="H65" i="1"/>
  <c r="AF64" i="1"/>
  <c r="AE64" i="1"/>
  <c r="AD64" i="1"/>
  <c r="AC64" i="1"/>
  <c r="Z64" i="1"/>
  <c r="H64" i="1"/>
  <c r="AF63" i="1"/>
  <c r="AE63" i="1"/>
  <c r="AD63" i="1"/>
  <c r="AC63" i="1"/>
  <c r="Z63" i="1"/>
  <c r="H63" i="1"/>
  <c r="AF62" i="1"/>
  <c r="AE62" i="1"/>
  <c r="AD62" i="1"/>
  <c r="AC62" i="1"/>
  <c r="Z62" i="1"/>
  <c r="H62" i="1"/>
  <c r="AF61" i="1"/>
  <c r="AE61" i="1"/>
  <c r="AD61" i="1"/>
  <c r="AC61" i="1"/>
  <c r="Z61" i="1"/>
  <c r="H61" i="1"/>
  <c r="AF60" i="1"/>
  <c r="AE60" i="1"/>
  <c r="AD60" i="1"/>
  <c r="AC60" i="1"/>
  <c r="Z60" i="1"/>
  <c r="H60" i="1"/>
  <c r="AF59" i="1"/>
  <c r="AE59" i="1"/>
  <c r="AD59" i="1"/>
  <c r="AC59" i="1"/>
  <c r="Z59" i="1"/>
  <c r="H59" i="1"/>
  <c r="AF58" i="1"/>
  <c r="AE58" i="1"/>
  <c r="AD58" i="1"/>
  <c r="AC58" i="1"/>
  <c r="Z58" i="1"/>
  <c r="H58" i="1"/>
  <c r="AF57" i="1"/>
  <c r="AE57" i="1"/>
  <c r="AD57" i="1"/>
  <c r="AC57" i="1"/>
  <c r="Z57" i="1"/>
  <c r="H57" i="1"/>
  <c r="AF56" i="1"/>
  <c r="AE56" i="1"/>
  <c r="AD56" i="1"/>
  <c r="AC56" i="1"/>
  <c r="Z56" i="1"/>
  <c r="H56" i="1"/>
  <c r="AF55" i="1"/>
  <c r="AE55" i="1"/>
  <c r="AD55" i="1"/>
  <c r="AC55" i="1"/>
  <c r="AB55" i="1"/>
  <c r="Z55" i="1"/>
  <c r="L55" i="1"/>
  <c r="H55" i="1"/>
  <c r="AB54" i="1"/>
  <c r="Z54" i="1"/>
  <c r="L54" i="1"/>
  <c r="AC54" i="1" s="1"/>
  <c r="H54" i="1"/>
  <c r="AB53" i="1"/>
  <c r="Z53" i="1"/>
  <c r="L53" i="1"/>
  <c r="AF53" i="1" s="1"/>
  <c r="H53" i="1"/>
  <c r="AF52" i="1"/>
  <c r="AE52" i="1"/>
  <c r="AD52" i="1"/>
  <c r="AC52" i="1"/>
  <c r="Z52" i="1"/>
  <c r="H52" i="1"/>
  <c r="AF51" i="1"/>
  <c r="AE51" i="1"/>
  <c r="AD51" i="1"/>
  <c r="AC51" i="1"/>
  <c r="Z51" i="1"/>
  <c r="H51" i="1"/>
  <c r="AF50" i="1"/>
  <c r="AE50" i="1"/>
  <c r="AD50" i="1"/>
  <c r="AC50" i="1"/>
  <c r="Z50" i="1"/>
  <c r="H50" i="1"/>
  <c r="AF49" i="1"/>
  <c r="AE49" i="1"/>
  <c r="AD49" i="1"/>
  <c r="AC49" i="1"/>
  <c r="Z49" i="1"/>
  <c r="H49" i="1"/>
  <c r="AF48" i="1"/>
  <c r="AE48" i="1"/>
  <c r="AD48" i="1"/>
  <c r="AC48" i="1"/>
  <c r="Z48" i="1"/>
  <c r="H48" i="1"/>
  <c r="AF47" i="1"/>
  <c r="AE47" i="1"/>
  <c r="AD47" i="1"/>
  <c r="AC47" i="1"/>
  <c r="Z47" i="1"/>
  <c r="H47" i="1"/>
  <c r="AF46" i="1"/>
  <c r="AE46" i="1"/>
  <c r="AD46" i="1"/>
  <c r="AC46" i="1"/>
  <c r="Z46" i="1"/>
  <c r="H46" i="1"/>
  <c r="AF45" i="1"/>
  <c r="AE45" i="1"/>
  <c r="AD45" i="1"/>
  <c r="AC45" i="1"/>
  <c r="Z45" i="1"/>
  <c r="H45" i="1"/>
  <c r="AF44" i="1"/>
  <c r="AE44" i="1"/>
  <c r="AD44" i="1"/>
  <c r="AB44" i="1"/>
  <c r="Z44" i="1"/>
  <c r="L44" i="1"/>
  <c r="AC44" i="1" s="1"/>
  <c r="H44" i="1"/>
  <c r="AF43" i="1"/>
  <c r="AE43" i="1"/>
  <c r="AD43" i="1"/>
  <c r="AC43" i="1"/>
  <c r="Z43" i="1"/>
  <c r="H43" i="1"/>
  <c r="AF42" i="1"/>
  <c r="AE42" i="1"/>
  <c r="AD42" i="1"/>
  <c r="AC42" i="1"/>
  <c r="Z42" i="1"/>
  <c r="H42" i="1"/>
  <c r="AF41" i="1"/>
  <c r="AE41" i="1"/>
  <c r="AD41" i="1"/>
  <c r="AC41" i="1"/>
  <c r="Z41" i="1"/>
  <c r="H41" i="1"/>
  <c r="AF40" i="1"/>
  <c r="AE40" i="1"/>
  <c r="AD40" i="1"/>
  <c r="AC40" i="1"/>
  <c r="Z40" i="1"/>
  <c r="H40" i="1"/>
  <c r="AB39" i="1"/>
  <c r="Z39" i="1"/>
  <c r="L39" i="1"/>
  <c r="AF39" i="1" s="1"/>
  <c r="H39" i="1"/>
  <c r="AC38" i="1"/>
  <c r="AB38" i="1"/>
  <c r="Z38" i="1"/>
  <c r="L38" i="1"/>
  <c r="AF38" i="1" s="1"/>
  <c r="H38" i="1"/>
  <c r="AF37" i="1"/>
  <c r="AE37" i="1"/>
  <c r="AD37" i="1"/>
  <c r="AC37" i="1"/>
  <c r="Z37" i="1"/>
  <c r="H37" i="1"/>
  <c r="AF36" i="1"/>
  <c r="AE36" i="1"/>
  <c r="AD36" i="1"/>
  <c r="AC36" i="1"/>
  <c r="Z36" i="1"/>
  <c r="H36" i="1"/>
  <c r="AB35" i="1"/>
  <c r="Z35" i="1"/>
  <c r="L35" i="1"/>
  <c r="AD35" i="1" s="1"/>
  <c r="AE34" i="1"/>
  <c r="AB34" i="1"/>
  <c r="Z34" i="1"/>
  <c r="L34" i="1"/>
  <c r="AC34" i="1" s="1"/>
  <c r="H34" i="1"/>
  <c r="AF33" i="1"/>
  <c r="AE33" i="1"/>
  <c r="AD33" i="1"/>
  <c r="AC33" i="1"/>
  <c r="Z33" i="1"/>
  <c r="H33" i="1"/>
  <c r="AF32" i="1"/>
  <c r="AE32" i="1"/>
  <c r="AD32" i="1"/>
  <c r="AC32" i="1"/>
  <c r="Z32" i="1"/>
  <c r="H32" i="1"/>
  <c r="AB31" i="1"/>
  <c r="Z31" i="1"/>
  <c r="L31" i="1"/>
  <c r="H31" i="1"/>
  <c r="AF30" i="1"/>
  <c r="AE30" i="1"/>
  <c r="AD30" i="1"/>
  <c r="AC30" i="1"/>
  <c r="Z30" i="1"/>
  <c r="H30" i="1"/>
  <c r="AF29" i="1"/>
  <c r="AE29" i="1"/>
  <c r="AD29" i="1"/>
  <c r="AC29" i="1"/>
  <c r="Z29" i="1"/>
  <c r="H29" i="1"/>
  <c r="AF28" i="1"/>
  <c r="AE28" i="1"/>
  <c r="AD28" i="1"/>
  <c r="AC28" i="1"/>
  <c r="Z28" i="1"/>
  <c r="H28" i="1"/>
  <c r="AF27" i="1"/>
  <c r="AE27" i="1"/>
  <c r="AD27" i="1"/>
  <c r="AC27" i="1"/>
  <c r="Z27" i="1"/>
  <c r="H27" i="1"/>
  <c r="AB26" i="1"/>
  <c r="Z26" i="1"/>
  <c r="L26" i="1"/>
  <c r="H26" i="1"/>
  <c r="AB25" i="1"/>
  <c r="Z25" i="1"/>
  <c r="L25" i="1"/>
  <c r="H25" i="1"/>
  <c r="AB24" i="1"/>
  <c r="Z24" i="1"/>
  <c r="L24" i="1"/>
  <c r="AB23" i="1"/>
  <c r="Z23" i="1"/>
  <c r="L23" i="1"/>
  <c r="AF23" i="1" s="1"/>
  <c r="H23" i="1"/>
  <c r="AF22" i="1"/>
  <c r="AE22" i="1"/>
  <c r="AD22" i="1"/>
  <c r="AC22" i="1"/>
  <c r="Z22" i="1"/>
  <c r="H22" i="1"/>
  <c r="AF21" i="1"/>
  <c r="AE21" i="1"/>
  <c r="AD21" i="1"/>
  <c r="AC21" i="1"/>
  <c r="Z21" i="1"/>
  <c r="H21" i="1"/>
  <c r="AF20" i="1"/>
  <c r="AE20" i="1"/>
  <c r="AD20" i="1"/>
  <c r="AC20" i="1"/>
  <c r="Z20" i="1"/>
  <c r="H20" i="1"/>
  <c r="AF19" i="1"/>
  <c r="AE19" i="1"/>
  <c r="AD19" i="1"/>
  <c r="AC19" i="1"/>
  <c r="Z19" i="1"/>
  <c r="H19" i="1"/>
  <c r="AF18" i="1"/>
  <c r="AE18" i="1"/>
  <c r="AD18" i="1"/>
  <c r="AC18" i="1"/>
  <c r="Z18" i="1"/>
  <c r="H18" i="1"/>
  <c r="AF17" i="1"/>
  <c r="AB17" i="1"/>
  <c r="Z17" i="1"/>
  <c r="L17" i="1"/>
  <c r="AE17" i="1" s="1"/>
  <c r="H17" i="1"/>
  <c r="AB16" i="1"/>
  <c r="Z16" i="1"/>
  <c r="L16" i="1"/>
  <c r="H16" i="1"/>
  <c r="AB15" i="1"/>
  <c r="Z15" i="1"/>
  <c r="L15" i="1"/>
  <c r="AF15" i="1" s="1"/>
  <c r="H15" i="1"/>
  <c r="AB14" i="1"/>
  <c r="Z14" i="1"/>
  <c r="L14" i="1"/>
  <c r="AC14" i="1" s="1"/>
  <c r="H14" i="1"/>
  <c r="AB13" i="1"/>
  <c r="Z13" i="1"/>
  <c r="L13" i="1"/>
  <c r="AE13" i="1" s="1"/>
  <c r="H13" i="1"/>
  <c r="AB12" i="1"/>
  <c r="Z12" i="1"/>
  <c r="L12" i="1"/>
  <c r="AF12" i="1" s="1"/>
  <c r="H12" i="1"/>
  <c r="AB11" i="1"/>
  <c r="Z11" i="1"/>
  <c r="L11" i="1"/>
  <c r="AC11" i="1" s="1"/>
  <c r="H10" i="1"/>
  <c r="H8" i="1"/>
  <c r="H7" i="1"/>
  <c r="H6" i="1"/>
  <c r="H5" i="1"/>
  <c r="H4" i="1"/>
  <c r="H3" i="1"/>
  <c r="H2" i="1"/>
  <c r="AF34" i="1" l="1"/>
  <c r="AD38" i="1"/>
  <c r="AD179" i="1"/>
  <c r="AE38" i="1"/>
  <c r="AD11" i="1"/>
  <c r="AE11" i="1"/>
  <c r="AE105" i="1"/>
  <c r="AF11" i="1"/>
  <c r="AD79" i="1"/>
  <c r="AC23" i="1"/>
  <c r="AE79" i="1"/>
  <c r="AD23" i="1"/>
  <c r="AF79" i="1"/>
  <c r="AE23" i="1"/>
  <c r="AD54" i="1"/>
  <c r="AE324" i="1"/>
  <c r="AE54" i="1"/>
  <c r="AF324" i="1"/>
  <c r="AF54" i="1"/>
  <c r="AC299" i="1"/>
  <c r="AD299" i="1"/>
  <c r="AC17" i="1"/>
  <c r="AE299" i="1"/>
  <c r="AD17" i="1"/>
  <c r="AD103" i="1"/>
  <c r="AE103" i="1"/>
  <c r="AD14" i="1"/>
  <c r="AE14" i="1"/>
  <c r="H11" i="1"/>
  <c r="AF14" i="1"/>
  <c r="AD34" i="1"/>
  <c r="H308" i="1"/>
  <c r="AF308" i="1"/>
  <c r="AE308" i="1"/>
  <c r="AD308" i="1"/>
  <c r="AC308" i="1"/>
  <c r="H24" i="1"/>
  <c r="AF24" i="1"/>
  <c r="AE24" i="1"/>
  <c r="AD24" i="1"/>
  <c r="AF95" i="1"/>
  <c r="AE95" i="1"/>
  <c r="AD95" i="1"/>
  <c r="AC24" i="1"/>
  <c r="AC95" i="1"/>
  <c r="AF239" i="1"/>
  <c r="AE239" i="1"/>
  <c r="AD239" i="1"/>
  <c r="AC239" i="1"/>
  <c r="AD70" i="1"/>
  <c r="AC70" i="1"/>
  <c r="AF70" i="1"/>
  <c r="H35" i="1"/>
  <c r="AF35" i="1"/>
  <c r="AE35" i="1"/>
  <c r="AC35" i="1"/>
  <c r="AC53" i="1"/>
  <c r="AC180" i="1"/>
  <c r="AF25" i="1"/>
  <c r="AE25" i="1"/>
  <c r="AC39" i="1"/>
  <c r="AD53" i="1"/>
  <c r="AD180" i="1"/>
  <c r="AD39" i="1"/>
  <c r="AE53" i="1"/>
  <c r="AE180" i="1"/>
  <c r="AE39" i="1"/>
  <c r="AC15" i="1"/>
  <c r="AC25" i="1"/>
  <c r="AD15" i="1"/>
  <c r="AD25" i="1"/>
  <c r="AF90" i="1"/>
  <c r="AE90" i="1"/>
  <c r="AF181" i="1"/>
  <c r="AE181" i="1"/>
  <c r="AD181" i="1"/>
  <c r="AC181" i="1"/>
  <c r="AC12" i="1"/>
  <c r="AE15" i="1"/>
  <c r="AD12" i="1"/>
  <c r="AF26" i="1"/>
  <c r="AE26" i="1"/>
  <c r="AD26" i="1"/>
  <c r="AC26" i="1"/>
  <c r="AE12" i="1"/>
  <c r="AC90" i="1"/>
  <c r="AF16" i="1"/>
  <c r="AE16" i="1"/>
  <c r="AD16" i="1"/>
  <c r="AD90" i="1"/>
  <c r="AC94" i="1"/>
  <c r="AC127" i="1"/>
  <c r="AF178" i="1"/>
  <c r="AE178" i="1"/>
  <c r="AD178" i="1"/>
  <c r="AC178" i="1"/>
  <c r="AD13" i="1"/>
  <c r="AC13" i="1"/>
  <c r="AF13" i="1"/>
  <c r="AD94" i="1"/>
  <c r="AC120" i="1"/>
  <c r="AD127" i="1"/>
  <c r="AC16" i="1"/>
  <c r="AE94" i="1"/>
  <c r="AC105" i="1"/>
  <c r="AD120" i="1"/>
  <c r="AE127" i="1"/>
  <c r="AC324" i="1"/>
  <c r="AD77" i="1"/>
  <c r="AC77" i="1"/>
  <c r="AD105" i="1"/>
  <c r="AE120" i="1"/>
  <c r="AF179" i="1"/>
  <c r="AE179" i="1"/>
  <c r="H179" i="1"/>
  <c r="AC82" i="1"/>
  <c r="AD82" i="1"/>
  <c r="AF292" i="1"/>
  <c r="AE292" i="1"/>
  <c r="AD325" i="1"/>
  <c r="AE325" i="1"/>
</calcChain>
</file>

<file path=xl/sharedStrings.xml><?xml version="1.0" encoding="utf-8"?>
<sst xmlns="http://schemas.openxmlformats.org/spreadsheetml/2006/main" count="16401" uniqueCount="4932">
  <si>
    <t>Broker</t>
  </si>
  <si>
    <t>IDNUM</t>
  </si>
  <si>
    <t>RECEIVEDDATE
(Bag/Email)</t>
  </si>
  <si>
    <t>Month</t>
  </si>
  <si>
    <t>Quarter</t>
  </si>
  <si>
    <t>ModeofReceipt</t>
  </si>
  <si>
    <t>FormSerialnumber</t>
  </si>
  <si>
    <t>DateHardCopyReceivedforSoft</t>
  </si>
  <si>
    <t>Duration</t>
  </si>
  <si>
    <t>INITIALS</t>
  </si>
  <si>
    <t>CLIENTNAME</t>
  </si>
  <si>
    <t>SALES BRANCH</t>
  </si>
  <si>
    <t>PRODUCT</t>
  </si>
  <si>
    <t>DOCUMENTTYPE</t>
  </si>
  <si>
    <t>TQ Reference</t>
  </si>
  <si>
    <t>POLICYNUMBER</t>
  </si>
  <si>
    <t>StaffIndicator</t>
  </si>
  <si>
    <t>Premiumpayingterm</t>
  </si>
  <si>
    <t>SUMASSURED</t>
  </si>
  <si>
    <t>PREMIUM</t>
  </si>
  <si>
    <t>EFT/MPESA</t>
  </si>
  <si>
    <t>FREQUENCY</t>
  </si>
  <si>
    <t>MODEOFPAYMENT</t>
  </si>
  <si>
    <t>DDAdate</t>
  </si>
  <si>
    <t>SALESCODE</t>
  </si>
  <si>
    <t>ROLE</t>
  </si>
  <si>
    <t>NAME</t>
  </si>
  <si>
    <t>BRANCH</t>
  </si>
  <si>
    <t>REGION</t>
  </si>
  <si>
    <t>Agent</t>
  </si>
  <si>
    <t>TeamLeader</t>
  </si>
  <si>
    <t>RM</t>
  </si>
  <si>
    <t>(IFRTS'S)
RTSDATE</t>
  </si>
  <si>
    <t>RTSTAT</t>
  </si>
  <si>
    <t>RTSAGEING</t>
  </si>
  <si>
    <t>DATERTSRETURNED</t>
  </si>
  <si>
    <t>BARCODE</t>
  </si>
  <si>
    <t>DATEINDEXED</t>
  </si>
  <si>
    <t>TAT(INDEXFROMRECEIVED)</t>
  </si>
  <si>
    <t>DDI&amp;CHECKOFFDATETOCAPTURER</t>
  </si>
  <si>
    <t>TAT
DDI&amp;CHECKOFFDATETOCAPTURER</t>
  </si>
  <si>
    <t>DDI&amp;CHECKOFFDATETOPHS</t>
  </si>
  <si>
    <t>PHSDISPATCHTOBANK/EMPLOYEE</t>
  </si>
  <si>
    <t>TAT
DDI&amp;CHECKOFFDATETOBANK/EMPLOYEE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</si>
  <si>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</si>
  <si>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</si>
  <si>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</si>
  <si>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</si>
  <si>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</si>
  <si>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</si>
  <si>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</si>
  <si>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</si>
  <si>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</t>
  </si>
  <si>
    <t>Oct</t>
  </si>
  <si>
    <t>Nov</t>
  </si>
  <si>
    <t>Dec</t>
  </si>
  <si>
    <t>YTDDec</t>
  </si>
  <si>
    <t>Absa</t>
  </si>
  <si>
    <t>January</t>
  </si>
  <si>
    <t>Q1</t>
  </si>
  <si>
    <t>Soft Copy</t>
  </si>
  <si>
    <t>LA</t>
  </si>
  <si>
    <t>Nakuru West</t>
  </si>
  <si>
    <t>Education</t>
  </si>
  <si>
    <t>Application</t>
  </si>
  <si>
    <t>P/190/EDMT/114006/2024</t>
  </si>
  <si>
    <t>Yes</t>
  </si>
  <si>
    <t>EFT</t>
  </si>
  <si>
    <t>Annually</t>
  </si>
  <si>
    <t>DDA</t>
  </si>
  <si>
    <t>LG25476</t>
  </si>
  <si>
    <t>LG</t>
  </si>
  <si>
    <t>Lilian Atieno</t>
  </si>
  <si>
    <t>Rift Valley</t>
  </si>
  <si>
    <t>Hillary Muganda</t>
  </si>
  <si>
    <t>Emily Jepchirchir</t>
  </si>
  <si>
    <t>Simon Maingi</t>
  </si>
  <si>
    <t>EM</t>
  </si>
  <si>
    <t>Kisii-Bank</t>
  </si>
  <si>
    <t>P/080/EDUK/128750/2025</t>
  </si>
  <si>
    <t>No</t>
  </si>
  <si>
    <t>LG15847</t>
  </si>
  <si>
    <t>Thadeus Gwaro Oreko</t>
  </si>
  <si>
    <t>Kisii</t>
  </si>
  <si>
    <t>Western</t>
  </si>
  <si>
    <t>Wycliffe Oginga</t>
  </si>
  <si>
    <t>Sheila Adhiambo</t>
  </si>
  <si>
    <t>Eric Njiru</t>
  </si>
  <si>
    <t>IJ</t>
  </si>
  <si>
    <t>Queensway Hse</t>
  </si>
  <si>
    <t>P/740/EDUK/128717/202</t>
  </si>
  <si>
    <t>ABJMAG8</t>
  </si>
  <si>
    <t>Jacinta Mutuku</t>
  </si>
  <si>
    <t>Queensway</t>
  </si>
  <si>
    <t>Valentine Musyoka</t>
  </si>
  <si>
    <t>Ancetar Mulili</t>
  </si>
  <si>
    <t>Bilha Wachira</t>
  </si>
  <si>
    <t>PG</t>
  </si>
  <si>
    <t>Endowment</t>
  </si>
  <si>
    <t>P/840/EDMT/128769/2025</t>
  </si>
  <si>
    <t>AB040II</t>
  </si>
  <si>
    <t>N/A</t>
  </si>
  <si>
    <t>DM</t>
  </si>
  <si>
    <t>P/840/EDMT/128774/2025</t>
  </si>
  <si>
    <t>LG15818</t>
  </si>
  <si>
    <t>Denis Gucha Odoyo</t>
  </si>
  <si>
    <t>ZM</t>
  </si>
  <si>
    <t>Zipporah Mongina</t>
  </si>
  <si>
    <t>Eldoret</t>
  </si>
  <si>
    <t>P/030/EDUK/128758/2025</t>
  </si>
  <si>
    <t>Monthly</t>
  </si>
  <si>
    <t>ABZA079</t>
  </si>
  <si>
    <t>Zipporah Ayoma</t>
  </si>
  <si>
    <t>Direct</t>
  </si>
  <si>
    <t>CM</t>
  </si>
  <si>
    <t>Direct-Gicho</t>
  </si>
  <si>
    <t>Semi- Annual</t>
  </si>
  <si>
    <t>Nairobi West</t>
  </si>
  <si>
    <t>Charles Gicho</t>
  </si>
  <si>
    <t>YN</t>
  </si>
  <si>
    <t>Direct-Magayu</t>
  </si>
  <si>
    <t>AB038HC</t>
  </si>
  <si>
    <t>ALAK</t>
  </si>
  <si>
    <t>Selestine Magayu</t>
  </si>
  <si>
    <t>Alternative Channels</t>
  </si>
  <si>
    <t>Joel Mbogo</t>
  </si>
  <si>
    <t>IN</t>
  </si>
  <si>
    <t>P/080/EDMT/128752/2025</t>
  </si>
  <si>
    <t>Hisa</t>
  </si>
  <si>
    <t>AG</t>
  </si>
  <si>
    <t>001_53810_400488</t>
  </si>
  <si>
    <t>HISA001</t>
  </si>
  <si>
    <t>Alfred Mathu</t>
  </si>
  <si>
    <t>GO</t>
  </si>
  <si>
    <t>001_53810_770666</t>
  </si>
  <si>
    <t>SM</t>
  </si>
  <si>
    <t>001_97131_134610</t>
  </si>
  <si>
    <t>001_53810_198484</t>
  </si>
  <si>
    <t>JM</t>
  </si>
  <si>
    <t>001_53810_231853</t>
  </si>
  <si>
    <t>FW</t>
  </si>
  <si>
    <t>001_53810_443945</t>
  </si>
  <si>
    <t>FM</t>
  </si>
  <si>
    <t>001_97131_421846</t>
  </si>
  <si>
    <t>HISA0052</t>
  </si>
  <si>
    <t>Wendra</t>
  </si>
  <si>
    <t>Online application</t>
  </si>
  <si>
    <t>MV</t>
  </si>
  <si>
    <t>WENDRA001</t>
  </si>
  <si>
    <t>Beatrice Ndukui</t>
  </si>
  <si>
    <t>Noble Strides</t>
  </si>
  <si>
    <t>JA</t>
  </si>
  <si>
    <t>Noble strides</t>
  </si>
  <si>
    <t>NOB0006</t>
  </si>
  <si>
    <t>Noblestrides</t>
  </si>
  <si>
    <t>KK</t>
  </si>
  <si>
    <t>Lavington</t>
  </si>
  <si>
    <t>P/410/EDMT/128818/2026</t>
  </si>
  <si>
    <t>Single Premium</t>
  </si>
  <si>
    <t>AB031AJ</t>
  </si>
  <si>
    <t>Jackson Irungu</t>
  </si>
  <si>
    <t>AB</t>
  </si>
  <si>
    <t>Rupa Mall</t>
  </si>
  <si>
    <t>P/1500/EDMT/128824/2026</t>
  </si>
  <si>
    <t>AB023XP</t>
  </si>
  <si>
    <t>Yvonne Chemutai</t>
  </si>
  <si>
    <t>WG</t>
  </si>
  <si>
    <t>P/740/EDUK/128792/2026</t>
  </si>
  <si>
    <t>AB043JN</t>
  </si>
  <si>
    <t xml:space="preserve">B </t>
  </si>
  <si>
    <t>001_53810_704445</t>
  </si>
  <si>
    <t>JJ</t>
  </si>
  <si>
    <t>001_53810_758027</t>
  </si>
  <si>
    <t>LJ</t>
  </si>
  <si>
    <t>001_53810_904689</t>
  </si>
  <si>
    <t>001_53810_167649</t>
  </si>
  <si>
    <t>LC</t>
  </si>
  <si>
    <t>P/1500/EDMT/128382/2025</t>
  </si>
  <si>
    <t>BB23329</t>
  </si>
  <si>
    <t>Carolyne Jelagat</t>
  </si>
  <si>
    <t>FG</t>
  </si>
  <si>
    <t>Ruaraka</t>
  </si>
  <si>
    <t>P/540/EDMT/128821/2026</t>
  </si>
  <si>
    <t>AB042CV</t>
  </si>
  <si>
    <t>IA</t>
  </si>
  <si>
    <t>P/740/EDMT/128798/2026</t>
  </si>
  <si>
    <t>MO</t>
  </si>
  <si>
    <t>P/740/EDUK/128849/2026</t>
  </si>
  <si>
    <t>AB01739</t>
  </si>
  <si>
    <t>Keziah Oluomi</t>
  </si>
  <si>
    <t>IK</t>
  </si>
  <si>
    <t>001_85193_262626</t>
  </si>
  <si>
    <t>HISA0024</t>
  </si>
  <si>
    <t>KW</t>
  </si>
  <si>
    <t>Buruburu</t>
  </si>
  <si>
    <t>P/230/EDUK/128864/2026</t>
  </si>
  <si>
    <t>AB0296U</t>
  </si>
  <si>
    <t>Ndomi Momanyi</t>
  </si>
  <si>
    <t>CN</t>
  </si>
  <si>
    <t>NOB0001</t>
  </si>
  <si>
    <t>MW</t>
  </si>
  <si>
    <t>001_39909_230956</t>
  </si>
  <si>
    <t>HISA0002</t>
  </si>
  <si>
    <t>JACKLINE WATURI MUIGA</t>
  </si>
  <si>
    <t>DT</t>
  </si>
  <si>
    <t>001_39909_758895</t>
  </si>
  <si>
    <t>AA</t>
  </si>
  <si>
    <t>Mtwapa</t>
  </si>
  <si>
    <t>P/1610/EDMT/128874/2026</t>
  </si>
  <si>
    <t>AB0432A</t>
  </si>
  <si>
    <t>DA</t>
  </si>
  <si>
    <t>Kisumu-Bank</t>
  </si>
  <si>
    <t>P/090/EDMT/128891/2026</t>
  </si>
  <si>
    <t>AB039YR</t>
  </si>
  <si>
    <t>Kisumu</t>
  </si>
  <si>
    <t>DE</t>
  </si>
  <si>
    <t xml:space="preserve">001_53810_294561 </t>
  </si>
  <si>
    <t>HISA AFRICA INSURANCE AGENCY</t>
  </si>
  <si>
    <t>GW</t>
  </si>
  <si>
    <t>001_53810_770751</t>
  </si>
  <si>
    <t>BK</t>
  </si>
  <si>
    <t>Kitengela</t>
  </si>
  <si>
    <t>P/550/EDUK/128861/2026</t>
  </si>
  <si>
    <t>AB021KN</t>
  </si>
  <si>
    <t>Johnstone Makio</t>
  </si>
  <si>
    <t>AM</t>
  </si>
  <si>
    <t>Moi Mombasa</t>
  </si>
  <si>
    <t>P/890/EDUK/128899/2026</t>
  </si>
  <si>
    <t>LG23299</t>
  </si>
  <si>
    <t>Rebecca Kinyagho Mwairuwa</t>
  </si>
  <si>
    <t>MS</t>
  </si>
  <si>
    <t>CA</t>
  </si>
  <si>
    <t>P/740/EDMT/128901/2026</t>
  </si>
  <si>
    <t>EW</t>
  </si>
  <si>
    <t>001_53810_132516</t>
  </si>
  <si>
    <t>FO</t>
  </si>
  <si>
    <t>P/090/EDMT/128909/2026</t>
  </si>
  <si>
    <t>AB019VW</t>
  </si>
  <si>
    <t>Paul Olela</t>
  </si>
  <si>
    <t>Imaara</t>
  </si>
  <si>
    <t>P/570/EDMT/128915/2026</t>
  </si>
  <si>
    <t>AB0335L</t>
  </si>
  <si>
    <t>Abigail Wambua</t>
  </si>
  <si>
    <t>Imaara Mall</t>
  </si>
  <si>
    <t>Kitale</t>
  </si>
  <si>
    <t>P/860/EDMT/128936/2026</t>
  </si>
  <si>
    <t>BB23242</t>
  </si>
  <si>
    <t>Samuel Ndungu Mwangi</t>
  </si>
  <si>
    <t>PK</t>
  </si>
  <si>
    <t>Juja</t>
  </si>
  <si>
    <t>P/580/EDMT/128914/2026</t>
  </si>
  <si>
    <t>AB023IK</t>
  </si>
  <si>
    <t>BRIAN KAMAU NDUNG'U</t>
  </si>
  <si>
    <t>GC</t>
  </si>
  <si>
    <t>P/410/EDMT/129011/2026</t>
  </si>
  <si>
    <t>BB13767</t>
  </si>
  <si>
    <t>Zipporah Wangondu</t>
  </si>
  <si>
    <t>EF</t>
  </si>
  <si>
    <t>P/090/EDMT/129017/2026</t>
  </si>
  <si>
    <t>AB039YU</t>
  </si>
  <si>
    <t>Linet Angwenyi</t>
  </si>
  <si>
    <t>PM</t>
  </si>
  <si>
    <t>001_26056_667417</t>
  </si>
  <si>
    <t>001_26056_926324</t>
  </si>
  <si>
    <t>NW</t>
  </si>
  <si>
    <t>001_53810_662796</t>
  </si>
  <si>
    <t>Bi - Annual</t>
  </si>
  <si>
    <t>Karatina</t>
  </si>
  <si>
    <t>P/910/EDMT/129050/2026</t>
  </si>
  <si>
    <t>AB02025</t>
  </si>
  <si>
    <t>Rahab Gichure</t>
  </si>
  <si>
    <t>CO</t>
  </si>
  <si>
    <t>Kakamega</t>
  </si>
  <si>
    <t>P/210/EDUK/129051/2026</t>
  </si>
  <si>
    <t>AB0249Q</t>
  </si>
  <si>
    <t>Marion Achieng Ojiem</t>
  </si>
  <si>
    <t>MK</t>
  </si>
  <si>
    <t>P/1610/EDUK/129059/2026</t>
  </si>
  <si>
    <t>Mpesa</t>
  </si>
  <si>
    <t>NM</t>
  </si>
  <si>
    <t>Nyahururu</t>
  </si>
  <si>
    <t>P/870/EDMT/129090/2026</t>
  </si>
  <si>
    <t>AB030YE</t>
  </si>
  <si>
    <t xml:space="preserve">VINCENT KILONZO </t>
  </si>
  <si>
    <t>P/210/EDUK/129049/2026</t>
  </si>
  <si>
    <t>Kikuyu</t>
  </si>
  <si>
    <t>TBA</t>
  </si>
  <si>
    <t>AB04238</t>
  </si>
  <si>
    <t>Changamwe</t>
  </si>
  <si>
    <t>P/830/EDMT/129173/2026</t>
  </si>
  <si>
    <t>AB043AQ</t>
  </si>
  <si>
    <t>Naivasha</t>
  </si>
  <si>
    <t>P/810/EDMT/129095/2026</t>
  </si>
  <si>
    <t>AB0354E</t>
  </si>
  <si>
    <t>Bornface Otieno</t>
  </si>
  <si>
    <t>JW</t>
  </si>
  <si>
    <t>P/810/EDMT/129166/2026</t>
  </si>
  <si>
    <t>JV</t>
  </si>
  <si>
    <t>P/860/EDUK/129198/2026</t>
  </si>
  <si>
    <t>AB0296V</t>
  </si>
  <si>
    <t>Dorothy Ochich</t>
  </si>
  <si>
    <t>JN</t>
  </si>
  <si>
    <t>Narok</t>
  </si>
  <si>
    <t>P/330/EDMT/129177/2026</t>
  </si>
  <si>
    <t>BB17345</t>
  </si>
  <si>
    <t>Christopher Muthama</t>
  </si>
  <si>
    <t>River Road</t>
  </si>
  <si>
    <t>P/300/EDMT/129206/2026</t>
  </si>
  <si>
    <t>AB026KE</t>
  </si>
  <si>
    <t>Anthony Kimani</t>
  </si>
  <si>
    <t>JL</t>
  </si>
  <si>
    <t>Ngong</t>
  </si>
  <si>
    <t>P/350/EDUK/128951/2026</t>
  </si>
  <si>
    <t>AB0433C</t>
  </si>
  <si>
    <t>MM</t>
  </si>
  <si>
    <t>Mbale</t>
  </si>
  <si>
    <t>P/280/EDUK/129181/2026</t>
  </si>
  <si>
    <t>AB038TO</t>
  </si>
  <si>
    <t>001_53810_444907</t>
  </si>
  <si>
    <t>Hisa001</t>
  </si>
  <si>
    <t>GM</t>
  </si>
  <si>
    <t>P/810/EDMT/129227/2026</t>
  </si>
  <si>
    <t>AB0354A</t>
  </si>
  <si>
    <t>Felix Langat</t>
  </si>
  <si>
    <t>TM</t>
  </si>
  <si>
    <t>Gikomba</t>
  </si>
  <si>
    <t>P/270/EDMT/129218/2026</t>
  </si>
  <si>
    <t>AB0215Q</t>
  </si>
  <si>
    <t>Leah Wanjiru Gathi</t>
  </si>
  <si>
    <t>Wote</t>
  </si>
  <si>
    <t>P/560/EDMT/129244/2026</t>
  </si>
  <si>
    <t>AB042KU</t>
  </si>
  <si>
    <t>P/870/EDMT/129098/2026</t>
  </si>
  <si>
    <t>AB0307E</t>
  </si>
  <si>
    <t>RC</t>
  </si>
  <si>
    <t>P/030/EDMT/129232/2026</t>
  </si>
  <si>
    <t>BB11120</t>
  </si>
  <si>
    <t>Yegon Victor</t>
  </si>
  <si>
    <t>AN</t>
  </si>
  <si>
    <t>001_53810_250714</t>
  </si>
  <si>
    <t>GA</t>
  </si>
  <si>
    <t>P/090/EDUK/129018/2026</t>
  </si>
  <si>
    <t>001_53810_300332</t>
  </si>
  <si>
    <t>P/090/EDMT/129283/2026</t>
  </si>
  <si>
    <t>sammy</t>
  </si>
  <si>
    <t>P/580/EDMT/129284/2026</t>
  </si>
  <si>
    <t>001_38446_945459</t>
  </si>
  <si>
    <t>HISA0069</t>
  </si>
  <si>
    <t>James Giathi Karugu</t>
  </si>
  <si>
    <t>Ecobank</t>
  </si>
  <si>
    <t>February</t>
  </si>
  <si>
    <t>Fortis Branch</t>
  </si>
  <si>
    <t>CN 266</t>
  </si>
  <si>
    <t>SE</t>
  </si>
  <si>
    <t>Thika-Ecobank</t>
  </si>
  <si>
    <t>DN</t>
  </si>
  <si>
    <t>NA</t>
  </si>
  <si>
    <t>P/690/EDMT/129435/2026</t>
  </si>
  <si>
    <t>LG24214</t>
  </si>
  <si>
    <t xml:space="preserve">Hanna Muga Nyafwa </t>
  </si>
  <si>
    <t>EO</t>
  </si>
  <si>
    <t>Isiolo</t>
  </si>
  <si>
    <t>P/340/EDUK/129267/2026</t>
  </si>
  <si>
    <t>AB0250Y</t>
  </si>
  <si>
    <t>Mercy Mburu</t>
  </si>
  <si>
    <t>AP</t>
  </si>
  <si>
    <t>001_39909_419560</t>
  </si>
  <si>
    <t>BR</t>
  </si>
  <si>
    <t>P/270/EDUK/129364/2026</t>
  </si>
  <si>
    <t>ABBW184</t>
  </si>
  <si>
    <t>TW</t>
  </si>
  <si>
    <t>P/740/EDMT/129313/2026</t>
  </si>
  <si>
    <t>ABMNA8L</t>
  </si>
  <si>
    <t>Mary Njoroge</t>
  </si>
  <si>
    <t>001_53810_733659</t>
  </si>
  <si>
    <t>SN</t>
  </si>
  <si>
    <t>001_53810_896483</t>
  </si>
  <si>
    <t>TMU</t>
  </si>
  <si>
    <t>P/010/EDMT/129427/2026</t>
  </si>
  <si>
    <t>LG22393</t>
  </si>
  <si>
    <t>Kenneth Gitonga Mwongera</t>
  </si>
  <si>
    <t>P/830/EDMT/129534/2026</t>
  </si>
  <si>
    <t>ABCN533</t>
  </si>
  <si>
    <t>Catherine Kyenze</t>
  </si>
  <si>
    <t>P/740/EDMT/129570/2026</t>
  </si>
  <si>
    <t>VM</t>
  </si>
  <si>
    <t>P/090/EDMT/129563/2026</t>
  </si>
  <si>
    <t>AB01724</t>
  </si>
  <si>
    <t>Christine Ouko</t>
  </si>
  <si>
    <t>LN</t>
  </si>
  <si>
    <t>P/010/EDMT/129353/2026</t>
  </si>
  <si>
    <t>LG22297</t>
  </si>
  <si>
    <t>John Chege Mwangi</t>
  </si>
  <si>
    <t>Premier Flagship</t>
  </si>
  <si>
    <t>P/740/EDMT/129532/2026</t>
  </si>
  <si>
    <t>lg25449</t>
  </si>
  <si>
    <t>Edna Kimanzi Wambui</t>
  </si>
  <si>
    <t>Flagship</t>
  </si>
  <si>
    <t>P/840/EDMT/129533/2026</t>
  </si>
  <si>
    <t>LG25473</t>
  </si>
  <si>
    <t>DG</t>
  </si>
  <si>
    <t>001_85890_638361</t>
  </si>
  <si>
    <t>HISA0047</t>
  </si>
  <si>
    <t>CR</t>
  </si>
  <si>
    <t>P/740/EDMT/129386/2026</t>
  </si>
  <si>
    <t>LG25449</t>
  </si>
  <si>
    <t>CW</t>
  </si>
  <si>
    <t>001_53810_359023</t>
  </si>
  <si>
    <t>KL</t>
  </si>
  <si>
    <t>CN 269</t>
  </si>
  <si>
    <t>HO</t>
  </si>
  <si>
    <t>Bungoma</t>
  </si>
  <si>
    <t>P/400/EDMT/120725/2025</t>
  </si>
  <si>
    <t>Quarterly</t>
  </si>
  <si>
    <t>AB035JO</t>
  </si>
  <si>
    <t>LM</t>
  </si>
  <si>
    <t>Nkrumah Road</t>
  </si>
  <si>
    <t>P/161/EDMT/129540/2026</t>
  </si>
  <si>
    <t>AB0432C</t>
  </si>
  <si>
    <t>Gilgil</t>
  </si>
  <si>
    <t>P/190/EDMT/129600/2026</t>
  </si>
  <si>
    <t>AB0IGF9</t>
  </si>
  <si>
    <t>P/740/EDMT/129584/2026</t>
  </si>
  <si>
    <t>P/550/EDUK/129551/2026</t>
  </si>
  <si>
    <t>Verge Insurance Brokers</t>
  </si>
  <si>
    <t>VERGE</t>
  </si>
  <si>
    <t>VO</t>
  </si>
  <si>
    <t>Plaza Premier</t>
  </si>
  <si>
    <t>P/630/EDMT/129649/2026</t>
  </si>
  <si>
    <t>AB033T3</t>
  </si>
  <si>
    <t>Wickliff Muthomi Kibori</t>
  </si>
  <si>
    <t>Ongata Rongai</t>
  </si>
  <si>
    <t>P/430/EDMT/129615/2026</t>
  </si>
  <si>
    <t>AB042DH</t>
  </si>
  <si>
    <t xml:space="preserve">P/080/EDMT/129614/2026 </t>
  </si>
  <si>
    <t>BB06160</t>
  </si>
  <si>
    <t>Evaline Chebet Boitt</t>
  </si>
  <si>
    <t>LK</t>
  </si>
  <si>
    <t>Nanyuki</t>
  </si>
  <si>
    <t>P/900/EDMT/129512/2026</t>
  </si>
  <si>
    <t>ABEMA4I</t>
  </si>
  <si>
    <t>Esther Maina</t>
  </si>
  <si>
    <t>MN</t>
  </si>
  <si>
    <t>P/630/EDMT/129384/2026</t>
  </si>
  <si>
    <t>FJ</t>
  </si>
  <si>
    <t>P/630/EDMT/129387/2026</t>
  </si>
  <si>
    <t>EN</t>
  </si>
  <si>
    <t>Absa Towers</t>
  </si>
  <si>
    <t>P/620/EDMT/129396/2026</t>
  </si>
  <si>
    <t>BB06294</t>
  </si>
  <si>
    <t>Fredrick Owuor</t>
  </si>
  <si>
    <t>001_53810_136853</t>
  </si>
  <si>
    <t>DK</t>
  </si>
  <si>
    <t>P/161/EDUK/129548/2026</t>
  </si>
  <si>
    <t>RO</t>
  </si>
  <si>
    <t>Nyali</t>
  </si>
  <si>
    <t xml:space="preserve">P/610/EDUK/129643/2026 </t>
  </si>
  <si>
    <t>AB034XN</t>
  </si>
  <si>
    <t>Maurine Usenge</t>
  </si>
  <si>
    <t>MH</t>
  </si>
  <si>
    <t>P/740/EDUK/129658/2026</t>
  </si>
  <si>
    <t>ABB162</t>
  </si>
  <si>
    <t>N0006</t>
  </si>
  <si>
    <t>FC</t>
  </si>
  <si>
    <t>P/1500/EDMT/129669/2026</t>
  </si>
  <si>
    <t>AB0411F</t>
  </si>
  <si>
    <t>FV</t>
  </si>
  <si>
    <t>Direct-Sheila</t>
  </si>
  <si>
    <t>AB02416</t>
  </si>
  <si>
    <t>Sheila C. Adhiambo</t>
  </si>
  <si>
    <t>BW</t>
  </si>
  <si>
    <t>001_67892_738176</t>
  </si>
  <si>
    <t>HISA0096</t>
  </si>
  <si>
    <t>P/010/EDMT/129720/2026</t>
  </si>
  <si>
    <t>GN</t>
  </si>
  <si>
    <t>Nyeri</t>
  </si>
  <si>
    <t>P/250/EDMT/129661/2026</t>
  </si>
  <si>
    <t>AB031ZL</t>
  </si>
  <si>
    <t xml:space="preserve">Agaphio Njue </t>
  </si>
  <si>
    <t>JS</t>
  </si>
  <si>
    <t>P/1500/EDMT/129723/2026</t>
  </si>
  <si>
    <t>AW</t>
  </si>
  <si>
    <t>P/1500/EDMT/129665/2026</t>
  </si>
  <si>
    <t>RN</t>
  </si>
  <si>
    <t>Harambee Prestige</t>
  </si>
  <si>
    <t>P/850/EDMT/129716/2026</t>
  </si>
  <si>
    <t>BB12930</t>
  </si>
  <si>
    <t>Caroline Wangui Maina</t>
  </si>
  <si>
    <t>Digo Road</t>
  </si>
  <si>
    <t>P/660/EDMT/129444/2026</t>
  </si>
  <si>
    <t>AB043AW</t>
  </si>
  <si>
    <t>KN</t>
  </si>
  <si>
    <t>Kitui</t>
  </si>
  <si>
    <t>P/150/EDMT/129621/2026</t>
  </si>
  <si>
    <t>WW</t>
  </si>
  <si>
    <t>P/810/EDMT/129573/2026</t>
  </si>
  <si>
    <t>AB042CY</t>
  </si>
  <si>
    <t>HB</t>
  </si>
  <si>
    <t>P/660/EDUK/129692/2026</t>
  </si>
  <si>
    <t>AB0431K</t>
  </si>
  <si>
    <t>P/250/EDUK/129664/2026</t>
  </si>
  <si>
    <t>Meru</t>
  </si>
  <si>
    <t>P/130/EDUK/129691/2026</t>
  </si>
  <si>
    <t>AB015N8</t>
  </si>
  <si>
    <t>Douglas Munene</t>
  </si>
  <si>
    <t>SJ</t>
  </si>
  <si>
    <t xml:space="preserve">P/740/EDUK/129727/2026 </t>
  </si>
  <si>
    <t>LY</t>
  </si>
  <si>
    <t>Lydia Yator</t>
  </si>
  <si>
    <t>Kabarnet</t>
  </si>
  <si>
    <t>P/500/EDUK/129738/2026</t>
  </si>
  <si>
    <t>AB030QU</t>
  </si>
  <si>
    <t>Adan Abdi Issack</t>
  </si>
  <si>
    <t>Eastleigh</t>
  </si>
  <si>
    <t>P/140/EDUK/129652/2026</t>
  </si>
  <si>
    <t>LG25272</t>
  </si>
  <si>
    <t>Austin Okoth</t>
  </si>
  <si>
    <t>Embu</t>
  </si>
  <si>
    <t>P/040/EDUK/129731/2026</t>
  </si>
  <si>
    <t>LG25455</t>
  </si>
  <si>
    <t xml:space="preserve">Ida Nafula Simiyu </t>
  </si>
  <si>
    <t>P/550/EDMT/129744/2026</t>
  </si>
  <si>
    <t>ABFN166</t>
  </si>
  <si>
    <t>Felista Wamboi Njoroge</t>
  </si>
  <si>
    <t>TO</t>
  </si>
  <si>
    <t>P/660/EDUK/129702/2026</t>
  </si>
  <si>
    <t>AB032HL</t>
  </si>
  <si>
    <t>Paul Mteti</t>
  </si>
  <si>
    <t>SO</t>
  </si>
  <si>
    <t>P/090/EDMT/129732/2026</t>
  </si>
  <si>
    <t>ABM0329</t>
  </si>
  <si>
    <t>BO</t>
  </si>
  <si>
    <t>P/010/EDMT/129718/2026</t>
  </si>
  <si>
    <t>AB026F0</t>
  </si>
  <si>
    <t>P/740/EDUK/129635/2026</t>
  </si>
  <si>
    <t>P/630/EDMT/129737/2026</t>
  </si>
  <si>
    <t>MA</t>
  </si>
  <si>
    <t>P/280/EDMT/129773/2026</t>
  </si>
  <si>
    <t>EJ</t>
  </si>
  <si>
    <t>P/500/EDUK/129795/202</t>
  </si>
  <si>
    <t>AB0306U</t>
  </si>
  <si>
    <t>IM</t>
  </si>
  <si>
    <t>P/1500/EDMT/129775/2026</t>
  </si>
  <si>
    <t>P/1500/EDMT/129790/2026</t>
  </si>
  <si>
    <t>AB0439M</t>
  </si>
  <si>
    <t>P/860/EDUK/129787/2026</t>
  </si>
  <si>
    <t>LG13655</t>
  </si>
  <si>
    <t>Gastone Ojwang Ogweno</t>
  </si>
  <si>
    <t>P/660/EDUK/129791/2026</t>
  </si>
  <si>
    <t>AB0354I</t>
  </si>
  <si>
    <t>P/1500/EDMT/129813/2026</t>
  </si>
  <si>
    <t>ABFY166</t>
  </si>
  <si>
    <t>Margaret Nyanjau Gichuhi</t>
  </si>
  <si>
    <t>P/530/EDUK/129758/2026</t>
  </si>
  <si>
    <t>CH</t>
  </si>
  <si>
    <t>P/152/EDMT/128517/2025</t>
  </si>
  <si>
    <t>ABTG233</t>
  </si>
  <si>
    <t>Teresa Gituku</t>
  </si>
  <si>
    <t>P/410/EDUK/129770/2026</t>
  </si>
  <si>
    <t>NK</t>
  </si>
  <si>
    <t>P/1500/EDMT/129800/2026</t>
  </si>
  <si>
    <t>BB233329</t>
  </si>
  <si>
    <t>JK</t>
  </si>
  <si>
    <t>P/500/EDUK/129740/2026</t>
  </si>
  <si>
    <t>BJ</t>
  </si>
  <si>
    <t>P/1500/EDMT/129809/2026</t>
  </si>
  <si>
    <t>Two rivers mall</t>
  </si>
  <si>
    <t>P/880/EDUK/129839/2026</t>
  </si>
  <si>
    <t>BB17147</t>
  </si>
  <si>
    <t>Jane Mugure Wambui</t>
  </si>
  <si>
    <t>Two Rivers</t>
  </si>
  <si>
    <t>P/880/EDUK/129847/2026</t>
  </si>
  <si>
    <t>Karen</t>
  </si>
  <si>
    <t>P/530/EDMT/129803/2026</t>
  </si>
  <si>
    <t>BB024760</t>
  </si>
  <si>
    <t>P/540/EDUK/129782/2026</t>
  </si>
  <si>
    <t>AB024VV</t>
  </si>
  <si>
    <t>Jebet Kipyegon</t>
  </si>
  <si>
    <t>P/040/EDMT/129804/2026</t>
  </si>
  <si>
    <t>LG12308</t>
  </si>
  <si>
    <t>Catherine Wawira Mwaniki</t>
  </si>
  <si>
    <t>ABC Prestige</t>
  </si>
  <si>
    <t>P/720/EDMT/129761/2026</t>
  </si>
  <si>
    <t>AB019N9</t>
  </si>
  <si>
    <t>P/620/EDMT/129805/2026</t>
  </si>
  <si>
    <t>P/090/EDUK/129825/2026</t>
  </si>
  <si>
    <t>MPESA</t>
  </si>
  <si>
    <t>P/1500/EDMT/129794/2026</t>
  </si>
  <si>
    <t>AB043QM</t>
  </si>
  <si>
    <t>P/161/EDMT/129542/2026</t>
  </si>
  <si>
    <t>BB18500</t>
  </si>
  <si>
    <t>Betlina Chanya</t>
  </si>
  <si>
    <t>VW</t>
  </si>
  <si>
    <t>Westgate</t>
  </si>
  <si>
    <t>P/490/EDMT/129840/2026</t>
  </si>
  <si>
    <t>AB032TS</t>
  </si>
  <si>
    <t>0754</t>
  </si>
  <si>
    <t>RW</t>
  </si>
  <si>
    <t>CLM</t>
  </si>
  <si>
    <t>Family Protection</t>
  </si>
  <si>
    <t>P/010/FPP/129833/2026</t>
  </si>
  <si>
    <t>AB0290Z</t>
  </si>
  <si>
    <t>Machakos</t>
  </si>
  <si>
    <t>P/320/EDMT/129774/2026</t>
  </si>
  <si>
    <t>BB11090</t>
  </si>
  <si>
    <t xml:space="preserve">Simon Mwau </t>
  </si>
  <si>
    <t>001_53810_486321</t>
  </si>
  <si>
    <t>AK</t>
  </si>
  <si>
    <t>001_53810_641319</t>
  </si>
  <si>
    <t>001_53810_958116</t>
  </si>
  <si>
    <t>FK</t>
  </si>
  <si>
    <t>001_69018_777097</t>
  </si>
  <si>
    <t>P/530/EDMT/129920/2026</t>
  </si>
  <si>
    <t>LG24760</t>
  </si>
  <si>
    <t>JC</t>
  </si>
  <si>
    <t>P/010/EDMT/129846/2026</t>
  </si>
  <si>
    <t>VC</t>
  </si>
  <si>
    <t xml:space="preserve">P/1500/EDMT/129865/2026 </t>
  </si>
  <si>
    <t>LG23330</t>
  </si>
  <si>
    <t>Joan Jerono Sang</t>
  </si>
  <si>
    <t>P/1500/EDMT/129894/2026</t>
  </si>
  <si>
    <t>ES</t>
  </si>
  <si>
    <t>P/410/EDMT/129728/2026</t>
  </si>
  <si>
    <t>AB039YP</t>
  </si>
  <si>
    <t>FI</t>
  </si>
  <si>
    <t>Yaya Prestige</t>
  </si>
  <si>
    <t xml:space="preserve">P/800/EDMT/129921/2026 </t>
  </si>
  <si>
    <t>LG25222</t>
  </si>
  <si>
    <t xml:space="preserve">Irene Atieno </t>
  </si>
  <si>
    <t>P/620/EDMT/129932/2026</t>
  </si>
  <si>
    <t>PL</t>
  </si>
  <si>
    <t>P/610/EDMT/129963/2026</t>
  </si>
  <si>
    <t>P/560/EDMT/129978/2026</t>
  </si>
  <si>
    <t>AB03540</t>
  </si>
  <si>
    <t>Gabriel Kilonzo</t>
  </si>
  <si>
    <t>AJ</t>
  </si>
  <si>
    <t>P/1500/EDMT/129943/2026</t>
  </si>
  <si>
    <t>P/1500/EDMT/129887/2026</t>
  </si>
  <si>
    <t>AB042TP</t>
  </si>
  <si>
    <t>PN</t>
  </si>
  <si>
    <t>P/010/EDMT/129977/2026</t>
  </si>
  <si>
    <t xml:space="preserve">P/030/EDMT/129864/2026 </t>
  </si>
  <si>
    <t>P/030/EDMT/129953/2026</t>
  </si>
  <si>
    <t>AB00O43</t>
  </si>
  <si>
    <t>P/530/EDMT/129823/2026</t>
  </si>
  <si>
    <t>ABRO128</t>
  </si>
  <si>
    <t>Roseline Ochola</t>
  </si>
  <si>
    <t>P/1500/EDMT/129870/2026</t>
  </si>
  <si>
    <t>P/840/EDMT/129944/2026</t>
  </si>
  <si>
    <t>SW</t>
  </si>
  <si>
    <t>P_630_EDMT_129956_2026</t>
  </si>
  <si>
    <t>Sarit Prestige</t>
  </si>
  <si>
    <t xml:space="preserve">P/106/EDMT/129834/2026 </t>
  </si>
  <si>
    <t>Bunyala Road</t>
  </si>
  <si>
    <t>P/680/EDMT/129924/2026</t>
  </si>
  <si>
    <t>BB18861</t>
  </si>
  <si>
    <t>Nancy Mugwe</t>
  </si>
  <si>
    <t>BT</t>
  </si>
  <si>
    <t>P/540/EDMT/129883/2026</t>
  </si>
  <si>
    <t>BB23297</t>
  </si>
  <si>
    <t>Pauline Mueni Mutua</t>
  </si>
  <si>
    <t>WM</t>
  </si>
  <si>
    <t>P/030/EDMT/129899/2026</t>
  </si>
  <si>
    <t>LG16639</t>
  </si>
  <si>
    <t>Zipporah Kerubo Obiero</t>
  </si>
  <si>
    <t xml:space="preserve">P/161/EDMT/129851/2026 </t>
  </si>
  <si>
    <t xml:space="preserve">P/540/EDMT/129863/2026 </t>
  </si>
  <si>
    <t>AB030FS</t>
  </si>
  <si>
    <t>Claris Mugo Mugo</t>
  </si>
  <si>
    <t>P/010/EDMT/129952/2026</t>
  </si>
  <si>
    <t>P/620/EDMT/129875/2026</t>
  </si>
  <si>
    <t>AB003T3</t>
  </si>
  <si>
    <t>P/270/EDMT/129901/2026</t>
  </si>
  <si>
    <t>AB019H2</t>
  </si>
  <si>
    <t>Keziah Manga</t>
  </si>
  <si>
    <t>NN</t>
  </si>
  <si>
    <t>P/840/EDMT/129869/2026</t>
  </si>
  <si>
    <t>Amina Wakio Ochieng</t>
  </si>
  <si>
    <t>P/010/EDMT/129974/2026</t>
  </si>
  <si>
    <t>LG23519</t>
  </si>
  <si>
    <t>P/530/EDMT/129981/2026</t>
  </si>
  <si>
    <t>WO</t>
  </si>
  <si>
    <t xml:space="preserve">P/080/EDMT/129917/2026 </t>
  </si>
  <si>
    <t>AO</t>
  </si>
  <si>
    <t>P/030/EDMT/129898/2026</t>
  </si>
  <si>
    <t xml:space="preserve">P/630/EDMT/129934/2026 </t>
  </si>
  <si>
    <t>PC</t>
  </si>
  <si>
    <t>P/840/EDMT/129897/2026</t>
  </si>
  <si>
    <t>BB15269</t>
  </si>
  <si>
    <t>Rachel Muthoni Mwangi</t>
  </si>
  <si>
    <t>RB</t>
  </si>
  <si>
    <t>P/800/EDMT/129861/2026</t>
  </si>
  <si>
    <t>AB011FX</t>
  </si>
  <si>
    <t>Nancy Chari Mwanyawa</t>
  </si>
  <si>
    <t>P/040/EDMT/129895/2026</t>
  </si>
  <si>
    <t>AB037B9</t>
  </si>
  <si>
    <t>karen</t>
  </si>
  <si>
    <t xml:space="preserve">P/530/EDMT/129938/2026 </t>
  </si>
  <si>
    <t>JT</t>
  </si>
  <si>
    <t>P/010/EDMT/129947/2026</t>
  </si>
  <si>
    <t>P/740/EDUK/129909/2026</t>
  </si>
  <si>
    <t>P/130/EDUK/129995/2026</t>
  </si>
  <si>
    <t>HC</t>
  </si>
  <si>
    <t>kapsabet</t>
  </si>
  <si>
    <t>P/020/EDUK/129970/2026</t>
  </si>
  <si>
    <t>AB040Q1</t>
  </si>
  <si>
    <t xml:space="preserve">P/500/EDUK/129867/2026 </t>
  </si>
  <si>
    <t>AB038B1</t>
  </si>
  <si>
    <t>EK</t>
  </si>
  <si>
    <t>Emmah Kapcherui</t>
  </si>
  <si>
    <t>P/860/EDUK/129876/2026</t>
  </si>
  <si>
    <t>AB023XJ</t>
  </si>
  <si>
    <t>P/010/EDUK/129937/2026</t>
  </si>
  <si>
    <t>LG23116</t>
  </si>
  <si>
    <t>Purity Njoki Karani</t>
  </si>
  <si>
    <t>P/660/EDUK/129844/2026</t>
  </si>
  <si>
    <t>EL</t>
  </si>
  <si>
    <t xml:space="preserve">P/880/EDUK/129836/2026 </t>
  </si>
  <si>
    <t>BB14112</t>
  </si>
  <si>
    <t>Ann Ngina Mbaluto</t>
  </si>
  <si>
    <t>P/010/EDUK/129885/2026</t>
  </si>
  <si>
    <t>LG19457</t>
  </si>
  <si>
    <t>P/010/EDUK/129941/2026</t>
  </si>
  <si>
    <t>LG20229</t>
  </si>
  <si>
    <t>Naomi Muthoni Mwangi</t>
  </si>
  <si>
    <t>P/660/EDUK/129849/2026</t>
  </si>
  <si>
    <t>AB023HL</t>
  </si>
  <si>
    <t>UON</t>
  </si>
  <si>
    <t>P/670/EDUK/129972/2026</t>
  </si>
  <si>
    <t>AB019LC</t>
  </si>
  <si>
    <t>Ruth Nasipwoni Mukuusi</t>
  </si>
  <si>
    <t>P/660/EDUK/129877/2026</t>
  </si>
  <si>
    <t>AB035I9</t>
  </si>
  <si>
    <t xml:space="preserve">Maggie Otieno </t>
  </si>
  <si>
    <t>P/660/EDUK/129884/2026</t>
  </si>
  <si>
    <t>PA</t>
  </si>
  <si>
    <t>P/90/EDUK/129802/2026</t>
  </si>
  <si>
    <t>AB040PV</t>
  </si>
  <si>
    <t>P/270/EDUK/129606/2026</t>
  </si>
  <si>
    <t>CN269</t>
  </si>
  <si>
    <t>LW</t>
  </si>
  <si>
    <t>001_40110_804291</t>
  </si>
  <si>
    <t>HISA0010</t>
  </si>
  <si>
    <t>Joyce Kamau</t>
  </si>
  <si>
    <t>001_53810_799481</t>
  </si>
  <si>
    <t>Direct-Nduta</t>
  </si>
  <si>
    <t>ABJK582</t>
  </si>
  <si>
    <t>Jane Nduta Karanja</t>
  </si>
  <si>
    <t>P/530/EDMT/130037/2026</t>
  </si>
  <si>
    <t>FA</t>
  </si>
  <si>
    <t>P/600/EDMT/129957/2026</t>
  </si>
  <si>
    <t>P/720/EDMT/130005/2026</t>
  </si>
  <si>
    <t>P/800/EDMT/129994/2026</t>
  </si>
  <si>
    <t>P/040/EDMT/130020/2026</t>
  </si>
  <si>
    <t>AB040I3</t>
  </si>
  <si>
    <t xml:space="preserve">P/620/EDMT/129989/2026 </t>
  </si>
  <si>
    <t>P/880/EDMT/130019/2026</t>
  </si>
  <si>
    <t>P/130/EDUK/130013/2026</t>
  </si>
  <si>
    <t>JG</t>
  </si>
  <si>
    <t>P/880/EDMT/130028/2026</t>
  </si>
  <si>
    <t>P/430/EDMT/129984/2026</t>
  </si>
  <si>
    <t>AB028Q2</t>
  </si>
  <si>
    <t>Azinath Onyango</t>
  </si>
  <si>
    <t>MG</t>
  </si>
  <si>
    <t>P/530/EDMT/129971/2026</t>
  </si>
  <si>
    <t xml:space="preserve">J </t>
  </si>
  <si>
    <t>P/630/EDMT/130003/2026</t>
  </si>
  <si>
    <t xml:space="preserve">P/130/EDMT/130026/2026 </t>
  </si>
  <si>
    <t>AB022XO</t>
  </si>
  <si>
    <t>Esther Mbula Mwaka</t>
  </si>
  <si>
    <t>P/680/EDMT/130034/2026</t>
  </si>
  <si>
    <t>AB019JN</t>
  </si>
  <si>
    <t>Lilian John</t>
  </si>
  <si>
    <t xml:space="preserve">P/250/EDMT/130029/2026 </t>
  </si>
  <si>
    <t>AB0414Z</t>
  </si>
  <si>
    <t>P/190/EDMT/129996/2026</t>
  </si>
  <si>
    <t>AB018DP</t>
  </si>
  <si>
    <t>Tabitha Wangeci Kahanya</t>
  </si>
  <si>
    <t>P/190/EDMT/130006/2026</t>
  </si>
  <si>
    <t>LG19384</t>
  </si>
  <si>
    <t>Kennedy Onyango Wire</t>
  </si>
  <si>
    <t>Thika Road Mall</t>
  </si>
  <si>
    <t xml:space="preserve">P/200/EDMT/130002/2026 </t>
  </si>
  <si>
    <t>LG24867</t>
  </si>
  <si>
    <t>Mercy Mutahi</t>
  </si>
  <si>
    <t>DL</t>
  </si>
  <si>
    <t>nakuru east</t>
  </si>
  <si>
    <t>P/220/EDMT/129982/2026</t>
  </si>
  <si>
    <t>AB027CV</t>
  </si>
  <si>
    <t xml:space="preserve">Irene Chepngetich </t>
  </si>
  <si>
    <t>P/880/EDMT/130012/2026</t>
  </si>
  <si>
    <t>BB06527</t>
  </si>
  <si>
    <t>Pauline Gathoni Mburu</t>
  </si>
  <si>
    <t>SK</t>
  </si>
  <si>
    <t>P/190/EDMT/130010/2026</t>
  </si>
  <si>
    <t>AB019FM</t>
  </si>
  <si>
    <t>Sophia Ogutu</t>
  </si>
  <si>
    <t>P/680/EDMT/130059/2026</t>
  </si>
  <si>
    <t xml:space="preserve">P/680/EDMT/130038/2026 </t>
  </si>
  <si>
    <t xml:space="preserve">P/680/EDMT/129973/2026 </t>
  </si>
  <si>
    <t>BM</t>
  </si>
  <si>
    <t xml:space="preserve">P/870/EDMT/129948/2026 </t>
  </si>
  <si>
    <t>P/190/EDMT/130008/2026</t>
  </si>
  <si>
    <t>AB019F9</t>
  </si>
  <si>
    <t>Kioko Kariuki</t>
  </si>
  <si>
    <t>Lungalunga</t>
  </si>
  <si>
    <t>P/570/EDMT/129903/2026</t>
  </si>
  <si>
    <t>AB019HM</t>
  </si>
  <si>
    <t>Joel Mutweko</t>
  </si>
  <si>
    <t>NG</t>
  </si>
  <si>
    <t>P/430/EDMT/129985/2026</t>
  </si>
  <si>
    <t>P/220/EDMT/130027/2026</t>
  </si>
  <si>
    <t>AB027CW</t>
  </si>
  <si>
    <t>Bilha Waithera</t>
  </si>
  <si>
    <t>P/680/EDMT/130040/2026</t>
  </si>
  <si>
    <t>P/200/EDMT/130031/2026</t>
  </si>
  <si>
    <t>ABHW184</t>
  </si>
  <si>
    <t>Hannah Wanjiku</t>
  </si>
  <si>
    <t>P/290/EDMT/130022/2026</t>
  </si>
  <si>
    <t>AB019HW</t>
  </si>
  <si>
    <t>Job Munyao</t>
  </si>
  <si>
    <t>DO</t>
  </si>
  <si>
    <t>P/880/EDMT/130023/2026</t>
  </si>
  <si>
    <t>P/740/EDMT/130024/2026</t>
  </si>
  <si>
    <t>ABMWA8L</t>
  </si>
  <si>
    <t>Parkside Towers</t>
  </si>
  <si>
    <t>P/100/EDMT/130049/2026</t>
  </si>
  <si>
    <t>BB19361</t>
  </si>
  <si>
    <t>Briliant  Mwanahawa</t>
  </si>
  <si>
    <t>P/720/EDMT/130047/2026</t>
  </si>
  <si>
    <t>AB039YW</t>
  </si>
  <si>
    <t>BS</t>
  </si>
  <si>
    <t>P/570/EDMT/129904/2026</t>
  </si>
  <si>
    <t>RP</t>
  </si>
  <si>
    <t>P/800/EDMT/129980/2026</t>
  </si>
  <si>
    <t>TN</t>
  </si>
  <si>
    <t>P/880/EDMT/129966/2026</t>
  </si>
  <si>
    <t>P/910/EDMT/130043/2026</t>
  </si>
  <si>
    <t>LG21880</t>
  </si>
  <si>
    <t>Martin  Muriithi</t>
  </si>
  <si>
    <t>P/790/EDMT/129993/2026</t>
  </si>
  <si>
    <t>AB034XX</t>
  </si>
  <si>
    <t>Ronny Ndungu</t>
  </si>
  <si>
    <t>P/680/EDMT/130063/2026</t>
  </si>
  <si>
    <t>P/850/EDUK/130007/2026</t>
  </si>
  <si>
    <t>LG18448</t>
  </si>
  <si>
    <t>Hamisi Mwaviswa Mwaluma</t>
  </si>
  <si>
    <t xml:space="preserve">P/010/EDUK/130014/2026 </t>
  </si>
  <si>
    <t>AB026VA</t>
  </si>
  <si>
    <t>Molly Wakio Njogu</t>
  </si>
  <si>
    <t>P/270/EDUK/129979/2026</t>
  </si>
  <si>
    <t>AB0432DO</t>
  </si>
  <si>
    <t>P/490/EDUK/130017/2026</t>
  </si>
  <si>
    <t>AB032T5</t>
  </si>
  <si>
    <t xml:space="preserve">Joseph Kipino </t>
  </si>
  <si>
    <t>OL</t>
  </si>
  <si>
    <t>P/270/EDUK/130045/2026</t>
  </si>
  <si>
    <t>P/790/EDUK/129987/2026</t>
  </si>
  <si>
    <t>P/270/EDUK/129990/2026</t>
  </si>
  <si>
    <t>JD</t>
  </si>
  <si>
    <t>P/850/EDUK/130009/2026</t>
  </si>
  <si>
    <t>PW</t>
  </si>
  <si>
    <t>Muranga</t>
  </si>
  <si>
    <t>P/050/EDUK/129986/2026</t>
  </si>
  <si>
    <t>AB04245</t>
  </si>
  <si>
    <t xml:space="preserve">D </t>
  </si>
  <si>
    <t>001_86347_416670</t>
  </si>
  <si>
    <t>HISA0012</t>
  </si>
  <si>
    <t>Vivian Mlati</t>
  </si>
  <si>
    <t>P/540/EDMT/130071/2026</t>
  </si>
  <si>
    <t xml:space="preserve">P/900/EDMT/129960/2026 </t>
  </si>
  <si>
    <t>AB035ED</t>
  </si>
  <si>
    <t>P/690/EDMT/130076/2026</t>
  </si>
  <si>
    <t>BB07501</t>
  </si>
  <si>
    <t>P/910/EDMT/130046/2026</t>
  </si>
  <si>
    <t>P/910/EDMT/130050/2026</t>
  </si>
  <si>
    <t>P/910/EDMT/130055/2026</t>
  </si>
  <si>
    <t>001_53810_784780</t>
  </si>
  <si>
    <t xml:space="preserve">P/740/EDUK/130004/2026 </t>
  </si>
  <si>
    <t>P/300/EDUK/130064/2026</t>
  </si>
  <si>
    <t>AB042TS</t>
  </si>
  <si>
    <t>Dovenest</t>
  </si>
  <si>
    <t>DOVE001</t>
  </si>
  <si>
    <t>Beatrice Njeri Warui</t>
  </si>
  <si>
    <t>Kerugoya</t>
  </si>
  <si>
    <t xml:space="preserve">P/510/EDUK/129967/2026 </t>
  </si>
  <si>
    <t>ABCMAC5</t>
  </si>
  <si>
    <t>P/010/EDMT/129988/202</t>
  </si>
  <si>
    <t>LG223116</t>
  </si>
  <si>
    <t>Dawit</t>
  </si>
  <si>
    <t>DAWIT</t>
  </si>
  <si>
    <t>001_53810_430545</t>
  </si>
  <si>
    <t>Two Rivers Mall</t>
  </si>
  <si>
    <t>P/880/EDMT/130057/2026</t>
  </si>
  <si>
    <t>P/740/EDMT/129886/2026</t>
  </si>
  <si>
    <t>ABFM564</t>
  </si>
  <si>
    <t>P/850/EDMT/130062/2026</t>
  </si>
  <si>
    <t>AB041IH</t>
  </si>
  <si>
    <t>P/810/EDMT/130146/2026</t>
  </si>
  <si>
    <t>P/850/EDMT/130060/2026</t>
  </si>
  <si>
    <t>Muthaiga</t>
  </si>
  <si>
    <t>P/570/EDMT/130119/2026</t>
  </si>
  <si>
    <t>P/540/EDMT/129705/2026</t>
  </si>
  <si>
    <t>BB23435</t>
  </si>
  <si>
    <t>P/540/EDMT/129078/2026</t>
  </si>
  <si>
    <t>LG25050</t>
  </si>
  <si>
    <t>P/010/EDMT/130125/2026</t>
  </si>
  <si>
    <t>P/850/EDMT/130061/2026</t>
  </si>
  <si>
    <t>P/020/EDUK/130142/2026</t>
  </si>
  <si>
    <t>LG17838</t>
  </si>
  <si>
    <t>Direct-Kithuka</t>
  </si>
  <si>
    <t xml:space="preserve">ABPK281 </t>
  </si>
  <si>
    <t>P/900/EDMT/130196/2026</t>
  </si>
  <si>
    <t>AB041LP</t>
  </si>
  <si>
    <t>001_53810_207954</t>
  </si>
  <si>
    <t>001_53810_573490</t>
  </si>
  <si>
    <t>Premier Sarit</t>
  </si>
  <si>
    <t>ABFM710</t>
  </si>
  <si>
    <t>BB17443</t>
  </si>
  <si>
    <t>Avon</t>
  </si>
  <si>
    <t>AB035ZJ</t>
  </si>
  <si>
    <t>Hurlingham</t>
  </si>
  <si>
    <t>BB18176</t>
  </si>
  <si>
    <t>BB18638</t>
  </si>
  <si>
    <t>Taveta</t>
  </si>
  <si>
    <t>ABE5753</t>
  </si>
  <si>
    <t>Busia</t>
  </si>
  <si>
    <t>ABVC131</t>
  </si>
  <si>
    <t>Eco Towers</t>
  </si>
  <si>
    <t>AB018DG</t>
  </si>
  <si>
    <t>AB019V2</t>
  </si>
  <si>
    <t>Ecobank - Upperhill</t>
  </si>
  <si>
    <t>Kilifi</t>
  </si>
  <si>
    <t>AB0383Y</t>
  </si>
  <si>
    <t>BB04451</t>
  </si>
  <si>
    <t>Kariobangi</t>
  </si>
  <si>
    <t>BB06885</t>
  </si>
  <si>
    <t>LG12969</t>
  </si>
  <si>
    <t>AB034VB</t>
  </si>
  <si>
    <t>Village Market Prestige</t>
  </si>
  <si>
    <t>HISA0033</t>
  </si>
  <si>
    <t>Kericho</t>
  </si>
  <si>
    <t>AB016LS</t>
  </si>
  <si>
    <t>LG13917</t>
  </si>
  <si>
    <t>LG14476</t>
  </si>
  <si>
    <t>AB0379P</t>
  </si>
  <si>
    <t>HISA0040</t>
  </si>
  <si>
    <t>Kisumu-Ecobank</t>
  </si>
  <si>
    <t>CN261</t>
  </si>
  <si>
    <t>AB02915</t>
  </si>
  <si>
    <t>BB09220</t>
  </si>
  <si>
    <t>LG20055</t>
  </si>
  <si>
    <t>Kapenguria</t>
  </si>
  <si>
    <t>LG23275</t>
  </si>
  <si>
    <t>ABPMAOB</t>
  </si>
  <si>
    <t>AB027DA</t>
  </si>
  <si>
    <t>Diani</t>
  </si>
  <si>
    <t>AB037OR</t>
  </si>
  <si>
    <t>BB19957</t>
  </si>
  <si>
    <t>LG12473</t>
  </si>
  <si>
    <t>Market</t>
  </si>
  <si>
    <t>CN263</t>
  </si>
  <si>
    <t>Kawangware</t>
  </si>
  <si>
    <t>CN262</t>
  </si>
  <si>
    <t>Direct-Emily</t>
  </si>
  <si>
    <t>AB024LD</t>
  </si>
  <si>
    <t>Westlands</t>
  </si>
  <si>
    <t>HISA0061</t>
  </si>
  <si>
    <t>Robert Rotich</t>
  </si>
  <si>
    <t>Limuru</t>
  </si>
  <si>
    <t>BB13252</t>
  </si>
  <si>
    <t>Joan Monthe Ngui</t>
  </si>
  <si>
    <t>BB05293</t>
  </si>
  <si>
    <t>ABC prestige</t>
  </si>
  <si>
    <t>ABLW385</t>
  </si>
  <si>
    <t>AB0383X</t>
  </si>
  <si>
    <t>LG15482</t>
  </si>
  <si>
    <t>AB034V8</t>
  </si>
  <si>
    <t>AB032CI</t>
  </si>
  <si>
    <t>ABJBA29</t>
  </si>
  <si>
    <t>BB17339</t>
  </si>
  <si>
    <t>LG23570</t>
  </si>
  <si>
    <t>BB24579</t>
  </si>
  <si>
    <t>Malindi</t>
  </si>
  <si>
    <t>Kamakis</t>
  </si>
  <si>
    <t>ABEK348</t>
  </si>
  <si>
    <t>AB027LB</t>
  </si>
  <si>
    <t>BB00648</t>
  </si>
  <si>
    <t>BB19482</t>
  </si>
  <si>
    <t>ABJR643</t>
  </si>
  <si>
    <t>AB034VM</t>
  </si>
  <si>
    <t>LG11076</t>
  </si>
  <si>
    <t>AB038AJ</t>
  </si>
  <si>
    <t>Moses Ambwaya Odemba</t>
  </si>
  <si>
    <t>UB22721</t>
  </si>
  <si>
    <t>BB15371</t>
  </si>
  <si>
    <t>BB09498</t>
  </si>
  <si>
    <t>LG17191</t>
  </si>
  <si>
    <t>AB0311U</t>
  </si>
  <si>
    <t>AB032XR</t>
  </si>
  <si>
    <t>HISA0076</t>
  </si>
  <si>
    <t>ABPMAMU</t>
  </si>
  <si>
    <t>Minet</t>
  </si>
  <si>
    <t>AB035YF</t>
  </si>
  <si>
    <t>ABD0139</t>
  </si>
  <si>
    <t>AB02359</t>
  </si>
  <si>
    <t>CN827</t>
  </si>
  <si>
    <t>LG24242</t>
  </si>
  <si>
    <t>Wajir</t>
  </si>
  <si>
    <t>LG21648</t>
  </si>
  <si>
    <t>AB029P7</t>
  </si>
  <si>
    <t>AB006TR</t>
  </si>
  <si>
    <t>LG16529</t>
  </si>
  <si>
    <t>Kapsabet</t>
  </si>
  <si>
    <t>Homabay</t>
  </si>
  <si>
    <t>LG21904</t>
  </si>
  <si>
    <t>AB022EY</t>
  </si>
  <si>
    <t>AB032VW</t>
  </si>
  <si>
    <t>LG17002</t>
  </si>
  <si>
    <t>AB0265P</t>
  </si>
  <si>
    <t>ABAN701</t>
  </si>
  <si>
    <t>Thika-Bank</t>
  </si>
  <si>
    <t>Githunguri</t>
  </si>
  <si>
    <t>AB017W2</t>
  </si>
  <si>
    <t>Medpel</t>
  </si>
  <si>
    <t>Name 1</t>
  </si>
  <si>
    <t>Name 2</t>
  </si>
  <si>
    <t>Name 3</t>
  </si>
  <si>
    <t>Name 4</t>
  </si>
  <si>
    <t>Name 5</t>
  </si>
  <si>
    <t>Name 6</t>
  </si>
  <si>
    <t>Name 7</t>
  </si>
  <si>
    <t>Name 8</t>
  </si>
  <si>
    <t>Name 9</t>
  </si>
  <si>
    <t>Name 10</t>
  </si>
  <si>
    <t>Name 11</t>
  </si>
  <si>
    <t>Name 12</t>
  </si>
  <si>
    <t>Name 13</t>
  </si>
  <si>
    <t>Name 14</t>
  </si>
  <si>
    <t>Name 15</t>
  </si>
  <si>
    <t>Name 16</t>
  </si>
  <si>
    <t>Name 17</t>
  </si>
  <si>
    <t>Name 18</t>
  </si>
  <si>
    <t>Name 19</t>
  </si>
  <si>
    <t>Name 20</t>
  </si>
  <si>
    <t>Name 21</t>
  </si>
  <si>
    <t>Name 22</t>
  </si>
  <si>
    <t>Name 23</t>
  </si>
  <si>
    <t>Name 24</t>
  </si>
  <si>
    <t>Name 25</t>
  </si>
  <si>
    <t>Name 26</t>
  </si>
  <si>
    <t>Name 27</t>
  </si>
  <si>
    <t>Name 28</t>
  </si>
  <si>
    <t>Name 29</t>
  </si>
  <si>
    <t>Name 30</t>
  </si>
  <si>
    <t>Name 31</t>
  </si>
  <si>
    <t>Name 32</t>
  </si>
  <si>
    <t>Name 33</t>
  </si>
  <si>
    <t>Name 34</t>
  </si>
  <si>
    <t>Name 35</t>
  </si>
  <si>
    <t>Name 36</t>
  </si>
  <si>
    <t>Name 37</t>
  </si>
  <si>
    <t>Name 38</t>
  </si>
  <si>
    <t>Name 39</t>
  </si>
  <si>
    <t>Name 40</t>
  </si>
  <si>
    <t>Name 41</t>
  </si>
  <si>
    <t>Name 42</t>
  </si>
  <si>
    <t>Name 43</t>
  </si>
  <si>
    <t>Name 44</t>
  </si>
  <si>
    <t>Name 45</t>
  </si>
  <si>
    <t>Name 46</t>
  </si>
  <si>
    <t>Name 47</t>
  </si>
  <si>
    <t>Name 48</t>
  </si>
  <si>
    <t>Name 49</t>
  </si>
  <si>
    <t>Name 50</t>
  </si>
  <si>
    <t>Name 51</t>
  </si>
  <si>
    <t>Name 52</t>
  </si>
  <si>
    <t>Name 53</t>
  </si>
  <si>
    <t>Name 54</t>
  </si>
  <si>
    <t>Name 55</t>
  </si>
  <si>
    <t>Name 56</t>
  </si>
  <si>
    <t>Name 57</t>
  </si>
  <si>
    <t>Name 58</t>
  </si>
  <si>
    <t>Name 59</t>
  </si>
  <si>
    <t>Name 60</t>
  </si>
  <si>
    <t>Name 61</t>
  </si>
  <si>
    <t>Name 62</t>
  </si>
  <si>
    <t>Name 63</t>
  </si>
  <si>
    <t>Name 64</t>
  </si>
  <si>
    <t>Name 65</t>
  </si>
  <si>
    <t>Name 66</t>
  </si>
  <si>
    <t>Name 67</t>
  </si>
  <si>
    <t>Name 68</t>
  </si>
  <si>
    <t>Name 69</t>
  </si>
  <si>
    <t>Name 70</t>
  </si>
  <si>
    <t>Name 71</t>
  </si>
  <si>
    <t>Name 72</t>
  </si>
  <si>
    <t>Name 73</t>
  </si>
  <si>
    <t>Name 74</t>
  </si>
  <si>
    <t>Name 75</t>
  </si>
  <si>
    <t>Name 76</t>
  </si>
  <si>
    <t>Name 77</t>
  </si>
  <si>
    <t>Name 78</t>
  </si>
  <si>
    <t>Name 79</t>
  </si>
  <si>
    <t>Name 80</t>
  </si>
  <si>
    <t>Name 81</t>
  </si>
  <si>
    <t>Name 82</t>
  </si>
  <si>
    <t>Name 83</t>
  </si>
  <si>
    <t>Name 84</t>
  </si>
  <si>
    <t>Name 85</t>
  </si>
  <si>
    <t>Name 86</t>
  </si>
  <si>
    <t>Name 87</t>
  </si>
  <si>
    <t>Name 88</t>
  </si>
  <si>
    <t>Name 89</t>
  </si>
  <si>
    <t>Name 90</t>
  </si>
  <si>
    <t>Name 91</t>
  </si>
  <si>
    <t>Name 92</t>
  </si>
  <si>
    <t>Name 93</t>
  </si>
  <si>
    <t>Name 94</t>
  </si>
  <si>
    <t>Name 95</t>
  </si>
  <si>
    <t>Name 96</t>
  </si>
  <si>
    <t>Name 97</t>
  </si>
  <si>
    <t>Name 98</t>
  </si>
  <si>
    <t>Name 99</t>
  </si>
  <si>
    <t>Name 100</t>
  </si>
  <si>
    <t>Name 101</t>
  </si>
  <si>
    <t>Name 102</t>
  </si>
  <si>
    <t>Name 103</t>
  </si>
  <si>
    <t>Name 104</t>
  </si>
  <si>
    <t>Name 105</t>
  </si>
  <si>
    <t>Name 106</t>
  </si>
  <si>
    <t>Name 107</t>
  </si>
  <si>
    <t>Name 108</t>
  </si>
  <si>
    <t>Name 109</t>
  </si>
  <si>
    <t>Name 110</t>
  </si>
  <si>
    <t>Name 111</t>
  </si>
  <si>
    <t>Name 112</t>
  </si>
  <si>
    <t>Name 113</t>
  </si>
  <si>
    <t>Name 114</t>
  </si>
  <si>
    <t>Name 115</t>
  </si>
  <si>
    <t>Name 116</t>
  </si>
  <si>
    <t>Name 117</t>
  </si>
  <si>
    <t>Name 118</t>
  </si>
  <si>
    <t>Name 119</t>
  </si>
  <si>
    <t>Name 120</t>
  </si>
  <si>
    <t>Name 121</t>
  </si>
  <si>
    <t>Name 122</t>
  </si>
  <si>
    <t>Name 123</t>
  </si>
  <si>
    <t>Name 124</t>
  </si>
  <si>
    <t>Name 125</t>
  </si>
  <si>
    <t>Name 126</t>
  </si>
  <si>
    <t>Name 127</t>
  </si>
  <si>
    <t>Name 128</t>
  </si>
  <si>
    <t>Name 129</t>
  </si>
  <si>
    <t>Name 130</t>
  </si>
  <si>
    <t>Name 131</t>
  </si>
  <si>
    <t>Name 132</t>
  </si>
  <si>
    <t>Name 133</t>
  </si>
  <si>
    <t>Name 134</t>
  </si>
  <si>
    <t>Name 135</t>
  </si>
  <si>
    <t>Name 136</t>
  </si>
  <si>
    <t>Name 137</t>
  </si>
  <si>
    <t>Name 138</t>
  </si>
  <si>
    <t>Name 139</t>
  </si>
  <si>
    <t>Name 140</t>
  </si>
  <si>
    <t>Name 141</t>
  </si>
  <si>
    <t>Name 142</t>
  </si>
  <si>
    <t>Name 143</t>
  </si>
  <si>
    <t>Name 144</t>
  </si>
  <si>
    <t>Name 145</t>
  </si>
  <si>
    <t>Name 146</t>
  </si>
  <si>
    <t>Name 147</t>
  </si>
  <si>
    <t>Name 148</t>
  </si>
  <si>
    <t>Name 149</t>
  </si>
  <si>
    <t>Name 150</t>
  </si>
  <si>
    <t>Name 151</t>
  </si>
  <si>
    <t>Name 152</t>
  </si>
  <si>
    <t>Name 153</t>
  </si>
  <si>
    <t>Name 154</t>
  </si>
  <si>
    <t>Name 155</t>
  </si>
  <si>
    <t>Name 156</t>
  </si>
  <si>
    <t>Name 157</t>
  </si>
  <si>
    <t>Name 158</t>
  </si>
  <si>
    <t>Name 159</t>
  </si>
  <si>
    <t>Name 160</t>
  </si>
  <si>
    <t>Name 161</t>
  </si>
  <si>
    <t>Name 162</t>
  </si>
  <si>
    <t>Name 163</t>
  </si>
  <si>
    <t>Name 164</t>
  </si>
  <si>
    <t>Name 165</t>
  </si>
  <si>
    <t>Name 166</t>
  </si>
  <si>
    <t>Name 167</t>
  </si>
  <si>
    <t>Name 168</t>
  </si>
  <si>
    <t>Name 169</t>
  </si>
  <si>
    <t>Name 170</t>
  </si>
  <si>
    <t>Name 171</t>
  </si>
  <si>
    <t>Name 172</t>
  </si>
  <si>
    <t>Name 173</t>
  </si>
  <si>
    <t>Name 174</t>
  </si>
  <si>
    <t>Name 175</t>
  </si>
  <si>
    <t>Name 176</t>
  </si>
  <si>
    <t>Name 177</t>
  </si>
  <si>
    <t>Name 178</t>
  </si>
  <si>
    <t>Name 179</t>
  </si>
  <si>
    <t>Name 180</t>
  </si>
  <si>
    <t>Name 181</t>
  </si>
  <si>
    <t>Name 182</t>
  </si>
  <si>
    <t>Name 183</t>
  </si>
  <si>
    <t>Name 184</t>
  </si>
  <si>
    <t>Name 185</t>
  </si>
  <si>
    <t>Name 186</t>
  </si>
  <si>
    <t>Name 187</t>
  </si>
  <si>
    <t>Name 188</t>
  </si>
  <si>
    <t>Name 189</t>
  </si>
  <si>
    <t>Name 190</t>
  </si>
  <si>
    <t>Name 191</t>
  </si>
  <si>
    <t>Name 192</t>
  </si>
  <si>
    <t>Name 193</t>
  </si>
  <si>
    <t>Name 194</t>
  </si>
  <si>
    <t>Name 195</t>
  </si>
  <si>
    <t>Name 196</t>
  </si>
  <si>
    <t>Name 197</t>
  </si>
  <si>
    <t>Name 198</t>
  </si>
  <si>
    <t>Name 199</t>
  </si>
  <si>
    <t>Name 200</t>
  </si>
  <si>
    <t>Name 201</t>
  </si>
  <si>
    <t>Name 202</t>
  </si>
  <si>
    <t>Name 203</t>
  </si>
  <si>
    <t>Name 204</t>
  </si>
  <si>
    <t>Name 205</t>
  </si>
  <si>
    <t>Name 206</t>
  </si>
  <si>
    <t>Name 207</t>
  </si>
  <si>
    <t>Name 208</t>
  </si>
  <si>
    <t>Name 209</t>
  </si>
  <si>
    <t>Name 210</t>
  </si>
  <si>
    <t>Name 211</t>
  </si>
  <si>
    <t>Name 212</t>
  </si>
  <si>
    <t>Name 213</t>
  </si>
  <si>
    <t>Name 214</t>
  </si>
  <si>
    <t>Name 215</t>
  </si>
  <si>
    <t>Name 216</t>
  </si>
  <si>
    <t>Name 217</t>
  </si>
  <si>
    <t>Name 218</t>
  </si>
  <si>
    <t>Name 219</t>
  </si>
  <si>
    <t>Name 220</t>
  </si>
  <si>
    <t>Name 221</t>
  </si>
  <si>
    <t>Name 222</t>
  </si>
  <si>
    <t>Name 223</t>
  </si>
  <si>
    <t>Name 224</t>
  </si>
  <si>
    <t>Name 225</t>
  </si>
  <si>
    <t>Name 226</t>
  </si>
  <si>
    <t>Name 227</t>
  </si>
  <si>
    <t>Name 228</t>
  </si>
  <si>
    <t>Name 229</t>
  </si>
  <si>
    <t>Name 230</t>
  </si>
  <si>
    <t>Name 231</t>
  </si>
  <si>
    <t>Name 232</t>
  </si>
  <si>
    <t>Name 233</t>
  </si>
  <si>
    <t>Name 234</t>
  </si>
  <si>
    <t>Name 235</t>
  </si>
  <si>
    <t>Name 236</t>
  </si>
  <si>
    <t>Name 237</t>
  </si>
  <si>
    <t>Name 238</t>
  </si>
  <si>
    <t>Name 239</t>
  </si>
  <si>
    <t>Name 240</t>
  </si>
  <si>
    <t>Name 241</t>
  </si>
  <si>
    <t>Name 242</t>
  </si>
  <si>
    <t>Name 243</t>
  </si>
  <si>
    <t>Name 244</t>
  </si>
  <si>
    <t>Name 245</t>
  </si>
  <si>
    <t>Name 246</t>
  </si>
  <si>
    <t>Name 247</t>
  </si>
  <si>
    <t>Name 248</t>
  </si>
  <si>
    <t>Name 249</t>
  </si>
  <si>
    <t>Name 250</t>
  </si>
  <si>
    <t>Name 251</t>
  </si>
  <si>
    <t>Name 252</t>
  </si>
  <si>
    <t>Name 253</t>
  </si>
  <si>
    <t>Name 254</t>
  </si>
  <si>
    <t>Name 255</t>
  </si>
  <si>
    <t>Name 256</t>
  </si>
  <si>
    <t>Name 257</t>
  </si>
  <si>
    <t>Name 258</t>
  </si>
  <si>
    <t>Name 259</t>
  </si>
  <si>
    <t>Name 260</t>
  </si>
  <si>
    <t>Name 261</t>
  </si>
  <si>
    <t>Name 262</t>
  </si>
  <si>
    <t>Name 263</t>
  </si>
  <si>
    <t>Name 264</t>
  </si>
  <si>
    <t>Name 265</t>
  </si>
  <si>
    <t>Name 266</t>
  </si>
  <si>
    <t>Name 267</t>
  </si>
  <si>
    <t>Name 268</t>
  </si>
  <si>
    <t>Name 269</t>
  </si>
  <si>
    <t>Name 270</t>
  </si>
  <si>
    <t>Name 271</t>
  </si>
  <si>
    <t>Name 272</t>
  </si>
  <si>
    <t>Name 273</t>
  </si>
  <si>
    <t>Name 274</t>
  </si>
  <si>
    <t>Name 275</t>
  </si>
  <si>
    <t>Name 276</t>
  </si>
  <si>
    <t>Name 277</t>
  </si>
  <si>
    <t>Name 278</t>
  </si>
  <si>
    <t>Name 279</t>
  </si>
  <si>
    <t>Name 280</t>
  </si>
  <si>
    <t>Name 281</t>
  </si>
  <si>
    <t>Name 282</t>
  </si>
  <si>
    <t>Name 283</t>
  </si>
  <si>
    <t>Name 284</t>
  </si>
  <si>
    <t>Name 285</t>
  </si>
  <si>
    <t>Name 286</t>
  </si>
  <si>
    <t>Name 287</t>
  </si>
  <si>
    <t>Name 288</t>
  </si>
  <si>
    <t>Name 289</t>
  </si>
  <si>
    <t>Name 290</t>
  </si>
  <si>
    <t>Name 291</t>
  </si>
  <si>
    <t>Name 292</t>
  </si>
  <si>
    <t>Name 293</t>
  </si>
  <si>
    <t>Name 294</t>
  </si>
  <si>
    <t>Name 295</t>
  </si>
  <si>
    <t>Name 296</t>
  </si>
  <si>
    <t>Name 297</t>
  </si>
  <si>
    <t>Name 298</t>
  </si>
  <si>
    <t>Name 299</t>
  </si>
  <si>
    <t>Name 300</t>
  </si>
  <si>
    <t>Name 301</t>
  </si>
  <si>
    <t>Name 302</t>
  </si>
  <si>
    <t>Name 303</t>
  </si>
  <si>
    <t>Name 304</t>
  </si>
  <si>
    <t>Name 305</t>
  </si>
  <si>
    <t>Name 306</t>
  </si>
  <si>
    <t>Name 307</t>
  </si>
  <si>
    <t>Name 308</t>
  </si>
  <si>
    <t>Name 309</t>
  </si>
  <si>
    <t>Name 310</t>
  </si>
  <si>
    <t>Name 311</t>
  </si>
  <si>
    <t>Name 312</t>
  </si>
  <si>
    <t>Name 313</t>
  </si>
  <si>
    <t>Name 314</t>
  </si>
  <si>
    <t>Name 315</t>
  </si>
  <si>
    <t>Name 316</t>
  </si>
  <si>
    <t>Name 317</t>
  </si>
  <si>
    <t>Name 318</t>
  </si>
  <si>
    <t>Name 319</t>
  </si>
  <si>
    <t>Name 320</t>
  </si>
  <si>
    <t>Name 321</t>
  </si>
  <si>
    <t>Name 322</t>
  </si>
  <si>
    <t>Name 323</t>
  </si>
  <si>
    <t>Name 324</t>
  </si>
  <si>
    <t>branch_name</t>
  </si>
  <si>
    <t>cluster_name</t>
  </si>
  <si>
    <t>sales_consultant</t>
  </si>
  <si>
    <t>team_leader</t>
  </si>
  <si>
    <t>alak_rm</t>
  </si>
  <si>
    <t>branch_id</t>
  </si>
  <si>
    <t>agent_id</t>
  </si>
  <si>
    <t>tl_id</t>
  </si>
  <si>
    <t>rm_id</t>
  </si>
  <si>
    <t>cluster_id</t>
  </si>
  <si>
    <t>eff_dt_from</t>
  </si>
  <si>
    <t>eff_dt_to</t>
  </si>
  <si>
    <t>Nairobi East</t>
  </si>
  <si>
    <t>Julius Mugane</t>
  </si>
  <si>
    <t>Debrah Rashid</t>
  </si>
  <si>
    <t>Simon Wambua</t>
  </si>
  <si>
    <t>Joseph Kairu</t>
  </si>
  <si>
    <t>NULL</t>
  </si>
  <si>
    <t>Bomet</t>
  </si>
  <si>
    <t>Nairobi Central</t>
  </si>
  <si>
    <t>George Maina</t>
  </si>
  <si>
    <t>Zedekiah Mburu</t>
  </si>
  <si>
    <t>Coast</t>
  </si>
  <si>
    <t>Nancy Logose</t>
  </si>
  <si>
    <t>Brian Khamadi</t>
  </si>
  <si>
    <t>Valley Arcade</t>
  </si>
  <si>
    <t>Plaza 2000</t>
  </si>
  <si>
    <t>Industrial Area</t>
  </si>
  <si>
    <t>Kisii-Ecobank</t>
  </si>
  <si>
    <t>HISA0041</t>
  </si>
  <si>
    <t>HISA0054</t>
  </si>
  <si>
    <t>HISA0027</t>
  </si>
  <si>
    <t>HISA0067</t>
  </si>
  <si>
    <t>HISA0003</t>
  </si>
  <si>
    <t>HISA0011</t>
  </si>
  <si>
    <t>HISA0060</t>
  </si>
  <si>
    <t>HISA0020</t>
  </si>
  <si>
    <t>HISA0039</t>
  </si>
  <si>
    <t>HISA0018</t>
  </si>
  <si>
    <t>HISA0016</t>
  </si>
  <si>
    <t>HISA0045</t>
  </si>
  <si>
    <t>HISA0007</t>
  </si>
  <si>
    <t>HISA0086</t>
  </si>
  <si>
    <t>HISA0028</t>
  </si>
  <si>
    <t>HISA0080</t>
  </si>
  <si>
    <t>HISA0025</t>
  </si>
  <si>
    <t>Mt. Kenya</t>
  </si>
  <si>
    <t>Teresa Maina</t>
  </si>
  <si>
    <t>Paul Kithuka</t>
  </si>
  <si>
    <t>Garissa</t>
  </si>
  <si>
    <t>Jane Nduta</t>
  </si>
  <si>
    <t>Morgan Mwangi</t>
  </si>
  <si>
    <t>JKIA</t>
  </si>
  <si>
    <t>Maua</t>
  </si>
  <si>
    <t>Migori</t>
  </si>
  <si>
    <t>Nakuru East</t>
  </si>
  <si>
    <t>Queensway hse</t>
  </si>
  <si>
    <t>Nina Kifani</t>
  </si>
  <si>
    <t>Premier</t>
  </si>
  <si>
    <t>Spertheones</t>
  </si>
  <si>
    <t>Voi</t>
  </si>
  <si>
    <t>Webuye</t>
  </si>
  <si>
    <t>Zamara</t>
  </si>
  <si>
    <t>Direct-sheila</t>
  </si>
  <si>
    <t>Direct-Mugane</t>
  </si>
  <si>
    <t>Direct-Valentine</t>
  </si>
  <si>
    <t>Direct-Khamadi</t>
  </si>
  <si>
    <t>Direct-Zedekiah</t>
  </si>
  <si>
    <t>Direct-Nina</t>
  </si>
  <si>
    <t>Mtiba</t>
  </si>
  <si>
    <t>Premier Westgate</t>
  </si>
  <si>
    <t>Direct-Hillary</t>
  </si>
  <si>
    <t>Direct-Ancetar</t>
  </si>
  <si>
    <t>Direct-Kairu</t>
  </si>
  <si>
    <t>Direct-Bilha</t>
  </si>
  <si>
    <t>Direct-Morgan</t>
  </si>
  <si>
    <t>BBS Mall</t>
  </si>
  <si>
    <t>Etana</t>
  </si>
  <si>
    <t>Online</t>
  </si>
  <si>
    <t>Methodist Insurance Brokers Ltd</t>
  </si>
  <si>
    <t>Direct-Joel</t>
  </si>
  <si>
    <t>Direct-Gatumu</t>
  </si>
  <si>
    <t>Direct-Wycliffe</t>
  </si>
  <si>
    <t>Stanbic Insurance Agency</t>
  </si>
  <si>
    <t>Direct-Selestine</t>
  </si>
  <si>
    <t>Direct-George</t>
  </si>
  <si>
    <t>Direct-Teresa</t>
  </si>
  <si>
    <t>Universal Marketing</t>
  </si>
  <si>
    <t>Diamond</t>
  </si>
  <si>
    <t>Glamazonah</t>
  </si>
  <si>
    <t>Perspective</t>
  </si>
  <si>
    <t>Hedgewell Insurance Agency</t>
  </si>
  <si>
    <t>Citra Africa Insurance</t>
  </si>
  <si>
    <t>Esipa Insurance</t>
  </si>
  <si>
    <t>Absa Towers premier</t>
  </si>
  <si>
    <t>Super Deals Insurance Agency</t>
  </si>
  <si>
    <t>Noble Strides Insurance agency</t>
  </si>
  <si>
    <t>Tadeo Insurance agency</t>
  </si>
  <si>
    <t>Greatscope Insurance Agency</t>
  </si>
  <si>
    <t>Temanja Insurance Agency</t>
  </si>
  <si>
    <t>Sedgwick</t>
  </si>
  <si>
    <t>Caz Insurance Agency</t>
  </si>
  <si>
    <t>Jay Agency</t>
  </si>
  <si>
    <t>Sales Code</t>
  </si>
  <si>
    <t>Sales Person</t>
  </si>
  <si>
    <t>CLUSTER</t>
  </si>
  <si>
    <t>Prestige &amp; Mall</t>
  </si>
  <si>
    <t>UB</t>
  </si>
  <si>
    <t>LG25256</t>
  </si>
  <si>
    <t>Rift &amp; Western</t>
  </si>
  <si>
    <t>LG76639</t>
  </si>
  <si>
    <t xml:space="preserve">Zipporah Kerubo </t>
  </si>
  <si>
    <t>AB019UT</t>
  </si>
  <si>
    <t>Zetiuna Koech</t>
  </si>
  <si>
    <t>Moi Avenue Mombasa</t>
  </si>
  <si>
    <t>LG16636</t>
  </si>
  <si>
    <t>Zepora Navifwo Manyasi</t>
  </si>
  <si>
    <t>LG25555</t>
  </si>
  <si>
    <t xml:space="preserve">Zenah Jepchumba Rutto </t>
  </si>
  <si>
    <t xml:space="preserve">Muthaiga </t>
  </si>
  <si>
    <t>AB019VT</t>
  </si>
  <si>
    <t>Zeituna Koech</t>
  </si>
  <si>
    <t>LG24890</t>
  </si>
  <si>
    <t>Zainalabdin Abdikadir Adan</t>
  </si>
  <si>
    <t>LG21061</t>
  </si>
  <si>
    <t>Zainabu AWUOR Oloo</t>
  </si>
  <si>
    <t>BB9326</t>
  </si>
  <si>
    <t>Zachary Gichari</t>
  </si>
  <si>
    <t>Nairobi</t>
  </si>
  <si>
    <t>LG24211</t>
  </si>
  <si>
    <t>Yuvensiah Mutave Kilonzo</t>
  </si>
  <si>
    <t>Lunga Lunga</t>
  </si>
  <si>
    <t>LG24898</t>
  </si>
  <si>
    <t xml:space="preserve">Yusra Adan Issack </t>
  </si>
  <si>
    <t>LG24889</t>
  </si>
  <si>
    <t xml:space="preserve">Yayo Wole Worke </t>
  </si>
  <si>
    <t>AB022VJ</t>
  </si>
  <si>
    <t>Wycliffe Otieno Joseph</t>
  </si>
  <si>
    <t>AB011FP</t>
  </si>
  <si>
    <t>Wycliffe Oginga Amolo</t>
  </si>
  <si>
    <t>LG24590</t>
  </si>
  <si>
    <t>Wycliffe Anunda Mogoro</t>
  </si>
  <si>
    <t>LG23202</t>
  </si>
  <si>
    <t>Wycliffe Amuke Okang'a</t>
  </si>
  <si>
    <t>AB023DO</t>
  </si>
  <si>
    <t>Wisdom Ndalo</t>
  </si>
  <si>
    <t>AB021R9</t>
  </si>
  <si>
    <t>Winny Kipchumba</t>
  </si>
  <si>
    <t>ABWA100</t>
  </si>
  <si>
    <t>Winnie Ndunge Amos</t>
  </si>
  <si>
    <t>LG24857</t>
  </si>
  <si>
    <t xml:space="preserve">Winnie Nasimiyu Dabani </t>
  </si>
  <si>
    <t>BB19684</t>
  </si>
  <si>
    <t xml:space="preserve">Winnie Mundati </t>
  </si>
  <si>
    <t>BB169684</t>
  </si>
  <si>
    <t>LG15512</t>
  </si>
  <si>
    <t>Winnie Jepkorir Rono</t>
  </si>
  <si>
    <t>LG23523</t>
  </si>
  <si>
    <t>Winnie Gatwiri Kithinji</t>
  </si>
  <si>
    <t>BB11365</t>
  </si>
  <si>
    <t>Winnie Chepkorir Chumo</t>
  </si>
  <si>
    <t>BB07813</t>
  </si>
  <si>
    <t>Winnie Chebet Cheborgei</t>
  </si>
  <si>
    <t>AB02970</t>
  </si>
  <si>
    <t>Winnie Atieno Onyango</t>
  </si>
  <si>
    <t>LG10480</t>
  </si>
  <si>
    <t>Winnie Anne Otwane</t>
  </si>
  <si>
    <t>Winnie Adhiambo Omanya</t>
  </si>
  <si>
    <t>AB0150G</t>
  </si>
  <si>
    <t xml:space="preserve">Winfridah Onsongo </t>
  </si>
  <si>
    <t>BB10191</t>
  </si>
  <si>
    <t>Winfred Nganga Mbithi</t>
  </si>
  <si>
    <t>Nkrumah Rd</t>
  </si>
  <si>
    <t>LG18667</t>
  </si>
  <si>
    <t>Winfred Akoth Rakiro</t>
  </si>
  <si>
    <t>AB021H2</t>
  </si>
  <si>
    <t>Wincate Njoki Kaugi</t>
  </si>
  <si>
    <t>LG25031</t>
  </si>
  <si>
    <t xml:space="preserve">Wilson Onduto Odhiambo </t>
  </si>
  <si>
    <t>BB13715</t>
  </si>
  <si>
    <t>Wilfrida Otieno</t>
  </si>
  <si>
    <t>AB01554</t>
  </si>
  <si>
    <t xml:space="preserve">Wilfrida Akumu </t>
  </si>
  <si>
    <t>LG13715</t>
  </si>
  <si>
    <t>Wilfrida Akoth Otieno</t>
  </si>
  <si>
    <t>AB019F1</t>
  </si>
  <si>
    <t>Wilberforce Makokha</t>
  </si>
  <si>
    <t>LG25066</t>
  </si>
  <si>
    <t>Wiclif Omondi Omolo</t>
  </si>
  <si>
    <t>AB029Q3</t>
  </si>
  <si>
    <t>Whitney Khameye</t>
  </si>
  <si>
    <t>LG21891</t>
  </si>
  <si>
    <t>Wendy  Omondi</t>
  </si>
  <si>
    <t>BB18899</t>
  </si>
  <si>
    <t>Washington Odiwuor Otieno</t>
  </si>
  <si>
    <t>LG18899</t>
  </si>
  <si>
    <t>AB011H4</t>
  </si>
  <si>
    <t>Warui Nicholas Mwaniki</t>
  </si>
  <si>
    <t>AB01723</t>
  </si>
  <si>
    <t>Wanjala Joseph Munialo</t>
  </si>
  <si>
    <t>MKL0354</t>
  </si>
  <si>
    <t>Wanja, Joyce Murugi</t>
  </si>
  <si>
    <t>LETSHEGO-CITY CENTRE</t>
  </si>
  <si>
    <t>AB006DM</t>
  </si>
  <si>
    <t>Wambua Stella Ndanu</t>
  </si>
  <si>
    <t>BB21546</t>
  </si>
  <si>
    <t>Walter Mathenge</t>
  </si>
  <si>
    <t>AB01720</t>
  </si>
  <si>
    <t>Walter Khamadi</t>
  </si>
  <si>
    <t>AB02287</t>
  </si>
  <si>
    <t>Wallace Opiayo</t>
  </si>
  <si>
    <t>LG24853</t>
  </si>
  <si>
    <t>Vivian Kemunto</t>
  </si>
  <si>
    <t>Premier Queensway</t>
  </si>
  <si>
    <t>LG25237</t>
  </si>
  <si>
    <t xml:space="preserve">Virginia Mbithe Wambua </t>
  </si>
  <si>
    <t>LG25269</t>
  </si>
  <si>
    <t>Violet Abebe</t>
  </si>
  <si>
    <t>AB019ZF</t>
  </si>
  <si>
    <t>Viola Grace Apondi Otiende</t>
  </si>
  <si>
    <t>LG24609</t>
  </si>
  <si>
    <t>Vincent Otieno Okello</t>
  </si>
  <si>
    <t>AB025OT</t>
  </si>
  <si>
    <t xml:space="preserve">Vincent Ojwang  Ochieng </t>
  </si>
  <si>
    <t>AB020BC</t>
  </si>
  <si>
    <t>Vincent Nyaribo</t>
  </si>
  <si>
    <t>LG25092</t>
  </si>
  <si>
    <t>VINCENT KINGIMA ONDARI</t>
  </si>
  <si>
    <t>BB24306</t>
  </si>
  <si>
    <t>Vilma Mutoka</t>
  </si>
  <si>
    <t>LG24306</t>
  </si>
  <si>
    <t>Vilma Motuka</t>
  </si>
  <si>
    <t>LG24310</t>
  </si>
  <si>
    <t>Victoria Wangui Njiru</t>
  </si>
  <si>
    <t>AB024XB</t>
  </si>
  <si>
    <t>Victoria Nyamumi</t>
  </si>
  <si>
    <t>BB14467</t>
  </si>
  <si>
    <t>Victoria Kavinya Mule</t>
  </si>
  <si>
    <t>AB019QQ</t>
  </si>
  <si>
    <t>Victor Waema</t>
  </si>
  <si>
    <t>AB019XK</t>
  </si>
  <si>
    <t>Victor Omoit</t>
  </si>
  <si>
    <t>LG18408</t>
  </si>
  <si>
    <t>Victor Mutinda Mumo</t>
  </si>
  <si>
    <t>AB021KV</t>
  </si>
  <si>
    <t>Victor Korir</t>
  </si>
  <si>
    <t>BB18645</t>
  </si>
  <si>
    <t>Victor Kipkirui</t>
  </si>
  <si>
    <t>BB07426</t>
  </si>
  <si>
    <t>Victor Cyrill Kottonya</t>
  </si>
  <si>
    <t>Victor Ameyo Omukala</t>
  </si>
  <si>
    <t>LG22289</t>
  </si>
  <si>
    <t>Vicent Kipngetich Yego</t>
  </si>
  <si>
    <t>LG24258</t>
  </si>
  <si>
    <t>Veronica Wairimu Kimani</t>
  </si>
  <si>
    <t>LG17066</t>
  </si>
  <si>
    <t>Veronica Mwende Ikandi</t>
  </si>
  <si>
    <t>LG24396</t>
  </si>
  <si>
    <t>AB026Q4</t>
  </si>
  <si>
    <t>Veronica Masae</t>
  </si>
  <si>
    <t>AB027ZE</t>
  </si>
  <si>
    <t>Verolyne Odero</t>
  </si>
  <si>
    <t>LG25453</t>
  </si>
  <si>
    <t>Verah Chelimo Chongwony</t>
  </si>
  <si>
    <t>BB21153</t>
  </si>
  <si>
    <t>Veonna Magara</t>
  </si>
  <si>
    <t>LG24908</t>
  </si>
  <si>
    <t>Velah Murengu</t>
  </si>
  <si>
    <t>AB027KO</t>
  </si>
  <si>
    <t>Varsity Tarus</t>
  </si>
  <si>
    <t>BB23542</t>
  </si>
  <si>
    <t>Valentine Waweru</t>
  </si>
  <si>
    <t>ABVM540</t>
  </si>
  <si>
    <t>BB07609</t>
  </si>
  <si>
    <t>Valentine Mola</t>
  </si>
  <si>
    <t>AB019VP</t>
  </si>
  <si>
    <t>Valentine Manyange</t>
  </si>
  <si>
    <t>LG25086</t>
  </si>
  <si>
    <t>Tracy Chebet</t>
  </si>
  <si>
    <t>BB17452</t>
  </si>
  <si>
    <t>Tony  Mati</t>
  </si>
  <si>
    <t>LG22547</t>
  </si>
  <si>
    <t>Tonny Okoth</t>
  </si>
  <si>
    <t>LG24536</t>
  </si>
  <si>
    <t xml:space="preserve">Tom Stanley Aduda </t>
  </si>
  <si>
    <t>LG12716</t>
  </si>
  <si>
    <t>Tom Liech Onunga</t>
  </si>
  <si>
    <t>LG24207</t>
  </si>
  <si>
    <t>Tinega Kennedy Okumu</t>
  </si>
  <si>
    <t>AB011NK</t>
  </si>
  <si>
    <t>Timothy Mutembei Kiogora</t>
  </si>
  <si>
    <t>LG12657</t>
  </si>
  <si>
    <t>Timothy Mumo Mutambuki</t>
  </si>
  <si>
    <t>LG24292</t>
  </si>
  <si>
    <t>Timothy Mugambi Njue</t>
  </si>
  <si>
    <t>AB02067</t>
  </si>
  <si>
    <t>Thomas Ochieng</t>
  </si>
  <si>
    <t>LG17204</t>
  </si>
  <si>
    <t>Thomas Mugonzya Mutambuki</t>
  </si>
  <si>
    <t>AB019H6</t>
  </si>
  <si>
    <t>Thomas Kirop</t>
  </si>
  <si>
    <t>AB017WL</t>
  </si>
  <si>
    <t>Thomas Barasa Wachiya</t>
  </si>
  <si>
    <t>LG11562</t>
  </si>
  <si>
    <t>Theresiah Kamene Mumo</t>
  </si>
  <si>
    <t>LG22355</t>
  </si>
  <si>
    <t>Theresa Mogotu Nyang'wara</t>
  </si>
  <si>
    <t>LG22290</t>
  </si>
  <si>
    <t>Thadeus Nyakundi Moindi</t>
  </si>
  <si>
    <t>AB019VG</t>
  </si>
  <si>
    <t>Tevin Musili</t>
  </si>
  <si>
    <t>LG25071</t>
  </si>
  <si>
    <t>Terry Nyawira Njeru</t>
  </si>
  <si>
    <t>BB11245</t>
  </si>
  <si>
    <t>Teresia Wanjiru Gichia</t>
  </si>
  <si>
    <t>Garden City Mall</t>
  </si>
  <si>
    <t>LG19069</t>
  </si>
  <si>
    <t>Teresia Odhiambo</t>
  </si>
  <si>
    <t>LG20297</t>
  </si>
  <si>
    <t>Teresah Wangari Gituku</t>
  </si>
  <si>
    <t>Southfield</t>
  </si>
  <si>
    <t>LG06721</t>
  </si>
  <si>
    <t>Teresa Nanjala Masinde</t>
  </si>
  <si>
    <t>AB011JM</t>
  </si>
  <si>
    <t>Teresa Muthoni Maina</t>
  </si>
  <si>
    <t>AB021M4</t>
  </si>
  <si>
    <t>Teresa Gitonga</t>
  </si>
  <si>
    <t>AB025OU</t>
  </si>
  <si>
    <t xml:space="preserve">Telvin Kuru Munge </t>
  </si>
  <si>
    <t>AB0171T</t>
  </si>
  <si>
    <t>Teddy Oduor</t>
  </si>
  <si>
    <t>LG21685</t>
  </si>
  <si>
    <t>Teddy Mwawasi Mwazuna</t>
  </si>
  <si>
    <t>LG24551</t>
  </si>
  <si>
    <t xml:space="preserve">Tabitha Wambui Gachau </t>
  </si>
  <si>
    <t>LG12303</t>
  </si>
  <si>
    <t>Tabitha Waithera Gitau</t>
  </si>
  <si>
    <t>AB019GB</t>
  </si>
  <si>
    <t>Tabitha Ndolo</t>
  </si>
  <si>
    <t>LG23479</t>
  </si>
  <si>
    <t>Tabitha Mwende Kingoo</t>
  </si>
  <si>
    <t>11018</t>
  </si>
  <si>
    <t>Sylvia Wangui Karuku</t>
  </si>
  <si>
    <t>BB06873</t>
  </si>
  <si>
    <t xml:space="preserve">Sylvia Kiplagat </t>
  </si>
  <si>
    <t>AB025CM</t>
  </si>
  <si>
    <t>Sylvia Khakasa</t>
  </si>
  <si>
    <t>AB0249O</t>
  </si>
  <si>
    <t>Sylvia Chebii</t>
  </si>
  <si>
    <t>AB02490</t>
  </si>
  <si>
    <t>AB019LQ</t>
  </si>
  <si>
    <t>Sylvia Alumasi</t>
  </si>
  <si>
    <t>AB023JI</t>
  </si>
  <si>
    <t>Sylvester Okoth</t>
  </si>
  <si>
    <t>LG24617</t>
  </si>
  <si>
    <t>Susan Wanjiru Njeru</t>
  </si>
  <si>
    <t>LG24210</t>
  </si>
  <si>
    <t>Susan Wambuga Chenjema</t>
  </si>
  <si>
    <t>LG19483</t>
  </si>
  <si>
    <t>Susan Nyawira Maina</t>
  </si>
  <si>
    <t>Susan Njoki Ngararu</t>
  </si>
  <si>
    <t>AB017VS</t>
  </si>
  <si>
    <t>Susan Kayika</t>
  </si>
  <si>
    <t>AB01559</t>
  </si>
  <si>
    <t>Susan Karimi</t>
  </si>
  <si>
    <t>BBABSK755</t>
  </si>
  <si>
    <t>Susan Kagenyo</t>
  </si>
  <si>
    <t>BB07209</t>
  </si>
  <si>
    <t>Susan Essy Agollah Onyango</t>
  </si>
  <si>
    <t>AB026VB</t>
  </si>
  <si>
    <t>Steven Oyemba</t>
  </si>
  <si>
    <t>LG23420</t>
  </si>
  <si>
    <t>Steven  Odamna</t>
  </si>
  <si>
    <t>AB02691</t>
  </si>
  <si>
    <t>Stephenn Mugo</t>
  </si>
  <si>
    <t>LG18891</t>
  </si>
  <si>
    <t>Stephen Onyango Wambedha</t>
  </si>
  <si>
    <t>LG17722</t>
  </si>
  <si>
    <t>Stephen Mwaniki Gitari</t>
  </si>
  <si>
    <t>LG19257</t>
  </si>
  <si>
    <t>Stephen Malone Kimeu</t>
  </si>
  <si>
    <t>LG25460</t>
  </si>
  <si>
    <t>Stephen Kiproptich Koech</t>
  </si>
  <si>
    <t>AB0280H</t>
  </si>
  <si>
    <t>Stephen Kinuthia Maina</t>
  </si>
  <si>
    <t>AB011NA</t>
  </si>
  <si>
    <t>Stephen Kinuthia Kamau</t>
  </si>
  <si>
    <t>Agnes Wachuka Waruingi</t>
  </si>
  <si>
    <t>Alternative Channel</t>
  </si>
  <si>
    <t>Amos Chege Karanja</t>
  </si>
  <si>
    <t>Carolyne Njoki Muhoro</t>
  </si>
  <si>
    <t>Catherine Koli Mutua</t>
  </si>
  <si>
    <t>Jacky Muiga</t>
  </si>
  <si>
    <t>Joseph Munyao Manyala</t>
  </si>
  <si>
    <t>Julia Kamau</t>
  </si>
  <si>
    <t>Lovelyn Atwiine</t>
  </si>
  <si>
    <t>Maureen Ichaura</t>
  </si>
  <si>
    <t>Robinson Nduati Kimani</t>
  </si>
  <si>
    <t>Sammy Gikiri</t>
  </si>
  <si>
    <t>Victor Nyamunga</t>
  </si>
  <si>
    <t>Winnie Wanjiku Kiragu</t>
  </si>
  <si>
    <t>HISA0001</t>
  </si>
  <si>
    <t>Eric Gatumu</t>
  </si>
  <si>
    <t>Caroline Ng'ang'a</t>
  </si>
  <si>
    <t>Consolata Wandia Maina</t>
  </si>
  <si>
    <t>Fouzia Nicole Rashid</t>
  </si>
  <si>
    <t>Grace Wahome</t>
  </si>
  <si>
    <t>Margaret Wangui Mbugua</t>
  </si>
  <si>
    <t>Martin Kamande</t>
  </si>
  <si>
    <t>Pauline Mkanjumwa Maza</t>
  </si>
  <si>
    <t>Peris Wakanyi Kamau</t>
  </si>
  <si>
    <t>Rhoda Nyaanga Wanjuki</t>
  </si>
  <si>
    <t>Susan Omondi</t>
  </si>
  <si>
    <t>Sylvia Mutitu Njagi</t>
  </si>
  <si>
    <t>Virginia Wambui Mbugua</t>
  </si>
  <si>
    <t>Wainaina Joseph Kiarie</t>
  </si>
  <si>
    <t>BB21875</t>
  </si>
  <si>
    <t>Stephen Kaluku</t>
  </si>
  <si>
    <t>BB04523</t>
  </si>
  <si>
    <t>Stephen Kabucho</t>
  </si>
  <si>
    <t>BB11791</t>
  </si>
  <si>
    <t>Stephen Bundi Stanley</t>
  </si>
  <si>
    <t>Premier Absa Towers</t>
  </si>
  <si>
    <t>LG21875</t>
  </si>
  <si>
    <t>Stephen  Kaluku</t>
  </si>
  <si>
    <t>AB006D2</t>
  </si>
  <si>
    <t xml:space="preserve">Stella Wambua </t>
  </si>
  <si>
    <t>AB025OL</t>
  </si>
  <si>
    <t>Stella Nafula Wanyonyi</t>
  </si>
  <si>
    <t>Stella Kagwiria Muriuki</t>
  </si>
  <si>
    <t>LG21285</t>
  </si>
  <si>
    <t>Stanley KIBUI Gacheru</t>
  </si>
  <si>
    <t>LG23271</t>
  </si>
  <si>
    <t>Stanley Gikundi Ntorukiri</t>
  </si>
  <si>
    <t>LG24560</t>
  </si>
  <si>
    <t>Stacy Njeri Njinu</t>
  </si>
  <si>
    <t>AB019G9</t>
  </si>
  <si>
    <t>Stacey Mako</t>
  </si>
  <si>
    <t>AB01969</t>
  </si>
  <si>
    <t>Stacey Esendi Mako</t>
  </si>
  <si>
    <t>AB022F0</t>
  </si>
  <si>
    <t>Sophie Muthamia</t>
  </si>
  <si>
    <t>LG20209</t>
  </si>
  <si>
    <t>Solomon Mulei Kavata</t>
  </si>
  <si>
    <t xml:space="preserve">BB06885 </t>
  </si>
  <si>
    <t>Simon Njoroge</t>
  </si>
  <si>
    <t xml:space="preserve">Simon Ngui </t>
  </si>
  <si>
    <t>13041</t>
  </si>
  <si>
    <t>Simon Mulinge Ngui</t>
  </si>
  <si>
    <t>Simon Karanja Njoroge</t>
  </si>
  <si>
    <t>BB21166</t>
  </si>
  <si>
    <t>Silas Wanjala Oloo</t>
  </si>
  <si>
    <t>LG24533</t>
  </si>
  <si>
    <t>Silas Kiprotich Tanui</t>
  </si>
  <si>
    <t>LG25552</t>
  </si>
  <si>
    <t>Silas Kiprotich Chirchir</t>
  </si>
  <si>
    <t>LG25592</t>
  </si>
  <si>
    <t>Silas Chirchir</t>
  </si>
  <si>
    <t>LG20696</t>
  </si>
  <si>
    <t>Sifa Mwanguwa Kidong'u</t>
  </si>
  <si>
    <t>AB025S</t>
  </si>
  <si>
    <t>sidney Onindo Wandago</t>
  </si>
  <si>
    <t>LG24849</t>
  </si>
  <si>
    <t xml:space="preserve">SHIRLIYINE AKINYI </t>
  </si>
  <si>
    <t>LG18008</t>
  </si>
  <si>
    <t>Shirley Phelyster Omware</t>
  </si>
  <si>
    <t>LG25056</t>
  </si>
  <si>
    <t>Shirley Jepkosgei Rotich</t>
  </si>
  <si>
    <t>LG25057</t>
  </si>
  <si>
    <t xml:space="preserve">Sherice Nyevu Thoya </t>
  </si>
  <si>
    <t>AB011JP</t>
  </si>
  <si>
    <t>Sheila Ndegwa</t>
  </si>
  <si>
    <t>AB018LO</t>
  </si>
  <si>
    <t>LG13522</t>
  </si>
  <si>
    <t>Sharron Atieno Mathews</t>
  </si>
  <si>
    <t>AB020E2</t>
  </si>
  <si>
    <t>Sharon Waturi Ndirangu</t>
  </si>
  <si>
    <t>AB026UP</t>
  </si>
  <si>
    <t>Sharon Wathiri</t>
  </si>
  <si>
    <t>LG24757</t>
  </si>
  <si>
    <t>Sharon Nyamaera</t>
  </si>
  <si>
    <t>AB016L1</t>
  </si>
  <si>
    <t>Sharon Adhiambo</t>
  </si>
  <si>
    <t>LG23521</t>
  </si>
  <si>
    <t>Sharon  Mwanza</t>
  </si>
  <si>
    <t>LG25059</t>
  </si>
  <si>
    <t xml:space="preserve">Sharifa Mohamed Zito </t>
  </si>
  <si>
    <t>LG17159</t>
  </si>
  <si>
    <t>Shamilah Jepkoech Tomno</t>
  </si>
  <si>
    <t>LG23015</t>
  </si>
  <si>
    <t>Shallyne Jerotich Koech</t>
  </si>
  <si>
    <t>BB05531</t>
  </si>
  <si>
    <t>Shadrack Omboga Namba</t>
  </si>
  <si>
    <t>BB5531</t>
  </si>
  <si>
    <t xml:space="preserve">Shadrack Namba </t>
  </si>
  <si>
    <t>LG25454</t>
  </si>
  <si>
    <t>Shadrack Machungu Bunyige</t>
  </si>
  <si>
    <t>BB20588</t>
  </si>
  <si>
    <t>Shaban  Khamis</t>
  </si>
  <si>
    <t>AB024TP</t>
  </si>
  <si>
    <t>Seth Ndirangu</t>
  </si>
  <si>
    <t>AB019Z4</t>
  </si>
  <si>
    <t>Seth Mutiso</t>
  </si>
  <si>
    <t>AB0154U</t>
  </si>
  <si>
    <t xml:space="preserve">Seraphine Mutunga </t>
  </si>
  <si>
    <t>BB07959</t>
  </si>
  <si>
    <t>Serah Muthui</t>
  </si>
  <si>
    <t>LG22274</t>
  </si>
  <si>
    <t>Senitor  Birai</t>
  </si>
  <si>
    <t>MKL0587</t>
  </si>
  <si>
    <t>Sawoyo,Leonard Osinyu Ole Teleyio</t>
  </si>
  <si>
    <t>BB16525</t>
  </si>
  <si>
    <t>Saria Norman Dancun</t>
  </si>
  <si>
    <t>Sarah Wanjiku Wanjohi</t>
  </si>
  <si>
    <t>BB25186</t>
  </si>
  <si>
    <t>Sarah Njuki</t>
  </si>
  <si>
    <t>BB19546</t>
  </si>
  <si>
    <t>Sarah Ndaisi Kimeu</t>
  </si>
  <si>
    <t>LG24398</t>
  </si>
  <si>
    <t>Sarah Aluoch Ochola</t>
  </si>
  <si>
    <t>LG21884</t>
  </si>
  <si>
    <t>Sarah  Kanjigi</t>
  </si>
  <si>
    <t>LG18052</t>
  </si>
  <si>
    <t>Sarah  Chebet</t>
  </si>
  <si>
    <t>BB06114</t>
  </si>
  <si>
    <t>Sandra Wanza Mbuli</t>
  </si>
  <si>
    <t>MKL0633</t>
  </si>
  <si>
    <t>Samwel, Lucy Kathure</t>
  </si>
  <si>
    <t>LG23334</t>
  </si>
  <si>
    <t>Samuel Wango Githura</t>
  </si>
  <si>
    <t>LG23242</t>
  </si>
  <si>
    <t>AB025OV</t>
  </si>
  <si>
    <t>Samuel Mwendwa Maingi</t>
  </si>
  <si>
    <t>ABSMBJA</t>
  </si>
  <si>
    <t>Samuel Munyiri</t>
  </si>
  <si>
    <t>LG24325</t>
  </si>
  <si>
    <t>Samuel Kimondiu Kitavi</t>
  </si>
  <si>
    <t>5184</t>
  </si>
  <si>
    <t>Samuel Hope Mwanga</t>
  </si>
  <si>
    <t>AB02058</t>
  </si>
  <si>
    <t>Samuel Gitau</t>
  </si>
  <si>
    <t>AB0228W</t>
  </si>
  <si>
    <t>Samson Safari Gohu</t>
  </si>
  <si>
    <t>BB09421</t>
  </si>
  <si>
    <t>Samson Ogaro Ongeri</t>
  </si>
  <si>
    <t>BB17518</t>
  </si>
  <si>
    <t>Samson Mwathi</t>
  </si>
  <si>
    <t>AB01726</t>
  </si>
  <si>
    <t>Sammy Ambesha</t>
  </si>
  <si>
    <t>LG24923</t>
  </si>
  <si>
    <t>Safia Abdullahi Dubat</t>
  </si>
  <si>
    <t>LG14798</t>
  </si>
  <si>
    <t>Sabina Achieng Kunga</t>
  </si>
  <si>
    <t>LG19316</t>
  </si>
  <si>
    <t>Ruth Wanja Maina</t>
  </si>
  <si>
    <t>LG17571</t>
  </si>
  <si>
    <t>Ruth Wambani Kimunguyi</t>
  </si>
  <si>
    <t>LG23332</t>
  </si>
  <si>
    <t>Ruth Nduta Wanjohi</t>
  </si>
  <si>
    <t>AB023AO</t>
  </si>
  <si>
    <t>Ruth Nderitu</t>
  </si>
  <si>
    <t>LG24397</t>
  </si>
  <si>
    <t>Ruth Muthoni Ngeru</t>
  </si>
  <si>
    <t>LG15382</t>
  </si>
  <si>
    <t>Ruth Mutheu Mulua</t>
  </si>
  <si>
    <t>AB019QY</t>
  </si>
  <si>
    <t>Ruth Kihumbi</t>
  </si>
  <si>
    <t>BB14971</t>
  </si>
  <si>
    <t>Ruth Chirchir</t>
  </si>
  <si>
    <t>AB0263E</t>
  </si>
  <si>
    <t>Ruth Ajowi</t>
  </si>
  <si>
    <t>LG15770</t>
  </si>
  <si>
    <t>Rosemary Wanjeri Karwe</t>
  </si>
  <si>
    <t>LG25090</t>
  </si>
  <si>
    <t>Rosemary Adongo Arrogo</t>
  </si>
  <si>
    <t>BB06293</t>
  </si>
  <si>
    <t>Roselyne Aseyo Agade</t>
  </si>
  <si>
    <t>LG23432</t>
  </si>
  <si>
    <t>Roselyne  Mwangi</t>
  </si>
  <si>
    <t>BM04787</t>
  </si>
  <si>
    <t>LG06411</t>
  </si>
  <si>
    <t>Roseline Anyango Othigo</t>
  </si>
  <si>
    <t>LG09524</t>
  </si>
  <si>
    <t>Rose Wanyonyi</t>
  </si>
  <si>
    <t>AB025OO</t>
  </si>
  <si>
    <t>Rose Wangui Gakobo</t>
  </si>
  <si>
    <t>Rose Mwikali Wanyonyi</t>
  </si>
  <si>
    <t>AB0297W</t>
  </si>
  <si>
    <t>Rose Muthee</t>
  </si>
  <si>
    <t>LG20186</t>
  </si>
  <si>
    <t>Rose Mumbi Muinde</t>
  </si>
  <si>
    <t>BB22553</t>
  </si>
  <si>
    <t>Rose Mogotu Osano</t>
  </si>
  <si>
    <t>Rose Mbatha Nzeki</t>
  </si>
  <si>
    <t>MKL0602</t>
  </si>
  <si>
    <t>Rono, Eric Kibet</t>
  </si>
  <si>
    <t>LETSHEGO-COMMUNITY</t>
  </si>
  <si>
    <t>LG21111</t>
  </si>
  <si>
    <t>Ronald JEREMIAH Nabwera</t>
  </si>
  <si>
    <t>ABRO159</t>
  </si>
  <si>
    <t>Rogers Tony  Odhiambo otieno</t>
  </si>
  <si>
    <t>LG24587</t>
  </si>
  <si>
    <t>Rodgers Otieno</t>
  </si>
  <si>
    <t>AB017VF</t>
  </si>
  <si>
    <t>Rodah Mutie</t>
  </si>
  <si>
    <t>LG24646</t>
  </si>
  <si>
    <t>Robly Kiptoo Cheruiyot</t>
  </si>
  <si>
    <t>AB011NZ</t>
  </si>
  <si>
    <t>Robinson Mutahi</t>
  </si>
  <si>
    <t>LG18064</t>
  </si>
  <si>
    <t>Robinson Kiprop Kirwa</t>
  </si>
  <si>
    <t>BB11890</t>
  </si>
  <si>
    <t>Robina N Onyinkwa</t>
  </si>
  <si>
    <t>AB019HX</t>
  </si>
  <si>
    <t>Robert Simiyu Makokha</t>
  </si>
  <si>
    <t>LG20210</t>
  </si>
  <si>
    <t>Robert Macharia Ndungu</t>
  </si>
  <si>
    <t>LG19283</t>
  </si>
  <si>
    <t>Robert  Amuravu</t>
  </si>
  <si>
    <t>LG18588</t>
  </si>
  <si>
    <t>Rita  Njeri</t>
  </si>
  <si>
    <t>BB25128</t>
  </si>
  <si>
    <t xml:space="preserve">Rishit Chudasama </t>
  </si>
  <si>
    <t>LG25606</t>
  </si>
  <si>
    <t xml:space="preserve">Rhoda Wekesa </t>
  </si>
  <si>
    <t>LG21683</t>
  </si>
  <si>
    <t>Reuben Warui Ngugi</t>
  </si>
  <si>
    <t>BB06577</t>
  </si>
  <si>
    <t>Reuben Langat</t>
  </si>
  <si>
    <t>AB026P5</t>
  </si>
  <si>
    <t>Reuben Kuria Kimani</t>
  </si>
  <si>
    <t>LG24528</t>
  </si>
  <si>
    <t>Rehema Wanjala</t>
  </si>
  <si>
    <t>AB024OX</t>
  </si>
  <si>
    <t>Reagan Odhiambo</t>
  </si>
  <si>
    <t>LG24578</t>
  </si>
  <si>
    <t>Rawlings Okwaro Muyela</t>
  </si>
  <si>
    <t>LG21819</t>
  </si>
  <si>
    <t>Rashid  Hussein</t>
  </si>
  <si>
    <t>LG18853</t>
  </si>
  <si>
    <t>Raphael Ronald Nyagwencha Mose</t>
  </si>
  <si>
    <t>LG24863</t>
  </si>
  <si>
    <t xml:space="preserve">Ramla Abdirashid Mohamed </t>
  </si>
  <si>
    <t>AB026BW</t>
  </si>
  <si>
    <t>Rahab Kimani</t>
  </si>
  <si>
    <t>AB0202S</t>
  </si>
  <si>
    <t>ABRMAEU</t>
  </si>
  <si>
    <t>Rahab Gathoni</t>
  </si>
  <si>
    <t>LG23305</t>
  </si>
  <si>
    <t>Rael  Jepchumba</t>
  </si>
  <si>
    <t>ABRJ270</t>
  </si>
  <si>
    <t>LG25087</t>
  </si>
  <si>
    <t xml:space="preserve">Rachel Wanjiru Nduati </t>
  </si>
  <si>
    <t>AB020JF</t>
  </si>
  <si>
    <t>Rachel Seba Kibusio</t>
  </si>
  <si>
    <t>LG15269</t>
  </si>
  <si>
    <t>LG24257</t>
  </si>
  <si>
    <t xml:space="preserve">Rachael Wanjiru Njeri </t>
  </si>
  <si>
    <t>AB019QX</t>
  </si>
  <si>
    <t>Rachael Nduulu</t>
  </si>
  <si>
    <t>BB04628</t>
  </si>
  <si>
    <t>Rachael Kibii Tarus</t>
  </si>
  <si>
    <t>LG22373</t>
  </si>
  <si>
    <t>Rachael  Muthama</t>
  </si>
  <si>
    <t>BB05613</t>
  </si>
  <si>
    <t>Purity Wanjiru Mwangi</t>
  </si>
  <si>
    <t>BB13476</t>
  </si>
  <si>
    <t>Purity Wamuyu Kiama</t>
  </si>
  <si>
    <t>AB017WH</t>
  </si>
  <si>
    <t>Purity Nkrote Muthomi</t>
  </si>
  <si>
    <t>BB14763</t>
  </si>
  <si>
    <t>Purity Nkirote Muthuri</t>
  </si>
  <si>
    <t>AB019MI</t>
  </si>
  <si>
    <t>Purity Musili</t>
  </si>
  <si>
    <t>AB017WO</t>
  </si>
  <si>
    <t>Prudence Mwendwa</t>
  </si>
  <si>
    <t>AB018G7</t>
  </si>
  <si>
    <t>Priscilla Kimiri</t>
  </si>
  <si>
    <t>LG20818</t>
  </si>
  <si>
    <t>Prisca WAIRIMU Nyokabi</t>
  </si>
  <si>
    <t>LG20495</t>
  </si>
  <si>
    <t>Prisca Tamala Imbiaka</t>
  </si>
  <si>
    <t>LG11904</t>
  </si>
  <si>
    <t>Praxedis Khayechia Mutsami</t>
  </si>
  <si>
    <t>Phyllis Moraa Moseti</t>
  </si>
  <si>
    <t>LG24595</t>
  </si>
  <si>
    <t>Phoebe Karimi Gitonga</t>
  </si>
  <si>
    <t>LG12163</t>
  </si>
  <si>
    <t>Philip Otieno Ochieng</t>
  </si>
  <si>
    <t>AB023JB</t>
  </si>
  <si>
    <t>Philip Mbokomu</t>
  </si>
  <si>
    <t>AB020Z3</t>
  </si>
  <si>
    <t>Philip Koech</t>
  </si>
  <si>
    <t>LG22322</t>
  </si>
  <si>
    <t>Phenny  Ouma</t>
  </si>
  <si>
    <t>LG25046</t>
  </si>
  <si>
    <t xml:space="preserve">Petronila Awuor Opondo </t>
  </si>
  <si>
    <t>LG18228</t>
  </si>
  <si>
    <t>Petronila Abakalwa Atila</t>
  </si>
  <si>
    <t>MKL0547</t>
  </si>
  <si>
    <t>Peter, Jackson Muthoka</t>
  </si>
  <si>
    <t>LG15297</t>
  </si>
  <si>
    <t>Peter Thuo Karemi</t>
  </si>
  <si>
    <t>LG06696</t>
  </si>
  <si>
    <t xml:space="preserve">Peter Ochieng </t>
  </si>
  <si>
    <t>ABPMAMV</t>
  </si>
  <si>
    <t>Peter Ngui Musee</t>
  </si>
  <si>
    <t>LG25235</t>
  </si>
  <si>
    <t xml:space="preserve">Peter Mwololo Kimolo </t>
  </si>
  <si>
    <t>LG24529</t>
  </si>
  <si>
    <t>Peter Mwaura Kiarie</t>
  </si>
  <si>
    <t>AB0203S</t>
  </si>
  <si>
    <t>Peter Mburu Muniu</t>
  </si>
  <si>
    <t>Peter Mburu</t>
  </si>
  <si>
    <t>LG13009</t>
  </si>
  <si>
    <t>Peter Maina Kariuki</t>
  </si>
  <si>
    <t>AB019HN</t>
  </si>
  <si>
    <t>Peter Kwena</t>
  </si>
  <si>
    <t>LG17700</t>
  </si>
  <si>
    <t>Peter Kiogora Muthuri</t>
  </si>
  <si>
    <t>LG18499</t>
  </si>
  <si>
    <t>Peter Karenya Njeri</t>
  </si>
  <si>
    <t>LG18449</t>
  </si>
  <si>
    <t>Peter Karenge Njeri</t>
  </si>
  <si>
    <t>BB15502</t>
  </si>
  <si>
    <t>Peter Karanja Wangai</t>
  </si>
  <si>
    <t>LG23423</t>
  </si>
  <si>
    <t>Peter Kago Mburu</t>
  </si>
  <si>
    <t>BB06200</t>
  </si>
  <si>
    <t>Peter Endoveliah Bosse</t>
  </si>
  <si>
    <t>AB0250W</t>
  </si>
  <si>
    <t>Perpetua Wambui Mwangi</t>
  </si>
  <si>
    <t>AB025OW</t>
  </si>
  <si>
    <t>LG17213</t>
  </si>
  <si>
    <t>Peris Waitherero Muriuki</t>
  </si>
  <si>
    <t>LG19843</t>
  </si>
  <si>
    <t>Peris Wairimu Muhia</t>
  </si>
  <si>
    <t>LG23294</t>
  </si>
  <si>
    <t>Peris Simbe Anusu</t>
  </si>
  <si>
    <t>BB17213</t>
  </si>
  <si>
    <t>Peris Muriuki</t>
  </si>
  <si>
    <t>AB021N4</t>
  </si>
  <si>
    <t>Penninah Chege</t>
  </si>
  <si>
    <t>BB19812</t>
  </si>
  <si>
    <t>Penninah Auma Pamba</t>
  </si>
  <si>
    <t>LG16802</t>
  </si>
  <si>
    <t xml:space="preserve">Peninah Wanjiru Kamau </t>
  </si>
  <si>
    <t>LG24249</t>
  </si>
  <si>
    <t>Peninah Murimi</t>
  </si>
  <si>
    <t>AB019QW</t>
  </si>
  <si>
    <t>Peninah Mbithi</t>
  </si>
  <si>
    <t>LG24296</t>
  </si>
  <si>
    <t>Peninah Gathigia Murimi</t>
  </si>
  <si>
    <t>AB020NA</t>
  </si>
  <si>
    <t>Pauline Wamugunda</t>
  </si>
  <si>
    <t>AB027C0</t>
  </si>
  <si>
    <t>Pauline Wairimu</t>
  </si>
  <si>
    <t>AB027CO</t>
  </si>
  <si>
    <t>Pauline Ngina</t>
  </si>
  <si>
    <t>LG23297</t>
  </si>
  <si>
    <t>AB02979</t>
  </si>
  <si>
    <t>Pauline Maina</t>
  </si>
  <si>
    <t>LG19907</t>
  </si>
  <si>
    <t>Pauline kerubo Nyabuga</t>
  </si>
  <si>
    <t>LG20100</t>
  </si>
  <si>
    <t>Pauline Kanini Muvya</t>
  </si>
  <si>
    <t>AB019IF</t>
  </si>
  <si>
    <t>Paul Orwa</t>
  </si>
  <si>
    <t>BB9546</t>
  </si>
  <si>
    <t>Paul Ogutu</t>
  </si>
  <si>
    <t>LG13001</t>
  </si>
  <si>
    <t>Paul Oduma Oduge</t>
  </si>
  <si>
    <t>LG24584</t>
  </si>
  <si>
    <t>Paul Odhiambo Oketch</t>
  </si>
  <si>
    <t>LG23128</t>
  </si>
  <si>
    <t>Paul Mbugua Thini</t>
  </si>
  <si>
    <t>BB05849</t>
  </si>
  <si>
    <t>Paul Mabeya Nyamari</t>
  </si>
  <si>
    <t>LG22099</t>
  </si>
  <si>
    <t>Paul Kioko Kioko</t>
  </si>
  <si>
    <t>LG12361</t>
  </si>
  <si>
    <t>Paul Karanja Kamuhu</t>
  </si>
  <si>
    <t>AB019RC</t>
  </si>
  <si>
    <t>Paul Kamuta</t>
  </si>
  <si>
    <t>LG24417</t>
  </si>
  <si>
    <t>Paul Gikonyo Kagwima</t>
  </si>
  <si>
    <t>LG19491</t>
  </si>
  <si>
    <t>Paul Gichangi Gachoki</t>
  </si>
  <si>
    <t>LG24850</t>
  </si>
  <si>
    <t>PAUL GACHOKI KAGIRI</t>
  </si>
  <si>
    <t>AB027I4</t>
  </si>
  <si>
    <t>Paul Endeki </t>
  </si>
  <si>
    <t>AB025PL</t>
  </si>
  <si>
    <t>Paul Adagi</t>
  </si>
  <si>
    <t>LG15609</t>
  </si>
  <si>
    <t>Paul  Odhiambo</t>
  </si>
  <si>
    <t>LG25058</t>
  </si>
  <si>
    <t xml:space="preserve">Patrick Sikuku Andera </t>
  </si>
  <si>
    <t>LG16726</t>
  </si>
  <si>
    <t>Patrick Mwololo Peter</t>
  </si>
  <si>
    <t>LG24608</t>
  </si>
  <si>
    <t>Patrick Mutunga Mutia</t>
  </si>
  <si>
    <t>LG24886</t>
  </si>
  <si>
    <t xml:space="preserve">Patrick Musyoki David </t>
  </si>
  <si>
    <t>AB020E0</t>
  </si>
  <si>
    <t>Patrick Malombe</t>
  </si>
  <si>
    <t>AB019NY</t>
  </si>
  <si>
    <t>Patrick Githire Wanja</t>
  </si>
  <si>
    <t>BB07673</t>
  </si>
  <si>
    <t>Patrick Gathecha Karanja</t>
  </si>
  <si>
    <t>HISA0009</t>
  </si>
  <si>
    <t>PATRICIA MWANZIA</t>
  </si>
  <si>
    <t>LETSHEGO-DONHOLM</t>
  </si>
  <si>
    <t>AB019IE</t>
  </si>
  <si>
    <t>Patricia Mongina Manyinsa</t>
  </si>
  <si>
    <t>BM03589</t>
  </si>
  <si>
    <t>Patricia Mburu</t>
  </si>
  <si>
    <t>Patricia Manyinsa</t>
  </si>
  <si>
    <t>BB07121</t>
  </si>
  <si>
    <t>Pamela Akoth Otumba</t>
  </si>
  <si>
    <t>LG23426</t>
  </si>
  <si>
    <t>Owuor Domnic Ojing</t>
  </si>
  <si>
    <t>LG25030</t>
  </si>
  <si>
    <t xml:space="preserve">Otieno Odhiambo Julius </t>
  </si>
  <si>
    <t>LG25096</t>
  </si>
  <si>
    <t>Otieno David Owuor</t>
  </si>
  <si>
    <t>AB023B9</t>
  </si>
  <si>
    <t>Oscar Owino</t>
  </si>
  <si>
    <t>LG24324</t>
  </si>
  <si>
    <t>Osborn Mwendwa Maleka</t>
  </si>
  <si>
    <t>LG15773</t>
  </si>
  <si>
    <t>Osborn Moindi Nyaribo</t>
  </si>
  <si>
    <t>BB18454</t>
  </si>
  <si>
    <t>Ooko John Evance</t>
  </si>
  <si>
    <t>LG24340</t>
  </si>
  <si>
    <t xml:space="preserve">Onyango Geoffrey </t>
  </si>
  <si>
    <t>AB011FS</t>
  </si>
  <si>
    <t>Hillary Owiti</t>
  </si>
  <si>
    <t>LG19347</t>
  </si>
  <si>
    <t>Omariba Nyariba Caleb</t>
  </si>
  <si>
    <t>BB09438</t>
  </si>
  <si>
    <t>Omar Katambo</t>
  </si>
  <si>
    <t>ABM02N6</t>
  </si>
  <si>
    <t>Omalla Molly</t>
  </si>
  <si>
    <t>LG22858</t>
  </si>
  <si>
    <t>Oliver Kipruto Kimitei</t>
  </si>
  <si>
    <t>LG21629</t>
  </si>
  <si>
    <t>Ogweno Samuel Odhiambo</t>
  </si>
  <si>
    <t>AB011H9</t>
  </si>
  <si>
    <t>Ogada Victor Odhiambo</t>
  </si>
  <si>
    <t>AB01911</t>
  </si>
  <si>
    <t>Odhiambo Daisy Odhiambo</t>
  </si>
  <si>
    <t>AB019PC</t>
  </si>
  <si>
    <t>Norah Terah</t>
  </si>
  <si>
    <t>LG25062</t>
  </si>
  <si>
    <t xml:space="preserve">Noline Akinyi Nyakure </t>
  </si>
  <si>
    <t>ABNC339</t>
  </si>
  <si>
    <t>Noella Cheboi</t>
  </si>
  <si>
    <t>AB022TH</t>
  </si>
  <si>
    <t>Nobert Wandera</t>
  </si>
  <si>
    <t>MKL0485</t>
  </si>
  <si>
    <t>Njeru, Fredrick Mwangi</t>
  </si>
  <si>
    <t>ABNR362</t>
  </si>
  <si>
    <t>LETSHEGO-KISUMU</t>
  </si>
  <si>
    <t>LG19784</t>
  </si>
  <si>
    <t>Nictor Efeza Kabwoya</t>
  </si>
  <si>
    <t>AB018GH</t>
  </si>
  <si>
    <t>Nicodemus Soma</t>
  </si>
  <si>
    <t>AB019HC</t>
  </si>
  <si>
    <t>Nick Osumba</t>
  </si>
  <si>
    <t>G04514399</t>
  </si>
  <si>
    <t>Nicholas Wangari Karanja</t>
  </si>
  <si>
    <t>AB03108</t>
  </si>
  <si>
    <t>Nicholas Wangari</t>
  </si>
  <si>
    <t>Direct-Nicholas</t>
  </si>
  <si>
    <t>LG21591</t>
  </si>
  <si>
    <t>Nicholas Tinga Joseph</t>
  </si>
  <si>
    <t>LG24527</t>
  </si>
  <si>
    <t>Nicholas Okonyo</t>
  </si>
  <si>
    <t>LG10762</t>
  </si>
  <si>
    <t>Nicholas Mutua Musau</t>
  </si>
  <si>
    <t>AB019GI</t>
  </si>
  <si>
    <t>Nicholas Muema</t>
  </si>
  <si>
    <t>LG06290</t>
  </si>
  <si>
    <t>Nicholas John Senge Nicholas</t>
  </si>
  <si>
    <t>LG24312</t>
  </si>
  <si>
    <t>Ngetich Laineki Brian</t>
  </si>
  <si>
    <t>LG24596</t>
  </si>
  <si>
    <t>Nelson Amoni Onyach</t>
  </si>
  <si>
    <t>AB019KA</t>
  </si>
  <si>
    <t>Nelly Machiuka</t>
  </si>
  <si>
    <t>LG21607</t>
  </si>
  <si>
    <t>Neema Atieno Opere</t>
  </si>
  <si>
    <t>MKL0305</t>
  </si>
  <si>
    <t>Nderitu, Grace Njeri</t>
  </si>
  <si>
    <t>LETSHEGO-RONGAI</t>
  </si>
  <si>
    <t>9300</t>
  </si>
  <si>
    <t>Naomi Wangui Nganga</t>
  </si>
  <si>
    <t>LG24914</t>
  </si>
  <si>
    <t xml:space="preserve">Naomi Mutheu Nguli </t>
  </si>
  <si>
    <t>AB020B6</t>
  </si>
  <si>
    <t>Nanyanga Auma</t>
  </si>
  <si>
    <t>AB018ET</t>
  </si>
  <si>
    <t>Nancy Wangui Wanjiru</t>
  </si>
  <si>
    <t>BB12353</t>
  </si>
  <si>
    <t xml:space="preserve">Nancy Wambui </t>
  </si>
  <si>
    <t>LG18861</t>
  </si>
  <si>
    <t>Nancy Waithera Mugwe</t>
  </si>
  <si>
    <t>AB011JS</t>
  </si>
  <si>
    <t>Nancy Muteru</t>
  </si>
  <si>
    <t>LG19116</t>
  </si>
  <si>
    <t>Nancy Lizzy Omusula</t>
  </si>
  <si>
    <t>LG12997</t>
  </si>
  <si>
    <t>Nancy Koki Mulobi</t>
  </si>
  <si>
    <t>BB14510</t>
  </si>
  <si>
    <t xml:space="preserve">Nancy Kaburu </t>
  </si>
  <si>
    <t>LG24419</t>
  </si>
  <si>
    <t>Nancy Jepchumba Kibiwott</t>
  </si>
  <si>
    <t>LG15537</t>
  </si>
  <si>
    <t>Nancy Chepkoech Ronoh</t>
  </si>
  <si>
    <t>LG20331</t>
  </si>
  <si>
    <t>Nancy  Njeru</t>
  </si>
  <si>
    <t>LG23321</t>
  </si>
  <si>
    <t>Nancy  Jelangat</t>
  </si>
  <si>
    <t>BB06684</t>
  </si>
  <si>
    <t>Naftal Kasenge</t>
  </si>
  <si>
    <t>AB0171S</t>
  </si>
  <si>
    <t>Mwende Musyimi</t>
  </si>
  <si>
    <t>AB011JL</t>
  </si>
  <si>
    <t>Mwangi Nancy Wanjira</t>
  </si>
  <si>
    <t>MKL0193</t>
  </si>
  <si>
    <t>Mwande, Mweke Vincent</t>
  </si>
  <si>
    <t>LETSHEGO-KITENGELA</t>
  </si>
  <si>
    <t>LG15171</t>
  </si>
  <si>
    <t>Mwanaisha Said Changoma</t>
  </si>
  <si>
    <t>LG15774</t>
  </si>
  <si>
    <t>Mwanaisha Jepchumba Bakari</t>
  </si>
  <si>
    <t>BB15171</t>
  </si>
  <si>
    <t>Mwanaisha Changoma</t>
  </si>
  <si>
    <t>AB029TE</t>
  </si>
  <si>
    <t>Mwanaidi Mwandugu</t>
  </si>
  <si>
    <t>BB17202</t>
  </si>
  <si>
    <t>Mutwiwa Mutunga Harrison</t>
  </si>
  <si>
    <t>MKL0635</t>
  </si>
  <si>
    <t>Mutuku, Emmanuel Kisela</t>
  </si>
  <si>
    <t>AB0173A</t>
  </si>
  <si>
    <t>Mutai Ngeno</t>
  </si>
  <si>
    <t>AB019VL</t>
  </si>
  <si>
    <t>Musyoki Kithuka</t>
  </si>
  <si>
    <t>LG17619</t>
  </si>
  <si>
    <t>Musa  Areman</t>
  </si>
  <si>
    <t>LG19888</t>
  </si>
  <si>
    <t>Murithi Karugi Mutegi</t>
  </si>
  <si>
    <t>AB011K6</t>
  </si>
  <si>
    <t xml:space="preserve">Munga Pauline </t>
  </si>
  <si>
    <t>LG19684</t>
  </si>
  <si>
    <t>Mundati Winnie</t>
  </si>
  <si>
    <t>BB19051</t>
  </si>
  <si>
    <t>Mukami Njuguna</t>
  </si>
  <si>
    <t>LG19051</t>
  </si>
  <si>
    <t>Mukami Lucy Njuguna</t>
  </si>
  <si>
    <t>LG24241</t>
  </si>
  <si>
    <t>Mourice Paul Adhiambo Raryaeh</t>
  </si>
  <si>
    <t>LG24314</t>
  </si>
  <si>
    <t>Moureen Ogola</t>
  </si>
  <si>
    <t>LG23282</t>
  </si>
  <si>
    <t>Moses Njoroge Ndungu</t>
  </si>
  <si>
    <t>LG21099</t>
  </si>
  <si>
    <t>Moses MUREITHI Wachira</t>
  </si>
  <si>
    <t>AB019R2</t>
  </si>
  <si>
    <t>Moses Kipkurui</t>
  </si>
  <si>
    <t>BB11955</t>
  </si>
  <si>
    <t>Moses Chepchieng</t>
  </si>
  <si>
    <t>AB025PG</t>
  </si>
  <si>
    <t>BB21244</t>
  </si>
  <si>
    <t>Moses  Mwaura</t>
  </si>
  <si>
    <t>LG7630</t>
  </si>
  <si>
    <t>Morris Mutwiri</t>
  </si>
  <si>
    <t>AB016KU</t>
  </si>
  <si>
    <t>Monicah Mwangi</t>
  </si>
  <si>
    <t>BB09640</t>
  </si>
  <si>
    <t>Monica Wairimu Kariuki</t>
  </si>
  <si>
    <t>BB21016</t>
  </si>
  <si>
    <t>Monica Maiyo</t>
  </si>
  <si>
    <t>ABMO276</t>
  </si>
  <si>
    <t>Molly Omala</t>
  </si>
  <si>
    <t>BB16968</t>
  </si>
  <si>
    <t>Mohamed Ibrahim Maalimu</t>
  </si>
  <si>
    <t>LG24891</t>
  </si>
  <si>
    <t xml:space="preserve">Mohamed Ahmed Abdullahi </t>
  </si>
  <si>
    <t>BB18046</t>
  </si>
  <si>
    <t>Moffat Mabula Nzingu</t>
  </si>
  <si>
    <t>LG25093</t>
  </si>
  <si>
    <t>Moenga Henry Gwaro</t>
  </si>
  <si>
    <t>AB011JK</t>
  </si>
  <si>
    <t>Mobegi Job</t>
  </si>
  <si>
    <t>AB011NI</t>
  </si>
  <si>
    <t>Mithika Mercy Kawira</t>
  </si>
  <si>
    <t>AB019W4</t>
  </si>
  <si>
    <t>Mitchell Kae</t>
  </si>
  <si>
    <t>BB14969</t>
  </si>
  <si>
    <t>Mirriam Ndindi Mutuku</t>
  </si>
  <si>
    <t>BB09542</t>
  </si>
  <si>
    <t>Miriam Wanjiru Sironik</t>
  </si>
  <si>
    <t>LG18635</t>
  </si>
  <si>
    <t xml:space="preserve">Miriam Ngugi </t>
  </si>
  <si>
    <t>LG25171</t>
  </si>
  <si>
    <t>Miriam Nasimiyu</t>
  </si>
  <si>
    <t>AB0271Y</t>
  </si>
  <si>
    <t>Miriam Muthina Mutisya</t>
  </si>
  <si>
    <t>LG19089</t>
  </si>
  <si>
    <t>Miriam Mueni Mutungi</t>
  </si>
  <si>
    <t>LG23376</t>
  </si>
  <si>
    <t>Miriam Moraa Orina</t>
  </si>
  <si>
    <t>LG25240</t>
  </si>
  <si>
    <t>Millicent Nyambutu Karua</t>
  </si>
  <si>
    <t>BB3787</t>
  </si>
  <si>
    <t xml:space="preserve">Millicent Chege </t>
  </si>
  <si>
    <t>LG21090</t>
  </si>
  <si>
    <t>Millicent ANYANGO Ogwayo</t>
  </si>
  <si>
    <t>LG18649</t>
  </si>
  <si>
    <t>Millicent Achieng Okeyo</t>
  </si>
  <si>
    <t xml:space="preserve">Mildred Otieno </t>
  </si>
  <si>
    <t>LG18176</t>
  </si>
  <si>
    <t>Mildred Leah Otieno</t>
  </si>
  <si>
    <t>BB06461</t>
  </si>
  <si>
    <t>Mildred Bitengo Omwebu</t>
  </si>
  <si>
    <t>LG18298</t>
  </si>
  <si>
    <t>Milcah Wairimu Kimotho</t>
  </si>
  <si>
    <t>LG25055</t>
  </si>
  <si>
    <t xml:space="preserve">Milcah Nyambura Kimani </t>
  </si>
  <si>
    <t>LG23328</t>
  </si>
  <si>
    <t>Milcah Mueni Ngolo</t>
  </si>
  <si>
    <t>AB024L8</t>
  </si>
  <si>
    <t>Michael Nyonje</t>
  </si>
  <si>
    <t>BB09242</t>
  </si>
  <si>
    <t>Michael Ndonj</t>
  </si>
  <si>
    <t>AB0289A</t>
  </si>
  <si>
    <t>Michael Mureithi</t>
  </si>
  <si>
    <t>LG24399</t>
  </si>
  <si>
    <t>Michael Mulinge Nzyoki</t>
  </si>
  <si>
    <t>BB17066</t>
  </si>
  <si>
    <t>Michael Makau Mutua</t>
  </si>
  <si>
    <t>LG20320</t>
  </si>
  <si>
    <t>Michael Kariuki Kuria</t>
  </si>
  <si>
    <t>ABMKA2A</t>
  </si>
  <si>
    <t>Michael Kamulu</t>
  </si>
  <si>
    <t>BB11787</t>
  </si>
  <si>
    <t>Mguya Kevin</t>
  </si>
  <si>
    <t>LG15794</t>
  </si>
  <si>
    <t>Meshack Otieno Ogenga</t>
  </si>
  <si>
    <t>AB0210I</t>
  </si>
  <si>
    <t>Meshack Keliaro</t>
  </si>
  <si>
    <t>AB018DR</t>
  </si>
  <si>
    <t>Meshack Ademba Martin</t>
  </si>
  <si>
    <t>LG13507</t>
  </si>
  <si>
    <t>Meroline Anyango Abade</t>
  </si>
  <si>
    <t>LG25265</t>
  </si>
  <si>
    <t>Mercyline Otundo</t>
  </si>
  <si>
    <t>ABMO333</t>
  </si>
  <si>
    <t>AB025OY</t>
  </si>
  <si>
    <t>Mercy Wambui Mburu</t>
  </si>
  <si>
    <t>LG25229</t>
  </si>
  <si>
    <t>Mercy Vivian Oyando</t>
  </si>
  <si>
    <t>AB017W5</t>
  </si>
  <si>
    <t>Mercy Uvyu</t>
  </si>
  <si>
    <t>LG25299</t>
  </si>
  <si>
    <t xml:space="preserve">Mercy Oyando </t>
  </si>
  <si>
    <t>BB06679</t>
  </si>
  <si>
    <t>Mercy Nzisa Muteti</t>
  </si>
  <si>
    <t>BB07928</t>
  </si>
  <si>
    <t>Mercy Nyang'Endo Gachomba</t>
  </si>
  <si>
    <t>11828</t>
  </si>
  <si>
    <t>Mercy Njalale</t>
  </si>
  <si>
    <t>BB11854</t>
  </si>
  <si>
    <t>Mercy Mutheu Mutuku</t>
  </si>
  <si>
    <t>LG24546</t>
  </si>
  <si>
    <t xml:space="preserve">Mercy Mutheu Jacinta </t>
  </si>
  <si>
    <t>LG21604</t>
  </si>
  <si>
    <t>Mercy Mumbe Munyoki</t>
  </si>
  <si>
    <t>AB026TF</t>
  </si>
  <si>
    <t>Mercy Makokha</t>
  </si>
  <si>
    <t>11824</t>
  </si>
  <si>
    <t>Mercy Kithinji</t>
  </si>
  <si>
    <t>AB011NT</t>
  </si>
  <si>
    <t xml:space="preserve">Mercy Kawira </t>
  </si>
  <si>
    <t>ABMC776</t>
  </si>
  <si>
    <t>Mercy Cherotich</t>
  </si>
  <si>
    <t>LG19662</t>
  </si>
  <si>
    <t>Mercy Atieno Omondi Ondu</t>
  </si>
  <si>
    <t>LG23049</t>
  </si>
  <si>
    <t>Mercy Akinyi Ooko</t>
  </si>
  <si>
    <t>AB02638</t>
  </si>
  <si>
    <t>Mercy Aida Kirui</t>
  </si>
  <si>
    <t>ABMO328</t>
  </si>
  <si>
    <t>Mercy Adongo Ong'anda</t>
  </si>
  <si>
    <t>LG21421</t>
  </si>
  <si>
    <t>Mercy  Mwenesi</t>
  </si>
  <si>
    <t>AB011JQ</t>
  </si>
  <si>
    <t>Mengesa John</t>
  </si>
  <si>
    <t>LG22374</t>
  </si>
  <si>
    <t>Melvin bradley omondi</t>
  </si>
  <si>
    <t>LG23019</t>
  </si>
  <si>
    <t>Melody Magoama Kibegwa</t>
  </si>
  <si>
    <t>LG23494</t>
  </si>
  <si>
    <t>Melodine Ntinyari Kinyua</t>
  </si>
  <si>
    <t>AB023Y6</t>
  </si>
  <si>
    <t>Mbinya Musyoka Tabitha</t>
  </si>
  <si>
    <t>AB019GK</t>
  </si>
  <si>
    <t>Mbaki King'oo</t>
  </si>
  <si>
    <t>LG25051</t>
  </si>
  <si>
    <t>MAXWELL NGUGI MBAU</t>
  </si>
  <si>
    <t>LG24038</t>
  </si>
  <si>
    <t>Maxwel Ojwang Odhiambo</t>
  </si>
  <si>
    <t>AB025D5</t>
  </si>
  <si>
    <t>Maurine Owino</t>
  </si>
  <si>
    <t>LG22546</t>
  </si>
  <si>
    <t>Maurine Akoth Opiyo</t>
  </si>
  <si>
    <t>LG16610</t>
  </si>
  <si>
    <t>Maureene Atieno Musolo</t>
  </si>
  <si>
    <t>LG19342</t>
  </si>
  <si>
    <t>Maureen Wanjiru Muchiri</t>
  </si>
  <si>
    <t>13095</t>
  </si>
  <si>
    <t>Maureen Paiti Lolgisoi</t>
  </si>
  <si>
    <t>AB023DQ</t>
  </si>
  <si>
    <t>Maureen Nkirote Gatobu</t>
  </si>
  <si>
    <t>BB19342</t>
  </si>
  <si>
    <t>Maureen Muchiri</t>
  </si>
  <si>
    <t>LG19469</t>
  </si>
  <si>
    <t>Maureen Kwamboka Nyabuto</t>
  </si>
  <si>
    <t>Maureen Ichauri</t>
  </si>
  <si>
    <t>BB20768</t>
  </si>
  <si>
    <t>Maureen Asimwa Ngala</t>
  </si>
  <si>
    <t>ABMO242</t>
  </si>
  <si>
    <t>Maureen Achieng Owino</t>
  </si>
  <si>
    <t>LG22183</t>
  </si>
  <si>
    <t>Masenge Onchari Anthony</t>
  </si>
  <si>
    <t>AB023IA</t>
  </si>
  <si>
    <t>Maryline Kirwok</t>
  </si>
  <si>
    <t>BB07733</t>
  </si>
  <si>
    <t xml:space="preserve">Marygoretti Mbuge </t>
  </si>
  <si>
    <t>LG25238</t>
  </si>
  <si>
    <t>Maryanne Naomi Adewa</t>
  </si>
  <si>
    <t>LG19872</t>
  </si>
  <si>
    <t>Mary Wanjiru Gathi</t>
  </si>
  <si>
    <t>LG24912</t>
  </si>
  <si>
    <t>Mary Wanjiku Kuria</t>
  </si>
  <si>
    <t>AB021LM</t>
  </si>
  <si>
    <t>Mary Wanjiku Hunja</t>
  </si>
  <si>
    <t>AB025MC</t>
  </si>
  <si>
    <t>Mary Wanjeri Maina</t>
  </si>
  <si>
    <t>LG23422</t>
  </si>
  <si>
    <t>Mary Wangui Njoki</t>
  </si>
  <si>
    <t>BB07777</t>
  </si>
  <si>
    <t xml:space="preserve">Mary Waithera Gachuhi </t>
  </si>
  <si>
    <t>AB018GG</t>
  </si>
  <si>
    <t xml:space="preserve">Mary Wachira </t>
  </si>
  <si>
    <t>BB03854</t>
  </si>
  <si>
    <t>Mary Wachera Iraki</t>
  </si>
  <si>
    <t>Mary Nyambura Njuguna</t>
  </si>
  <si>
    <t>LG21470</t>
  </si>
  <si>
    <t>Mary Njeri Njoroge</t>
  </si>
  <si>
    <t>LG25061</t>
  </si>
  <si>
    <t xml:space="preserve">Mary Mulunga Mwachiti </t>
  </si>
  <si>
    <t>AB0154Q</t>
  </si>
  <si>
    <t>Mary Masanju</t>
  </si>
  <si>
    <t>LG24558</t>
  </si>
  <si>
    <t>Mary Karienye</t>
  </si>
  <si>
    <t>LG24916</t>
  </si>
  <si>
    <t xml:space="preserve">Mary Grace Muthoni Waiboci </t>
  </si>
  <si>
    <t>LG12826</t>
  </si>
  <si>
    <t>Mary Chenda Kazungu</t>
  </si>
  <si>
    <t>AB027EE</t>
  </si>
  <si>
    <t>Mary  Muthui</t>
  </si>
  <si>
    <t>AB027JN</t>
  </si>
  <si>
    <t>Marvin Oluoch</t>
  </si>
  <si>
    <t>13098</t>
  </si>
  <si>
    <t>Marvin Nyamari Nyangau</t>
  </si>
  <si>
    <t>Martine Wangila Nato</t>
  </si>
  <si>
    <t>BB22627</t>
  </si>
  <si>
    <t>Martin Simba Isinita</t>
  </si>
  <si>
    <t>LG21432</t>
  </si>
  <si>
    <t>Martin Onyango Mukoko</t>
  </si>
  <si>
    <t>LG25447</t>
  </si>
  <si>
    <t xml:space="preserve">Martin Okoth Konje </t>
  </si>
  <si>
    <t>LG24610</t>
  </si>
  <si>
    <t>Martin Ngugi Mbau</t>
  </si>
  <si>
    <t>LG20894</t>
  </si>
  <si>
    <t>Martin Mwangi Nyiha</t>
  </si>
  <si>
    <t>BB21432</t>
  </si>
  <si>
    <t>Martin Mukoko</t>
  </si>
  <si>
    <t>ABO26V9</t>
  </si>
  <si>
    <t>Martin Maina</t>
  </si>
  <si>
    <t>AB026V9</t>
  </si>
  <si>
    <t>AB022SP</t>
  </si>
  <si>
    <t>Martin Aciita</t>
  </si>
  <si>
    <t>LG25572</t>
  </si>
  <si>
    <t xml:space="preserve">Martha Wahome </t>
  </si>
  <si>
    <t>LG19250</t>
  </si>
  <si>
    <t>Martha Akeyo Wasonga</t>
  </si>
  <si>
    <t>LG25067</t>
  </si>
  <si>
    <t xml:space="preserve">Mark Mukungu Mutisya </t>
  </si>
  <si>
    <t>LG23530</t>
  </si>
  <si>
    <t>Mark Gichana Omenge</t>
  </si>
  <si>
    <t>LG25218</t>
  </si>
  <si>
    <t xml:space="preserve">Marion Wambui </t>
  </si>
  <si>
    <t>AB024GQ</t>
  </si>
  <si>
    <t>Marion Ojiem</t>
  </si>
  <si>
    <t>LG25065</t>
  </si>
  <si>
    <t xml:space="preserve">Mariam Said Mohamed </t>
  </si>
  <si>
    <t>LG25271</t>
  </si>
  <si>
    <t xml:space="preserve">Mariam Nasimiyu </t>
  </si>
  <si>
    <t>LG25060</t>
  </si>
  <si>
    <t xml:space="preserve">Mariam Juma Kassim </t>
  </si>
  <si>
    <t>LG23308</t>
  </si>
  <si>
    <t>Margret Nzilani Kioko</t>
  </si>
  <si>
    <t>LG24861</t>
  </si>
  <si>
    <t>Margaret Wanjiru Mungai</t>
  </si>
  <si>
    <t>LG19548</t>
  </si>
  <si>
    <t>Margaret Nyandzua Lewa</t>
  </si>
  <si>
    <t>LG18991</t>
  </si>
  <si>
    <t>Margaret Nyambura Njuguna</t>
  </si>
  <si>
    <t>AB0171V</t>
  </si>
  <si>
    <t>Margaret Mwaura</t>
  </si>
  <si>
    <t>LG24854</t>
  </si>
  <si>
    <t>Margaret Munini Kyalo</t>
  </si>
  <si>
    <t>AB025OM</t>
  </si>
  <si>
    <t>Margaret Mukami Kiuru</t>
  </si>
  <si>
    <t>LG14727</t>
  </si>
  <si>
    <t>Margaret Moraa Oiriga</t>
  </si>
  <si>
    <t>BB19548</t>
  </si>
  <si>
    <t>Margaret Lewa</t>
  </si>
  <si>
    <t>LG15448</t>
  </si>
  <si>
    <t>Margaret Bosibori Maato</t>
  </si>
  <si>
    <t>LG10081</t>
  </si>
  <si>
    <t>Margaret Atieno Many</t>
  </si>
  <si>
    <t>AB019HD</t>
  </si>
  <si>
    <t>Marcelo Lemi</t>
  </si>
  <si>
    <t>LG24556</t>
  </si>
  <si>
    <t>Marcellah Naswa Mabuka</t>
  </si>
  <si>
    <t>MKL0681</t>
  </si>
  <si>
    <t xml:space="preserve">Mahinda, Kelvin Ndirangu </t>
  </si>
  <si>
    <t>LG22574</t>
  </si>
  <si>
    <t>Mahad Mohammed Abdi</t>
  </si>
  <si>
    <t>LG18311</t>
  </si>
  <si>
    <t>Magdalene Nduta Kabatha</t>
  </si>
  <si>
    <t>LG10558</t>
  </si>
  <si>
    <t>Madeda Mwawana Mwamburi</t>
  </si>
  <si>
    <t>LG07986</t>
  </si>
  <si>
    <t>Mable Mmboga Alusa</t>
  </si>
  <si>
    <t>AB019N2</t>
  </si>
  <si>
    <t>Lynnet Usolo</t>
  </si>
  <si>
    <t>LG25258</t>
  </si>
  <si>
    <t>Lyner Masher Awuor</t>
  </si>
  <si>
    <t>AB019HJ</t>
  </si>
  <si>
    <t>Lynder Masili</t>
  </si>
  <si>
    <t>AB011HP</t>
  </si>
  <si>
    <t>Lyndah Omino</t>
  </si>
  <si>
    <t>BB05470</t>
  </si>
  <si>
    <t>Lyn Okutoyi Imbayi</t>
  </si>
  <si>
    <t>LG18599</t>
  </si>
  <si>
    <t>Lydiah Muthoni Ndungu</t>
  </si>
  <si>
    <t>LG20347</t>
  </si>
  <si>
    <t>Lydiah Atieno Ochola</t>
  </si>
  <si>
    <t>LG24302</t>
  </si>
  <si>
    <t>Lydia Wanjiku Kimotho</t>
  </si>
  <si>
    <t>LG25547</t>
  </si>
  <si>
    <t>Lydia Shibako</t>
  </si>
  <si>
    <t>BB05292</t>
  </si>
  <si>
    <t>Lydia Motari</t>
  </si>
  <si>
    <t>LG23266</t>
  </si>
  <si>
    <t>Luke Muia Malonza</t>
  </si>
  <si>
    <t>LG09409</t>
  </si>
  <si>
    <t>Lucy Wawira Njagi</t>
  </si>
  <si>
    <t>LG21447</t>
  </si>
  <si>
    <t>Lucy Wanjiru Mwaniki</t>
  </si>
  <si>
    <t>AB027AB</t>
  </si>
  <si>
    <t>Lucy Wamwea</t>
  </si>
  <si>
    <t>LG25570</t>
  </si>
  <si>
    <t>Lucy Wamagata</t>
  </si>
  <si>
    <t>LG21007</t>
  </si>
  <si>
    <t>Lucy Mwaniki</t>
  </si>
  <si>
    <t>LG22138</t>
  </si>
  <si>
    <t>Lucy Mwalimo</t>
  </si>
  <si>
    <t>LG07923</t>
  </si>
  <si>
    <t>Lucy Muthoni Njagi</t>
  </si>
  <si>
    <t>ABLMAVV</t>
  </si>
  <si>
    <t>Lucy Egwa Mwalimo</t>
  </si>
  <si>
    <t>ABLO119</t>
  </si>
  <si>
    <t>Lucy Anyango Ogutu</t>
  </si>
  <si>
    <t>BB07494</t>
  </si>
  <si>
    <t>Loyce Ngani Tsuma</t>
  </si>
  <si>
    <t>AB006DF</t>
  </si>
  <si>
    <t>Lorna Kawira Kirimi</t>
  </si>
  <si>
    <t>BB11125</t>
  </si>
  <si>
    <t>Lorna Achieng Olango</t>
  </si>
  <si>
    <t>BB06949</t>
  </si>
  <si>
    <t>Lora Chelangat Cheruiyot</t>
  </si>
  <si>
    <t>LGAB006DF</t>
  </si>
  <si>
    <t>Lonah Kawira Kirimi</t>
  </si>
  <si>
    <t>BB11061</t>
  </si>
  <si>
    <t>Loisy Mugura</t>
  </si>
  <si>
    <t>LG13364</t>
  </si>
  <si>
    <t>Loice Luseka Shiatikha</t>
  </si>
  <si>
    <t>LG24869</t>
  </si>
  <si>
    <t>Loice Jepchirchir</t>
  </si>
  <si>
    <t>LG24860</t>
  </si>
  <si>
    <t>LINET WANGARI</t>
  </si>
  <si>
    <t>LG17322</t>
  </si>
  <si>
    <t>Linet Kwamboka Mumbe</t>
  </si>
  <si>
    <t>AB023A3</t>
  </si>
  <si>
    <t>Lindsey Cheruiyot</t>
  </si>
  <si>
    <t>BB06373</t>
  </si>
  <si>
    <t>Linda Atieno Owuor</t>
  </si>
  <si>
    <t>LG22916</t>
  </si>
  <si>
    <t>Linda Anyango Ndhiwa</t>
  </si>
  <si>
    <t>LG13349</t>
  </si>
  <si>
    <t>Lina Ogara Okute</t>
  </si>
  <si>
    <t>LG19665</t>
  </si>
  <si>
    <t>Lina Consolata Waita</t>
  </si>
  <si>
    <t>LG24589</t>
  </si>
  <si>
    <t>Lillian Mutuku Mumo</t>
  </si>
  <si>
    <t>Lilian Wambui Kamau</t>
  </si>
  <si>
    <t>AB011H1</t>
  </si>
  <si>
    <t>Lilian Temba Barasa</t>
  </si>
  <si>
    <t>AB0171X</t>
  </si>
  <si>
    <t>Lilian Tabu</t>
  </si>
  <si>
    <t>AB019QT</t>
  </si>
  <si>
    <t>Lilian Njoki Muiruri</t>
  </si>
  <si>
    <t>AB0278Q</t>
  </si>
  <si>
    <t>Lilian Nelima Ngoya</t>
  </si>
  <si>
    <t>AB021K3</t>
  </si>
  <si>
    <t>Lilian Murunga</t>
  </si>
  <si>
    <t>AB015ND</t>
  </si>
  <si>
    <t>Lilian Luseno</t>
  </si>
  <si>
    <t>AB018GY</t>
  </si>
  <si>
    <t>Lilian Kalii Mwongela</t>
  </si>
  <si>
    <t>LG25550</t>
  </si>
  <si>
    <t>Lilian Jemutai</t>
  </si>
  <si>
    <t>AB019IC</t>
  </si>
  <si>
    <t>Lilian Atieno Otieno</t>
  </si>
  <si>
    <t>Liboyi Jacobeth Owiso</t>
  </si>
  <si>
    <t>AB019KO</t>
  </si>
  <si>
    <t>Leonidah Ntinyari</t>
  </si>
  <si>
    <t>AB0264C</t>
  </si>
  <si>
    <t>Leonard Njeru</t>
  </si>
  <si>
    <t>LG23362</t>
  </si>
  <si>
    <t>Leonard Nganda Muendo</t>
  </si>
  <si>
    <t>LG12819</t>
  </si>
  <si>
    <t>Leonard Muasa Kimali</t>
  </si>
  <si>
    <t>Lencer Orore</t>
  </si>
  <si>
    <t>LG22721</t>
  </si>
  <si>
    <t>Lencer Jill Akinyi Orore</t>
  </si>
  <si>
    <t>HISA0014</t>
  </si>
  <si>
    <t>Leesim Insurance Agency</t>
  </si>
  <si>
    <t>AB019FQ</t>
  </si>
  <si>
    <t>Lazarus Kariuki Kioko</t>
  </si>
  <si>
    <t>LG24906</t>
  </si>
  <si>
    <t>Lawrence  Macharia Mwangi</t>
  </si>
  <si>
    <t>LG11398</t>
  </si>
  <si>
    <t>Lawrence Kombo Ambundo</t>
  </si>
  <si>
    <t>AB022LI</t>
  </si>
  <si>
    <t>Lavendah Mambia</t>
  </si>
  <si>
    <t>LG25596</t>
  </si>
  <si>
    <t>Laurelia Busieka Munyeshi</t>
  </si>
  <si>
    <t>LG19680</t>
  </si>
  <si>
    <t>Laura Mositzi Namungu</t>
  </si>
  <si>
    <t>LG16606</t>
  </si>
  <si>
    <t>Lameck Yugi</t>
  </si>
  <si>
    <t>AB025OK</t>
  </si>
  <si>
    <t>Laban Magambo Mwandaa</t>
  </si>
  <si>
    <t>LG24363</t>
  </si>
  <si>
    <t>Koskey Brenda Cheronoh</t>
  </si>
  <si>
    <t>AB020OD</t>
  </si>
  <si>
    <t>Koome Karani Mugambi</t>
  </si>
  <si>
    <t>BB03431</t>
  </si>
  <si>
    <t>Koome Asenath</t>
  </si>
  <si>
    <t>MKL0351</t>
  </si>
  <si>
    <t>Koigi, Grace Wairimu</t>
  </si>
  <si>
    <t>MKL0272</t>
  </si>
  <si>
    <t>Kiruri, Joyce Wambui</t>
  </si>
  <si>
    <t>LG17019</t>
  </si>
  <si>
    <t>Kiprono  David</t>
  </si>
  <si>
    <t>AB020BG</t>
  </si>
  <si>
    <t>Kipngetich Koskey</t>
  </si>
  <si>
    <t>LG19801</t>
  </si>
  <si>
    <t>Kipngeno  Cheruiyot</t>
  </si>
  <si>
    <t>AB0246D</t>
  </si>
  <si>
    <t>Kipmutai Korir</t>
  </si>
  <si>
    <t>LG20968</t>
  </si>
  <si>
    <t>Kiplangat  Mutai</t>
  </si>
  <si>
    <t>LG22391</t>
  </si>
  <si>
    <t>Kipkulei Kipkazi Wilfred</t>
  </si>
  <si>
    <t>BB20661</t>
  </si>
  <si>
    <t>Kipkorir  Ronald</t>
  </si>
  <si>
    <t>LG18645</t>
  </si>
  <si>
    <t>Kipkirui  Victor</t>
  </si>
  <si>
    <t>MKL0201</t>
  </si>
  <si>
    <t>Kiarie, Agnes Wanjiku</t>
  </si>
  <si>
    <t>AB026P7</t>
  </si>
  <si>
    <t xml:space="preserve">Keziah Nyakio Kinyua </t>
  </si>
  <si>
    <t>ZBRG082</t>
  </si>
  <si>
    <t>Kevin Waswa</t>
  </si>
  <si>
    <t>ABKO052</t>
  </si>
  <si>
    <t>Kevin Oruko Odhiambo</t>
  </si>
  <si>
    <t>AB02102</t>
  </si>
  <si>
    <t>Kevin Oirere</t>
  </si>
  <si>
    <t>AB021O2</t>
  </si>
  <si>
    <t>LG23300</t>
  </si>
  <si>
    <t>Kevin Ogugu Ombasa</t>
  </si>
  <si>
    <t>LG23529</t>
  </si>
  <si>
    <t>Kevin Odhiambo</t>
  </si>
  <si>
    <t>LG24544</t>
  </si>
  <si>
    <t>Kevin Mwangi Kagiri</t>
  </si>
  <si>
    <t>LG25463</t>
  </si>
  <si>
    <t xml:space="preserve">Kevin Muga </t>
  </si>
  <si>
    <t>13111</t>
  </si>
  <si>
    <t>Kevin Masinde Mbakaya</t>
  </si>
  <si>
    <t>LG25052</t>
  </si>
  <si>
    <t xml:space="preserve">Kevin Makokha Waiswa </t>
  </si>
  <si>
    <t>BB25147</t>
  </si>
  <si>
    <t>KEVIN</t>
  </si>
  <si>
    <t>LG25053</t>
  </si>
  <si>
    <t xml:space="preserve">Kerine Akoth Ayiemba </t>
  </si>
  <si>
    <t>LG11497</t>
  </si>
  <si>
    <t>Kentis Nafula Khisa</t>
  </si>
  <si>
    <t xml:space="preserve">KENTAB INSURANCE AGENCY </t>
  </si>
  <si>
    <t>LG21449</t>
  </si>
  <si>
    <t>Kenneth WILLIES Barasa</t>
  </si>
  <si>
    <t>LG23109</t>
  </si>
  <si>
    <t>Kenneth Njoroge Gichinga</t>
  </si>
  <si>
    <t>LG22291</t>
  </si>
  <si>
    <t>Kenneth Kamau Mwangi</t>
  </si>
  <si>
    <t>AB01557</t>
  </si>
  <si>
    <t>Kenneth Ayoro</t>
  </si>
  <si>
    <t>LG24563</t>
  </si>
  <si>
    <t>Kennedy Zacharia Nyaribo</t>
  </si>
  <si>
    <t>BB15370</t>
  </si>
  <si>
    <t>Kennedy Yotto</t>
  </si>
  <si>
    <t>LG15370</t>
  </si>
  <si>
    <t>Kennedy Ouma Yotto</t>
  </si>
  <si>
    <t>LGAB006D6</t>
  </si>
  <si>
    <t>Kennedy Otieno</t>
  </si>
  <si>
    <t>LG20064</t>
  </si>
  <si>
    <t>Kennedy Onyango Nandiri</t>
  </si>
  <si>
    <t>AB018EA</t>
  </si>
  <si>
    <t>Kennedy Omondi Owuor</t>
  </si>
  <si>
    <t>LG06661</t>
  </si>
  <si>
    <t>Kennedy Odiwuor Kakumu</t>
  </si>
  <si>
    <t>BB15442</t>
  </si>
  <si>
    <t xml:space="preserve">Kennedy Ngetich </t>
  </si>
  <si>
    <t>LG25462</t>
  </si>
  <si>
    <t>Kennedy Ndung'u Koine</t>
  </si>
  <si>
    <t>LG15371</t>
  </si>
  <si>
    <t>Kennedy Kung`U Wanjiku</t>
  </si>
  <si>
    <t>AB019RU</t>
  </si>
  <si>
    <t>Kennedy Irungu</t>
  </si>
  <si>
    <t>LG18761</t>
  </si>
  <si>
    <t>Kennedy Adolwa Chayuga</t>
  </si>
  <si>
    <t>LG17750</t>
  </si>
  <si>
    <t>Kennedy  Wasike</t>
  </si>
  <si>
    <t>Ken Kungu</t>
  </si>
  <si>
    <t>AB017VU</t>
  </si>
  <si>
    <t>Kelvin Wamui</t>
  </si>
  <si>
    <t>AB025HA</t>
  </si>
  <si>
    <t>Kelvin Wambua</t>
  </si>
  <si>
    <t>LG25257</t>
  </si>
  <si>
    <t>Kelvin Mureti Kaburu</t>
  </si>
  <si>
    <t>LG24919</t>
  </si>
  <si>
    <t>Kelvin Kubai</t>
  </si>
  <si>
    <t>AB011N6</t>
  </si>
  <si>
    <t>Kelvin Kimutai</t>
  </si>
  <si>
    <t>AB017VB</t>
  </si>
  <si>
    <t>Kelvin Kimanthi Mutoko</t>
  </si>
  <si>
    <t>AB019UV</t>
  </si>
  <si>
    <t>Kelvin Alwala</t>
  </si>
  <si>
    <t>LG24948</t>
  </si>
  <si>
    <t xml:space="preserve">Kegan Okello Omulo </t>
  </si>
  <si>
    <t>MKL0609</t>
  </si>
  <si>
    <t>Kabutu, Basilio Nyamu</t>
  </si>
  <si>
    <t>LG21711</t>
  </si>
  <si>
    <t>Justus Nockrose Onyango</t>
  </si>
  <si>
    <t>LG24269</t>
  </si>
  <si>
    <t xml:space="preserve">Justin Okemwa  </t>
  </si>
  <si>
    <t>JUSTA NDUBA MBAABU</t>
  </si>
  <si>
    <t>LG19773</t>
  </si>
  <si>
    <t>June Kedego Lihanda</t>
  </si>
  <si>
    <t>LG21890</t>
  </si>
  <si>
    <t>June  Kiptoo</t>
  </si>
  <si>
    <t>BB13454</t>
  </si>
  <si>
    <t>Jumapili  Lenkewa</t>
  </si>
  <si>
    <t>ABJMABO</t>
  </si>
  <si>
    <t>BB06034</t>
  </si>
  <si>
    <t>Juliet Ndila Matheka</t>
  </si>
  <si>
    <t>AB0250R</t>
  </si>
  <si>
    <t>Juliet Momanyi</t>
  </si>
  <si>
    <t>AB025OR</t>
  </si>
  <si>
    <t>Juliet Kemunto Momanyi</t>
  </si>
  <si>
    <t>LG24407</t>
  </si>
  <si>
    <t>Juliet Atieno Odongo</t>
  </si>
  <si>
    <t>AB025HE</t>
  </si>
  <si>
    <t>Juliana Wavinya Mutua</t>
  </si>
  <si>
    <t>LG24360</t>
  </si>
  <si>
    <t>Julia Waithera Mburu</t>
  </si>
  <si>
    <t>SM24341</t>
  </si>
  <si>
    <t>Julia Marenya</t>
  </si>
  <si>
    <t>LG24401</t>
  </si>
  <si>
    <t>Julia Edna Wanjira Gichuki</t>
  </si>
  <si>
    <t>AB011JT</t>
  </si>
  <si>
    <t>Judy Sambai</t>
  </si>
  <si>
    <t>LG23238</t>
  </si>
  <si>
    <t>Judy Ngami Francis</t>
  </si>
  <si>
    <t>13057</t>
  </si>
  <si>
    <t>Judy Mumbe Berita</t>
  </si>
  <si>
    <t>AB023WC</t>
  </si>
  <si>
    <t>Judy Mugo</t>
  </si>
  <si>
    <t>AB022VO</t>
  </si>
  <si>
    <t>Judy Kipchumba</t>
  </si>
  <si>
    <t>AB022V0</t>
  </si>
  <si>
    <t>Judy Jerono Kipchumba</t>
  </si>
  <si>
    <t>Judy Arama</t>
  </si>
  <si>
    <t>BB09553</t>
  </si>
  <si>
    <t>Judith Nyathira Njogu</t>
  </si>
  <si>
    <t>LG18862</t>
  </si>
  <si>
    <t>Judith Chebet Langat</t>
  </si>
  <si>
    <t>LG12701</t>
  </si>
  <si>
    <t>Judith Atieno Otieno</t>
  </si>
  <si>
    <t>LG23551</t>
  </si>
  <si>
    <t>Judith  Chepkoech</t>
  </si>
  <si>
    <t>AB019VX</t>
  </si>
  <si>
    <t>Juddy Gathoni Kiboi</t>
  </si>
  <si>
    <t>HISA0004</t>
  </si>
  <si>
    <t>JOYCE WANGUI NGANGA</t>
  </si>
  <si>
    <t>LG24557</t>
  </si>
  <si>
    <t>Joyce Wambui Kabugua</t>
  </si>
  <si>
    <t>AB027FR</t>
  </si>
  <si>
    <t>Joyce Otieno</t>
  </si>
  <si>
    <t>LG24761</t>
  </si>
  <si>
    <t>Joyce Nyakio thairu</t>
  </si>
  <si>
    <t>AB019L0</t>
  </si>
  <si>
    <t>Joyce Mercy Onyango</t>
  </si>
  <si>
    <t>Joyce Kabura Otieno</t>
  </si>
  <si>
    <t>AB015MA</t>
  </si>
  <si>
    <t xml:space="preserve">Joy Wamboi Munge </t>
  </si>
  <si>
    <t>AB0154W</t>
  </si>
  <si>
    <t>Joy Miya</t>
  </si>
  <si>
    <t>LG23416</t>
  </si>
  <si>
    <t>Joy Chepkorir Koech</t>
  </si>
  <si>
    <t>AB019IG</t>
  </si>
  <si>
    <t>Josphat Theuri</t>
  </si>
  <si>
    <t>LG21126</t>
  </si>
  <si>
    <t>Josphat NGURE Wairimu</t>
  </si>
  <si>
    <t>BB17013</t>
  </si>
  <si>
    <t>Josphat Mutwiri</t>
  </si>
  <si>
    <t>LG17013</t>
  </si>
  <si>
    <t>Josphat Muriungi Mutwiri</t>
  </si>
  <si>
    <t>ZBRG081</t>
  </si>
  <si>
    <t>Josiah Kihono</t>
  </si>
  <si>
    <t>LG205891</t>
  </si>
  <si>
    <t>Joshua Riandi</t>
  </si>
  <si>
    <t>AB0154R</t>
  </si>
  <si>
    <t>Joshua Owidi</t>
  </si>
  <si>
    <t>LG15404</t>
  </si>
  <si>
    <t>Joshua Maluti Kilei</t>
  </si>
  <si>
    <t>BB10852</t>
  </si>
  <si>
    <t>Joshua Maiyo</t>
  </si>
  <si>
    <t>AB019I2</t>
  </si>
  <si>
    <t>Joshua Kiendi Mutua</t>
  </si>
  <si>
    <t>LG23192</t>
  </si>
  <si>
    <t>AB0297P</t>
  </si>
  <si>
    <t>Joshua Kerema</t>
  </si>
  <si>
    <t>LG20589</t>
  </si>
  <si>
    <t>Joshua  Riandi</t>
  </si>
  <si>
    <t>LG24337</t>
  </si>
  <si>
    <t>Josephine Mbula</t>
  </si>
  <si>
    <t>LG22273</t>
  </si>
  <si>
    <t>Josephine Kilonzo</t>
  </si>
  <si>
    <t>LG22166</t>
  </si>
  <si>
    <t>JOSEPHINE KATHURI</t>
  </si>
  <si>
    <t>LG15780</t>
  </si>
  <si>
    <t>Josephine Atieno Odhiambo</t>
  </si>
  <si>
    <t>ABJK643</t>
  </si>
  <si>
    <t>Josephine  Kilonzo</t>
  </si>
  <si>
    <t>BB11107</t>
  </si>
  <si>
    <t>Josephat Musyoka Mwau</t>
  </si>
  <si>
    <t>LG24322</t>
  </si>
  <si>
    <t xml:space="preserve">Joseph Wamutira </t>
  </si>
  <si>
    <t>LG18302</t>
  </si>
  <si>
    <t>Joseph Wambugu Njeri</t>
  </si>
  <si>
    <t>LG24611</t>
  </si>
  <si>
    <t>Joseph Odari Mahenwe</t>
  </si>
  <si>
    <t>BB07547</t>
  </si>
  <si>
    <t>Joseph Ngugi Muthee</t>
  </si>
  <si>
    <t>BB20651</t>
  </si>
  <si>
    <t>Joseph Mwangi Watoro</t>
  </si>
  <si>
    <t>AB011GR</t>
  </si>
  <si>
    <t>Joseph Mwangi</t>
  </si>
  <si>
    <t>LG06025</t>
  </si>
  <si>
    <t>Joseph Munyao Kitala</t>
  </si>
  <si>
    <t>Joseph Mugambi Japhet</t>
  </si>
  <si>
    <t>LG21485</t>
  </si>
  <si>
    <t>Joseph Mbondo Nzula</t>
  </si>
  <si>
    <t>AB0154S</t>
  </si>
  <si>
    <t>Joseph Mbithi</t>
  </si>
  <si>
    <t>BB16863</t>
  </si>
  <si>
    <t>Joseph Macharia</t>
  </si>
  <si>
    <t>LG16923</t>
  </si>
  <si>
    <t>Joseph Kimetu Ngila</t>
  </si>
  <si>
    <t>AB0111GR</t>
  </si>
  <si>
    <t>Joseph Kiberu Mwangi</t>
  </si>
  <si>
    <t>LG24266</t>
  </si>
  <si>
    <t>Joseph Kamau Kairu</t>
  </si>
  <si>
    <t>SP3212001</t>
  </si>
  <si>
    <t xml:space="preserve">Joseph Kairu </t>
  </si>
  <si>
    <t>ABJK798</t>
  </si>
  <si>
    <t>LG16863</t>
  </si>
  <si>
    <t>Joseph Gatoto Macharia</t>
  </si>
  <si>
    <t>LG23077</t>
  </si>
  <si>
    <t>Joram Macharia Irungu</t>
  </si>
  <si>
    <t>LG10602</t>
  </si>
  <si>
    <t>Jonathan Parsinante Naisho</t>
  </si>
  <si>
    <t>LG16258</t>
  </si>
  <si>
    <t>Jonathan Birya Kopia</t>
  </si>
  <si>
    <t>LG25048</t>
  </si>
  <si>
    <t>Jonah Mutua Philip</t>
  </si>
  <si>
    <t>AB019HU</t>
  </si>
  <si>
    <t>Johnson Kanene</t>
  </si>
  <si>
    <t>BB11962</t>
  </si>
  <si>
    <t>Johnpaul Mulongo Lukorito</t>
  </si>
  <si>
    <t>JOHN WANJAGI GICHANGA</t>
  </si>
  <si>
    <t>AB020B8</t>
  </si>
  <si>
    <t>John Obuya</t>
  </si>
  <si>
    <t>BB14948</t>
  </si>
  <si>
    <t>John Nzau Mulee</t>
  </si>
  <si>
    <t>BB13104</t>
  </si>
  <si>
    <t xml:space="preserve">John Mwangi </t>
  </si>
  <si>
    <t>AB022G8</t>
  </si>
  <si>
    <t>John Murumba</t>
  </si>
  <si>
    <t>AB026BA</t>
  </si>
  <si>
    <t>John Muregi Kamau</t>
  </si>
  <si>
    <t>LG22825</t>
  </si>
  <si>
    <t>John Mumo Mwetu</t>
  </si>
  <si>
    <t>AB029OY</t>
  </si>
  <si>
    <t>John Mbithe</t>
  </si>
  <si>
    <t>LG24530</t>
  </si>
  <si>
    <t>John Kyalo Mwangangi</t>
  </si>
  <si>
    <t>AB020BH</t>
  </si>
  <si>
    <t>John Gitundu</t>
  </si>
  <si>
    <t>LG18631</t>
  </si>
  <si>
    <t>John Gitau Mwangi</t>
  </si>
  <si>
    <t>LG25091</t>
  </si>
  <si>
    <t xml:space="preserve">John Akinyi Angeline </t>
  </si>
  <si>
    <t>LG21853</t>
  </si>
  <si>
    <t>John  Owino</t>
  </si>
  <si>
    <t>BB21346</t>
  </si>
  <si>
    <t>John  Mutua</t>
  </si>
  <si>
    <t>LG22392</t>
  </si>
  <si>
    <t>Johana Njagi Nyaga</t>
  </si>
  <si>
    <t>BB06820</t>
  </si>
  <si>
    <t>Joel Willis Onyango</t>
  </si>
  <si>
    <t>BB25126</t>
  </si>
  <si>
    <t xml:space="preserve">Joel Kipkoech Korir </t>
  </si>
  <si>
    <t>AB024OW</t>
  </si>
  <si>
    <t>Joel Bundi Ongeta</t>
  </si>
  <si>
    <t>LG24626</t>
  </si>
  <si>
    <t>Job Gitonga</t>
  </si>
  <si>
    <t>BB09278</t>
  </si>
  <si>
    <t>Joan Njoki Kiragu</t>
  </si>
  <si>
    <t>LG23544</t>
  </si>
  <si>
    <t>Joan Njoki Kariuki</t>
  </si>
  <si>
    <t>BB20656</t>
  </si>
  <si>
    <t>LG21255</t>
  </si>
  <si>
    <t>Joan KIGEN Kibet</t>
  </si>
  <si>
    <t>BB18986</t>
  </si>
  <si>
    <t>Joan Amondi Abega</t>
  </si>
  <si>
    <t>Jerotich Cherop</t>
  </si>
  <si>
    <t>LG24911</t>
  </si>
  <si>
    <t>Jenniffer  Nyambura Kimaru</t>
  </si>
  <si>
    <t>LG20393</t>
  </si>
  <si>
    <t>Jenipher WAKIO Msinga</t>
  </si>
  <si>
    <t>AB0231A</t>
  </si>
  <si>
    <t>Jemutai Kirwok</t>
  </si>
  <si>
    <t>BB22508</t>
  </si>
  <si>
    <t>Jemimah Auma</t>
  </si>
  <si>
    <t>BB17441</t>
  </si>
  <si>
    <t>Jelimo Jepkosgei Biwott</t>
  </si>
  <si>
    <t>LG25609</t>
  </si>
  <si>
    <t xml:space="preserve">Jeffrey Mugambi </t>
  </si>
  <si>
    <t>LG24583</t>
  </si>
  <si>
    <t>Jefferson Muendo Mulandi</t>
  </si>
  <si>
    <t>ABJW599</t>
  </si>
  <si>
    <t>Jedidah Wangari Waititu</t>
  </si>
  <si>
    <t>AB02897</t>
  </si>
  <si>
    <t>Jecinta Mburu</t>
  </si>
  <si>
    <t>BB04526</t>
  </si>
  <si>
    <t>Jashon Mumbo Owino</t>
  </si>
  <si>
    <t>AB006MM</t>
  </si>
  <si>
    <t>Jarson Kilonzo</t>
  </si>
  <si>
    <t>AB019Y1</t>
  </si>
  <si>
    <t>Jared Olwal</t>
  </si>
  <si>
    <t>BB12807</t>
  </si>
  <si>
    <t>Jared Nyambox</t>
  </si>
  <si>
    <t>LG23431</t>
  </si>
  <si>
    <t>Jared Kiprono Bichiy</t>
  </si>
  <si>
    <t>Janet Jepkemboi Kiprono</t>
  </si>
  <si>
    <t>BB15791</t>
  </si>
  <si>
    <t>Janet Wanjiku Gicho</t>
  </si>
  <si>
    <t>LG21841</t>
  </si>
  <si>
    <t>Janet  Kitaka</t>
  </si>
  <si>
    <t>HISA0005</t>
  </si>
  <si>
    <t>Beatrice Wanjiku Ndukui</t>
  </si>
  <si>
    <t>Jane Wambui Karanja</t>
  </si>
  <si>
    <t>BB14528</t>
  </si>
  <si>
    <t>Jane Waikwa</t>
  </si>
  <si>
    <t>LG12958</t>
  </si>
  <si>
    <t>Jane Vivian Adhiambo</t>
  </si>
  <si>
    <t>BB06539</t>
  </si>
  <si>
    <t>Jane Nyambura Mburu</t>
  </si>
  <si>
    <t>11606</t>
  </si>
  <si>
    <t>Jane Ngai</t>
  </si>
  <si>
    <t>AB017VX</t>
  </si>
  <si>
    <t>Jane Mundi</t>
  </si>
  <si>
    <t>AB027B2</t>
  </si>
  <si>
    <t>Jane Mumbi</t>
  </si>
  <si>
    <t>LG17147</t>
  </si>
  <si>
    <t>BB6539</t>
  </si>
  <si>
    <t xml:space="preserve">Jane Mburu </t>
  </si>
  <si>
    <t>Jane Mbithe Mundi</t>
  </si>
  <si>
    <t>Jane Karanja</t>
  </si>
  <si>
    <t>LG25252</t>
  </si>
  <si>
    <t xml:space="preserve">Jane Karambu </t>
  </si>
  <si>
    <t>LG25573</t>
  </si>
  <si>
    <t>Jane Chepngetich Koech</t>
  </si>
  <si>
    <t>AB025OP</t>
  </si>
  <si>
    <t>Jamlick Kimathi</t>
  </si>
  <si>
    <t>AB02074</t>
  </si>
  <si>
    <t>James Wanyama Simiyu</t>
  </si>
  <si>
    <t>AB0207H</t>
  </si>
  <si>
    <t>James Simiyu</t>
  </si>
  <si>
    <t>LG19358</t>
  </si>
  <si>
    <t>James Otieno Ochom</t>
  </si>
  <si>
    <t>AB023XX</t>
  </si>
  <si>
    <t>James Ondere Nyachong</t>
  </si>
  <si>
    <t>5115</t>
  </si>
  <si>
    <t>James Mwangangi Makau</t>
  </si>
  <si>
    <t>BB07459</t>
  </si>
  <si>
    <t>James Mutugi Nyaga</t>
  </si>
  <si>
    <t>LG24309</t>
  </si>
  <si>
    <t>James Mbuvi Mwongela</t>
  </si>
  <si>
    <t>ABJT405</t>
  </si>
  <si>
    <t>James Maingi Thetu</t>
  </si>
  <si>
    <t>BB20254</t>
  </si>
  <si>
    <t>AB017VN</t>
  </si>
  <si>
    <t>James Kuyo</t>
  </si>
  <si>
    <t>ABJK664</t>
  </si>
  <si>
    <t xml:space="preserve">James Koigi </t>
  </si>
  <si>
    <t>BB06203</t>
  </si>
  <si>
    <t>James Kinoti Kamundi</t>
  </si>
  <si>
    <t>LG23537</t>
  </si>
  <si>
    <t>James Kariuki Njau</t>
  </si>
  <si>
    <t>LG24566</t>
  </si>
  <si>
    <t xml:space="preserve">Jacquiline Wakibia </t>
  </si>
  <si>
    <t>LG25219</t>
  </si>
  <si>
    <t>Jacqueline Wambui Mwaura</t>
  </si>
  <si>
    <t>LG16712</t>
  </si>
  <si>
    <t>Jacqueline Kharanda Makomere</t>
  </si>
  <si>
    <t>Jackson Onzere</t>
  </si>
  <si>
    <t>LG23046</t>
  </si>
  <si>
    <t>Jackson Nyaito Ochungo</t>
  </si>
  <si>
    <t>ABJO243</t>
  </si>
  <si>
    <t>BB23496</t>
  </si>
  <si>
    <t>Jackson  Nyakang'o</t>
  </si>
  <si>
    <t>5148</t>
  </si>
  <si>
    <t>Jacklyn Okuku</t>
  </si>
  <si>
    <t>AB0155B</t>
  </si>
  <si>
    <t>Jackline Peter</t>
  </si>
  <si>
    <t>AB011JO</t>
  </si>
  <si>
    <t>Jackline Njuki</t>
  </si>
  <si>
    <t>AB019HY</t>
  </si>
  <si>
    <t>Jackline Njiru</t>
  </si>
  <si>
    <t>LG24759</t>
  </si>
  <si>
    <t>Jackline Murugi Njoka</t>
  </si>
  <si>
    <t>AB011JN</t>
  </si>
  <si>
    <t>Jackline Mumbua</t>
  </si>
  <si>
    <t>LG22226</t>
  </si>
  <si>
    <t>Jackline Makena Mbaabu</t>
  </si>
  <si>
    <t>ABJMAGL</t>
  </si>
  <si>
    <t>Jackline Kavoo Mwengi</t>
  </si>
  <si>
    <t>Jackline Adongo Lumumba</t>
  </si>
  <si>
    <t>LG18893</t>
  </si>
  <si>
    <t>Jackline  Yego</t>
  </si>
  <si>
    <t>BB09744</t>
  </si>
  <si>
    <t>Jack  Mukabwa</t>
  </si>
  <si>
    <t>AB022UG</t>
  </si>
  <si>
    <t>Jacinta Mwau</t>
  </si>
  <si>
    <t>AB025GL</t>
  </si>
  <si>
    <t>Jacinta Francis</t>
  </si>
  <si>
    <t>LG24896</t>
  </si>
  <si>
    <t xml:space="preserve">Ismail Hassan Mohamed </t>
  </si>
  <si>
    <t>AB0236P</t>
  </si>
  <si>
    <t>Ishmael King'ori</t>
  </si>
  <si>
    <t>AB022GF</t>
  </si>
  <si>
    <t>Isabelle Nyanaro</t>
  </si>
  <si>
    <t>LG12082</t>
  </si>
  <si>
    <t>Isabella Wanjiku Manyara</t>
  </si>
  <si>
    <t>BB12082</t>
  </si>
  <si>
    <t>Isabella Manyara</t>
  </si>
  <si>
    <t>AB02063</t>
  </si>
  <si>
    <t>Isaac Odongo</t>
  </si>
  <si>
    <t>BB07421</t>
  </si>
  <si>
    <t xml:space="preserve">Isaac Ndachi </t>
  </si>
  <si>
    <t>LG24946</t>
  </si>
  <si>
    <t>Isaac Mwaura Kiburi</t>
  </si>
  <si>
    <t>ABIM443</t>
  </si>
  <si>
    <t>Isaac Mutie</t>
  </si>
  <si>
    <t>BB21376</t>
  </si>
  <si>
    <t>Isaac Kioko Maingi</t>
  </si>
  <si>
    <t>AB018G8</t>
  </si>
  <si>
    <t>Isaac Kinyanjui Wainaina</t>
  </si>
  <si>
    <t>LG24559</t>
  </si>
  <si>
    <t>Iris Chebet Chepkirui</t>
  </si>
  <si>
    <t>LG18357</t>
  </si>
  <si>
    <t>Irene Wagaki Kimanyi</t>
  </si>
  <si>
    <t>BB11286</t>
  </si>
  <si>
    <t>Irene Rotich</t>
  </si>
  <si>
    <t>LG24236</t>
  </si>
  <si>
    <t>Irene Mumbua Mululi</t>
  </si>
  <si>
    <t>BB24446</t>
  </si>
  <si>
    <t>Irene Mbugua</t>
  </si>
  <si>
    <t>LG06640</t>
  </si>
  <si>
    <t>Irene Lily Akoth Ondiek</t>
  </si>
  <si>
    <t>BB17939</t>
  </si>
  <si>
    <t>Irene Kutswa</t>
  </si>
  <si>
    <t>BB11826</t>
  </si>
  <si>
    <t>Irene Jemurgor Rotich</t>
  </si>
  <si>
    <t>AB019F4</t>
  </si>
  <si>
    <t>Innocent Marete</t>
  </si>
  <si>
    <t>AB027CU</t>
  </si>
  <si>
    <t xml:space="preserve">Immaculate Cheruto </t>
  </si>
  <si>
    <t>LG24394</t>
  </si>
  <si>
    <t>Immaculate A. Lumumba</t>
  </si>
  <si>
    <t>MKL0662</t>
  </si>
  <si>
    <t>Imanene, Jeremy Nyaga</t>
  </si>
  <si>
    <t>AB0263I</t>
  </si>
  <si>
    <t>Idah Wanja Marangu</t>
  </si>
  <si>
    <t>LG24534</t>
  </si>
  <si>
    <t>Ibrahim Opiyo Amwayi</t>
  </si>
  <si>
    <t>LG24895</t>
  </si>
  <si>
    <t xml:space="preserve">Ibrahim Aura Omari </t>
  </si>
  <si>
    <t>AB016KC</t>
  </si>
  <si>
    <t>IanJohn Karinga</t>
  </si>
  <si>
    <t>ABIM490</t>
  </si>
  <si>
    <t>Ian Mudiri</t>
  </si>
  <si>
    <t>LG21961</t>
  </si>
  <si>
    <t>Ian Jandi Mudiri</t>
  </si>
  <si>
    <t>ABHM597</t>
  </si>
  <si>
    <t>Hyline Mosigisi</t>
  </si>
  <si>
    <t>LG13155</t>
  </si>
  <si>
    <t>Hyline Bochaberi Mosigisi</t>
  </si>
  <si>
    <t>LG23241</t>
  </si>
  <si>
    <t>Hudhaifa Wario Yusuf Doyo</t>
  </si>
  <si>
    <t>HISA0013</t>
  </si>
  <si>
    <t>AB054A</t>
  </si>
  <si>
    <t>Hillary Soita Kupara</t>
  </si>
  <si>
    <t>AB025OQ</t>
  </si>
  <si>
    <t>Hillary Oduor Odhiambo</t>
  </si>
  <si>
    <t>LG24315</t>
  </si>
  <si>
    <t>Hillary Mutai Kipsang</t>
  </si>
  <si>
    <t>AB026U4</t>
  </si>
  <si>
    <t>Hillary Chepkwony</t>
  </si>
  <si>
    <t>7157</t>
  </si>
  <si>
    <t>Hildah Nyakio Karung'a</t>
  </si>
  <si>
    <t>Hildah Karunga</t>
  </si>
  <si>
    <t>AB016KO</t>
  </si>
  <si>
    <t>Hilda Nabulyuli</t>
  </si>
  <si>
    <t>AB0154A</t>
  </si>
  <si>
    <t>Hilary Soita</t>
  </si>
  <si>
    <t>BB06959</t>
  </si>
  <si>
    <t>HEZBONE OWINO</t>
  </si>
  <si>
    <t>LG23435</t>
  </si>
  <si>
    <t>Henry Wasua Muteti</t>
  </si>
  <si>
    <t>BB20899</t>
  </si>
  <si>
    <t>Henry Nyachoke Onyinkwa</t>
  </si>
  <si>
    <t>BB20769</t>
  </si>
  <si>
    <t>Henry Kavuu Mulinge</t>
  </si>
  <si>
    <t>LG22698</t>
  </si>
  <si>
    <t>Henry Kasairo Stephen</t>
  </si>
  <si>
    <t>Hellen Yator</t>
  </si>
  <si>
    <t>Hellen Wanjiru Mwangi</t>
  </si>
  <si>
    <t>LG24868</t>
  </si>
  <si>
    <t>HELLEN NJOKI NYAGA</t>
  </si>
  <si>
    <t>AB027KD</t>
  </si>
  <si>
    <t>Hellen Kumba</t>
  </si>
  <si>
    <t>LG13252</t>
  </si>
  <si>
    <t>Hellen Jebiwot Yator</t>
  </si>
  <si>
    <t>AB02645</t>
  </si>
  <si>
    <t>Helida Atieno Ooko</t>
  </si>
  <si>
    <t>BB09436</t>
  </si>
  <si>
    <t>Harvex Katana Mwambire</t>
  </si>
  <si>
    <t>LG23286</t>
  </si>
  <si>
    <t>Harron Maingi Muasya</t>
  </si>
  <si>
    <t>LG25242</t>
  </si>
  <si>
    <t>Harriet N Malo</t>
  </si>
  <si>
    <t>ZBRG073</t>
  </si>
  <si>
    <t>Harriet Alung’at</t>
  </si>
  <si>
    <t>LG25583</t>
  </si>
  <si>
    <t xml:space="preserve">Hannah Ngendo </t>
  </si>
  <si>
    <t>13038</t>
  </si>
  <si>
    <t>Grace Wanjugu Wangura</t>
  </si>
  <si>
    <t>Grace Wangeshi</t>
  </si>
  <si>
    <t>LG23273</t>
  </si>
  <si>
    <t>Grace Wamboi Thuku</t>
  </si>
  <si>
    <t>LG20315</t>
  </si>
  <si>
    <t>Grace Wamaitha Gitau</t>
  </si>
  <si>
    <t>LG24250</t>
  </si>
  <si>
    <t>Grace Owich</t>
  </si>
  <si>
    <t>LG13153</t>
  </si>
  <si>
    <t>Grace Nkirote Nkirote</t>
  </si>
  <si>
    <t>BB25193</t>
  </si>
  <si>
    <t xml:space="preserve">Grace Njoroge </t>
  </si>
  <si>
    <t>Grace Muriithi</t>
  </si>
  <si>
    <t>LG24361</t>
  </si>
  <si>
    <t>Grace Mbula Ngei</t>
  </si>
  <si>
    <t>LG25074</t>
  </si>
  <si>
    <t xml:space="preserve">Grace Kamene Mutisya </t>
  </si>
  <si>
    <t>LG24855</t>
  </si>
  <si>
    <t>Grace Gatwiri  Karuntini</t>
  </si>
  <si>
    <t>Grace Chelimo Keitany</t>
  </si>
  <si>
    <t>LG16985</t>
  </si>
  <si>
    <t>Grace Awino Owino</t>
  </si>
  <si>
    <t>LG21261</t>
  </si>
  <si>
    <t>Grace  Kambi</t>
  </si>
  <si>
    <t>LG22567</t>
  </si>
  <si>
    <t>Gordon Otieno Ngoche</t>
  </si>
  <si>
    <t>BB22567</t>
  </si>
  <si>
    <t>Gordon Ngoche</t>
  </si>
  <si>
    <t>LG18597</t>
  </si>
  <si>
    <t>Godfrey Ounga Otieno</t>
  </si>
  <si>
    <t>LG19320</t>
  </si>
  <si>
    <t>Godfrey Okumu Simiyu</t>
  </si>
  <si>
    <t>BB22902</t>
  </si>
  <si>
    <t>Godfrey Mutinda Peter</t>
  </si>
  <si>
    <t>LG18277</t>
  </si>
  <si>
    <t>Glory Wanjiru Ndaiga</t>
  </si>
  <si>
    <t>BB18277</t>
  </si>
  <si>
    <t>Glory Ndaiga</t>
  </si>
  <si>
    <t>AB029Z2</t>
  </si>
  <si>
    <t>Gloria Kimetto</t>
  </si>
  <si>
    <t>LG25098</t>
  </si>
  <si>
    <t xml:space="preserve">Gladys Wanjiku Maina </t>
  </si>
  <si>
    <t>LG24549</t>
  </si>
  <si>
    <t xml:space="preserve">Gladys Wambui Kibugi </t>
  </si>
  <si>
    <t>LG25220</t>
  </si>
  <si>
    <t>Gladys Nzisa Ibrahim</t>
  </si>
  <si>
    <t>LG20867</t>
  </si>
  <si>
    <t>Gladys Nyaguthii Kabugu</t>
  </si>
  <si>
    <t>13028</t>
  </si>
  <si>
    <t>Gladys Kerubo Angwenyi</t>
  </si>
  <si>
    <t>AB027PN</t>
  </si>
  <si>
    <t>Gladys Chepkwogen</t>
  </si>
  <si>
    <t>LG24909</t>
  </si>
  <si>
    <t xml:space="preserve">Gladwell Wanjai Wamwiri </t>
  </si>
  <si>
    <t>MKL0497</t>
  </si>
  <si>
    <t>Githinji, Leah Wangechi</t>
  </si>
  <si>
    <t>LG22695</t>
  </si>
  <si>
    <t xml:space="preserve">Gilbert Ambuli </t>
  </si>
  <si>
    <t>LG22280</t>
  </si>
  <si>
    <t>Gilbert  Kemei</t>
  </si>
  <si>
    <t>LG17335</t>
  </si>
  <si>
    <t>Gideon Gichuki Gachema</t>
  </si>
  <si>
    <t>BB09227</t>
  </si>
  <si>
    <t>Gezzy Namaemba Wafula</t>
  </si>
  <si>
    <t>LG25574</t>
  </si>
  <si>
    <t xml:space="preserve">Georia Nzyioki </t>
  </si>
  <si>
    <t>BB21992</t>
  </si>
  <si>
    <t>Georgette Adonya Imbaya</t>
  </si>
  <si>
    <t>BB25129</t>
  </si>
  <si>
    <t xml:space="preserve">George Stephen Abong'o Awuor </t>
  </si>
  <si>
    <t>LG24247</t>
  </si>
  <si>
    <t>George Noel Nyawade</t>
  </si>
  <si>
    <t>BB18603</t>
  </si>
  <si>
    <t>George Mwaura Muturi</t>
  </si>
  <si>
    <t>BB16261</t>
  </si>
  <si>
    <t>George Mvuko Ndune</t>
  </si>
  <si>
    <t>LG22017</t>
  </si>
  <si>
    <t>George Kingi Kazungu</t>
  </si>
  <si>
    <t>BB25626</t>
  </si>
  <si>
    <t>George Kenga Mizimu</t>
  </si>
  <si>
    <t>BB</t>
  </si>
  <si>
    <t>LG21620</t>
  </si>
  <si>
    <t>George Gathoitha Njoroge</t>
  </si>
  <si>
    <t>LG19099</t>
  </si>
  <si>
    <t xml:space="preserve">George Alukwe Barasa </t>
  </si>
  <si>
    <t>AB025OJ</t>
  </si>
  <si>
    <t>Geogina Mbithe Kioko</t>
  </si>
  <si>
    <t>LG24866</t>
  </si>
  <si>
    <t>GEOFFREY ROTICH KIBET</t>
  </si>
  <si>
    <t>ABGO135</t>
  </si>
  <si>
    <t>Geoffrey Onyango Otuoma</t>
  </si>
  <si>
    <t>LG24539</t>
  </si>
  <si>
    <t>Geoffrey Mwiva Mutua</t>
  </si>
  <si>
    <t>AB016KW</t>
  </si>
  <si>
    <t>Geoffrey Milune</t>
  </si>
  <si>
    <t>MKL0202</t>
  </si>
  <si>
    <t>Gakii, Susan Caroline</t>
  </si>
  <si>
    <t>LG25049</t>
  </si>
  <si>
    <t>Gabriel Odiwuor Otieno</t>
  </si>
  <si>
    <t>BB20931</t>
  </si>
  <si>
    <t>Furaha Pole</t>
  </si>
  <si>
    <t>BB09587</t>
  </si>
  <si>
    <t>Fridah Mukusya Mutisya</t>
  </si>
  <si>
    <t>BB10939</t>
  </si>
  <si>
    <t>Fridah Mukuba Marangu</t>
  </si>
  <si>
    <t>LG25569</t>
  </si>
  <si>
    <t>Freidah Wanda</t>
  </si>
  <si>
    <t>LG25586</t>
  </si>
  <si>
    <t>Fredrick Sakaya</t>
  </si>
  <si>
    <t>ABFO054</t>
  </si>
  <si>
    <t>Fredrick Owiye</t>
  </si>
  <si>
    <t>AB018EB</t>
  </si>
  <si>
    <t>Fredrick Ouya</t>
  </si>
  <si>
    <t>LG12148</t>
  </si>
  <si>
    <t>Fredrick Otieno Mitema</t>
  </si>
  <si>
    <t>AB016LJ</t>
  </si>
  <si>
    <t>Fredrick Onyango</t>
  </si>
  <si>
    <t>LG19899</t>
  </si>
  <si>
    <t>Fredrick Ochieng Odhiambo</t>
  </si>
  <si>
    <t>AB025ON</t>
  </si>
  <si>
    <t>Fredrick Kingesi Munyao</t>
  </si>
  <si>
    <t>LG17363</t>
  </si>
  <si>
    <t>Fredrick Kiiru Wanjiru</t>
  </si>
  <si>
    <t>LG24565</t>
  </si>
  <si>
    <t>Fred Omullo Odero</t>
  </si>
  <si>
    <t>LG19623</t>
  </si>
  <si>
    <t>Fred Ogaye Iro</t>
  </si>
  <si>
    <t>AB019VN</t>
  </si>
  <si>
    <t>Frasiah Muhuhi</t>
  </si>
  <si>
    <t>AB019HP</t>
  </si>
  <si>
    <t>Frashier Mwangi</t>
  </si>
  <si>
    <t>LG17924</t>
  </si>
  <si>
    <t>Frankline Mathew Odhiambo</t>
  </si>
  <si>
    <t>BB17924</t>
  </si>
  <si>
    <t>LG15815</t>
  </si>
  <si>
    <t>Francis Sicheyi Imbwenya</t>
  </si>
  <si>
    <t>LG17847</t>
  </si>
  <si>
    <t>Francis Otieno Ajowi</t>
  </si>
  <si>
    <t>LG17790</t>
  </si>
  <si>
    <t>Francis Olumbe Osodo</t>
  </si>
  <si>
    <t>LG24848</t>
  </si>
  <si>
    <t>Francis Mwangi  Maina</t>
  </si>
  <si>
    <t>LG21371</t>
  </si>
  <si>
    <t>Francis Mulwa Musya</t>
  </si>
  <si>
    <t>BB06471</t>
  </si>
  <si>
    <t>Francis Irungu Kareri</t>
  </si>
  <si>
    <t>LG19664</t>
  </si>
  <si>
    <t xml:space="preserve">Francis Gicheru Ruiyi </t>
  </si>
  <si>
    <t xml:space="preserve">Florence Muthoni Mumbi </t>
  </si>
  <si>
    <t>LG18307</t>
  </si>
  <si>
    <t>BB09732</t>
  </si>
  <si>
    <t>Florence Eve Aketi</t>
  </si>
  <si>
    <t>BB09490</t>
  </si>
  <si>
    <t>Florence Chepkogei Gregory</t>
  </si>
  <si>
    <t>LG23413</t>
  </si>
  <si>
    <t>Fiona Lynne Anyango Olang</t>
  </si>
  <si>
    <t>LG24243</t>
  </si>
  <si>
    <t>Fiona Kiprop</t>
  </si>
  <si>
    <t>LG17233</t>
  </si>
  <si>
    <t>Fidel Kituu</t>
  </si>
  <si>
    <t>LG12787</t>
  </si>
  <si>
    <t>Fethar  Kagwiria</t>
  </si>
  <si>
    <t>BB11806</t>
  </si>
  <si>
    <t xml:space="preserve">Festus Kioko </t>
  </si>
  <si>
    <t>Festus Kilole Mweu</t>
  </si>
  <si>
    <t>AB016KM</t>
  </si>
  <si>
    <t xml:space="preserve">Felix Odhiambo </t>
  </si>
  <si>
    <t>BB07608</t>
  </si>
  <si>
    <t>Felix Maingi Kikunga</t>
  </si>
  <si>
    <t>LG24552</t>
  </si>
  <si>
    <t>Felix Kipkurui Bii</t>
  </si>
  <si>
    <t>AB019UG</t>
  </si>
  <si>
    <t>Felix Bundi</t>
  </si>
  <si>
    <t>LG24357</t>
  </si>
  <si>
    <t>Felister Nkipidah</t>
  </si>
  <si>
    <t>Felista Mutindi Muathe</t>
  </si>
  <si>
    <t>LG19543</t>
  </si>
  <si>
    <t>Fatuma Ali Isaack</t>
  </si>
  <si>
    <t>ABFH125</t>
  </si>
  <si>
    <t xml:space="preserve">Farida Halkand </t>
  </si>
  <si>
    <t>BB10335</t>
  </si>
  <si>
    <t>Fanilla Mayaka</t>
  </si>
  <si>
    <t>AB018DN</t>
  </si>
  <si>
    <t>Faith Wanza Kimengele</t>
  </si>
  <si>
    <t>LG24917</t>
  </si>
  <si>
    <t xml:space="preserve">Faith Wanjiru Kaguru </t>
  </si>
  <si>
    <t>BB06000</t>
  </si>
  <si>
    <t>Faith Wanjiku Thiong'o</t>
  </si>
  <si>
    <t>LG19637</t>
  </si>
  <si>
    <t>Faith Nziku Muthinu</t>
  </si>
  <si>
    <t>BB22666</t>
  </si>
  <si>
    <t xml:space="preserve">Faith Musyoki Mwongeli </t>
  </si>
  <si>
    <t>LG24756</t>
  </si>
  <si>
    <t>Faith Mbeke Kiume</t>
  </si>
  <si>
    <t>LG16425</t>
  </si>
  <si>
    <t>Faith Majory Kariuki</t>
  </si>
  <si>
    <t>LG1536S</t>
  </si>
  <si>
    <t>Faith Lumadede</t>
  </si>
  <si>
    <t>LG24858</t>
  </si>
  <si>
    <t>Faith Kavivi Munyoki</t>
  </si>
  <si>
    <t>LG25073</t>
  </si>
  <si>
    <t xml:space="preserve">Faith Kamene Muema </t>
  </si>
  <si>
    <t>AB019FL</t>
  </si>
  <si>
    <t>Faith Kagendo Njeru</t>
  </si>
  <si>
    <t>LG24208</t>
  </si>
  <si>
    <t>Faith Jepkorir Kwambai</t>
  </si>
  <si>
    <t>ABFL113</t>
  </si>
  <si>
    <t>Faith  Lumadede</t>
  </si>
  <si>
    <t>BB24637</t>
  </si>
  <si>
    <t>Faith  Ketter</t>
  </si>
  <si>
    <t>AB0155E</t>
  </si>
  <si>
    <t>Everton Mwaragu</t>
  </si>
  <si>
    <t>LG24326</t>
  </si>
  <si>
    <t>Everlyne Munee Peter</t>
  </si>
  <si>
    <t>ABES753</t>
  </si>
  <si>
    <t xml:space="preserve">Everlyne Mangala Singa </t>
  </si>
  <si>
    <t>AB023F8</t>
  </si>
  <si>
    <t>Evelyne Waithaka</t>
  </si>
  <si>
    <t>LG23018</t>
  </si>
  <si>
    <t>Evans Luhatse Mwisunji</t>
  </si>
  <si>
    <t>LG14392</t>
  </si>
  <si>
    <t>Evans Iteleng Barasa</t>
  </si>
  <si>
    <t>BB15964</t>
  </si>
  <si>
    <t>Evans Githinji</t>
  </si>
  <si>
    <t>LG23531</t>
  </si>
  <si>
    <t>Evance Onyango Okoth</t>
  </si>
  <si>
    <t>Evance Okomo</t>
  </si>
  <si>
    <t>LG20371</t>
  </si>
  <si>
    <t>Evaline maina</t>
  </si>
  <si>
    <t>BB04917</t>
  </si>
  <si>
    <t>Eva Wanjiru Nyota</t>
  </si>
  <si>
    <t>AB025OI</t>
  </si>
  <si>
    <t>Eva Jemutai Rutto</t>
  </si>
  <si>
    <t>AB026V7</t>
  </si>
  <si>
    <t>Eva Chepchirchir Labatt</t>
  </si>
  <si>
    <t>BB06116</t>
  </si>
  <si>
    <t>Eunice Nthambi Mutisya</t>
  </si>
  <si>
    <t>LG12779</t>
  </si>
  <si>
    <t>Eunice Ngendo Kimani</t>
  </si>
  <si>
    <t>ABEK322</t>
  </si>
  <si>
    <t>Eunice Koigu</t>
  </si>
  <si>
    <t>LG13096</t>
  </si>
  <si>
    <t>Eunice Kiriro Msagha</t>
  </si>
  <si>
    <t>BB11099</t>
  </si>
  <si>
    <t>Eunice Gachau</t>
  </si>
  <si>
    <t>LG17834</t>
  </si>
  <si>
    <t>Eunice Chesista Lokicha</t>
  </si>
  <si>
    <t>Eunice Chege</t>
  </si>
  <si>
    <t>AB019VS</t>
  </si>
  <si>
    <t>Eugene Karugu</t>
  </si>
  <si>
    <t>BB11208</t>
  </si>
  <si>
    <t>Esther Wanyugu Rwigi</t>
  </si>
  <si>
    <t>LG24852</t>
  </si>
  <si>
    <t>ESTHER WANJIRU WAIYEGO</t>
  </si>
  <si>
    <t>HISA0006</t>
  </si>
  <si>
    <t>ESTHER WANJIRU GITHUKU</t>
  </si>
  <si>
    <t>LG23389</t>
  </si>
  <si>
    <t>Esther Wamutwa Mutunga</t>
  </si>
  <si>
    <t>AB020F1</t>
  </si>
  <si>
    <t>Esther Wairimu Miricho</t>
  </si>
  <si>
    <t>LG18466</t>
  </si>
  <si>
    <t>Esther Wairimu Maina</t>
  </si>
  <si>
    <t>BB06514</t>
  </si>
  <si>
    <t>Esther Wairimu Kigathi</t>
  </si>
  <si>
    <t>LG25458</t>
  </si>
  <si>
    <t>Esther Nyambura Mathenge</t>
  </si>
  <si>
    <t>LG24851</t>
  </si>
  <si>
    <t>Esther Namunyak Nampaso</t>
  </si>
  <si>
    <t>ABE0125</t>
  </si>
  <si>
    <t>Esther Naipanoi</t>
  </si>
  <si>
    <t>LG15157</t>
  </si>
  <si>
    <t>Esther Mutuku</t>
  </si>
  <si>
    <t>BB16899</t>
  </si>
  <si>
    <t xml:space="preserve">Esther Murugi </t>
  </si>
  <si>
    <t>LG19768</t>
  </si>
  <si>
    <t>Esther Mueni Kilonzo</t>
  </si>
  <si>
    <t>BB09636</t>
  </si>
  <si>
    <t>Esther Mose</t>
  </si>
  <si>
    <t>LG24300</t>
  </si>
  <si>
    <t>Esther Mkabili mwambewa</t>
  </si>
  <si>
    <t>LG19135</t>
  </si>
  <si>
    <t>Esther Maureen Olwasi</t>
  </si>
  <si>
    <t>BB19768</t>
  </si>
  <si>
    <t>Esther Kilonzo</t>
  </si>
  <si>
    <t>AB026V6</t>
  </si>
  <si>
    <t xml:space="preserve">Esther Isoe </t>
  </si>
  <si>
    <t>LG19118</t>
  </si>
  <si>
    <t>Esther  Tatu</t>
  </si>
  <si>
    <t>Espendita Nyaga</t>
  </si>
  <si>
    <t>15017</t>
  </si>
  <si>
    <t>Espendita Muthoni Nyaga</t>
  </si>
  <si>
    <t>LG21443</t>
  </si>
  <si>
    <t>Erick Cheruiyot Kiprono</t>
  </si>
  <si>
    <t>5160</t>
  </si>
  <si>
    <t>Eric Stanley Ng'ethe</t>
  </si>
  <si>
    <t>AB0198T</t>
  </si>
  <si>
    <t>Eric Ouko</t>
  </si>
  <si>
    <t>BB13434</t>
  </si>
  <si>
    <t>Eric Njenjere Mugaa</t>
  </si>
  <si>
    <t>LG16356</t>
  </si>
  <si>
    <t>Eric Mluka Mwabili</t>
  </si>
  <si>
    <t>AB026QX</t>
  </si>
  <si>
    <t>Eric Kibet Rono</t>
  </si>
  <si>
    <t>BB13793</t>
  </si>
  <si>
    <t>Eric  Wambua</t>
  </si>
  <si>
    <t>AB024UK</t>
  </si>
  <si>
    <t>Erastus Sakwa</t>
  </si>
  <si>
    <t>LG15242</t>
  </si>
  <si>
    <t>Erasto Ocholah Omengo</t>
  </si>
  <si>
    <t>Emmy Chepkirui</t>
  </si>
  <si>
    <t>AB021RG</t>
  </si>
  <si>
    <t>Emmanuel Olando</t>
  </si>
  <si>
    <t>LG23185</t>
  </si>
  <si>
    <t>Emmanuel Odhiambo Ouma</t>
  </si>
  <si>
    <t>5185</t>
  </si>
  <si>
    <t>Emmanuel Mwendwa Mutua</t>
  </si>
  <si>
    <t>BB09279</t>
  </si>
  <si>
    <t>Emmanuel Benzi Masoka</t>
  </si>
  <si>
    <t>AB026TP</t>
  </si>
  <si>
    <t>Emmah Bancon</t>
  </si>
  <si>
    <t>LG18613</t>
  </si>
  <si>
    <t>AB019HT</t>
  </si>
  <si>
    <t>Emma Mwilaria</t>
  </si>
  <si>
    <t>LG24762</t>
  </si>
  <si>
    <t>Emma Masiliani Muriuki</t>
  </si>
  <si>
    <t>LG16575</t>
  </si>
  <si>
    <t>Emily Awuor Muga</t>
  </si>
  <si>
    <t>LG23498</t>
  </si>
  <si>
    <t>Emily Adhimbo Odeny</t>
  </si>
  <si>
    <t>LG09390</t>
  </si>
  <si>
    <t>Emilly Osebe Mokano</t>
  </si>
  <si>
    <t>ABEP409</t>
  </si>
  <si>
    <t>Emilly Ekirapa papa</t>
  </si>
  <si>
    <t>LG19417</t>
  </si>
  <si>
    <t>Elvis Wafula Kalizo</t>
  </si>
  <si>
    <t>AB021R1</t>
  </si>
  <si>
    <t>Elpina Kima Mwashao</t>
  </si>
  <si>
    <t>BB17984</t>
  </si>
  <si>
    <t>Elly Alfred Karuba</t>
  </si>
  <si>
    <t>LG24531</t>
  </si>
  <si>
    <t xml:space="preserve">Ellen Makio </t>
  </si>
  <si>
    <t>Elizabeth Syokau Mweu</t>
  </si>
  <si>
    <t>AB025D1</t>
  </si>
  <si>
    <t>Elizabeth Onuko</t>
  </si>
  <si>
    <t>LG21723</t>
  </si>
  <si>
    <t>Elizabeth Nyambura Njoroge</t>
  </si>
  <si>
    <t>LG19039</t>
  </si>
  <si>
    <t>Elizabeth Kimwoma Otsyula</t>
  </si>
  <si>
    <t>BB06460</t>
  </si>
  <si>
    <t>Elizabeth Katethya Mwendwa</t>
  </si>
  <si>
    <t>BB07815</t>
  </si>
  <si>
    <t>Elizabeth Gachingiri</t>
  </si>
  <si>
    <t>AB0203N</t>
  </si>
  <si>
    <t>Eliud Nkunja</t>
  </si>
  <si>
    <t>Eliud Ng'ang'a</t>
  </si>
  <si>
    <t>Eliud Nganga</t>
  </si>
  <si>
    <t>AB011H7</t>
  </si>
  <si>
    <t>Elinisia Pauline Nasumuni</t>
  </si>
  <si>
    <t>BB09575</t>
  </si>
  <si>
    <t>Elijah Nyambichu Omoyo</t>
  </si>
  <si>
    <t>LG24576</t>
  </si>
  <si>
    <t>Eli Onyango Ngoha</t>
  </si>
  <si>
    <t>LG11038</t>
  </si>
  <si>
    <t>Ekirah Gathoni Wachira</t>
  </si>
  <si>
    <t>LG15700</t>
  </si>
  <si>
    <t>Edwin Wafula Manyore</t>
  </si>
  <si>
    <t>ZBRG078</t>
  </si>
  <si>
    <t>Edwin Okero</t>
  </si>
  <si>
    <t>LG25467</t>
  </si>
  <si>
    <t>Edwin Nyakundi</t>
  </si>
  <si>
    <t>LG13671</t>
  </si>
  <si>
    <t>Edward Mwangoma Mulanghui</t>
  </si>
  <si>
    <t>BB20440</t>
  </si>
  <si>
    <t>Edward KIPROTICH Chepngotie</t>
  </si>
  <si>
    <t>ABEK320</t>
  </si>
  <si>
    <t xml:space="preserve">Edward Kiprono Kipchumba </t>
  </si>
  <si>
    <t>LG20973</t>
  </si>
  <si>
    <t>Edward Kiprono</t>
  </si>
  <si>
    <t>BB11097</t>
  </si>
  <si>
    <t>Edna Wangui</t>
  </si>
  <si>
    <t>LG25450</t>
  </si>
  <si>
    <t>LG20174</t>
  </si>
  <si>
    <t>Edna Kerubo Ombati</t>
  </si>
  <si>
    <t>LG24039</t>
  </si>
  <si>
    <t>Edith Wanjiru Gathaci</t>
  </si>
  <si>
    <t>LG24564</t>
  </si>
  <si>
    <t xml:space="preserve">Edith Mumbi Mwanza </t>
  </si>
  <si>
    <t>AB019G4</t>
  </si>
  <si>
    <t>Edith Mercy Wanjiru Waweru</t>
  </si>
  <si>
    <t>LG25095</t>
  </si>
  <si>
    <t xml:space="preserve">Edita Anyango Amadi </t>
  </si>
  <si>
    <t>LG19828</t>
  </si>
  <si>
    <t xml:space="preserve">Edgar Ochieng Okello </t>
  </si>
  <si>
    <t>LG07603</t>
  </si>
  <si>
    <t>Edel Eunice Ngina Katumo</t>
  </si>
  <si>
    <t>BB13799</t>
  </si>
  <si>
    <t>Duncan Omondi Wambani</t>
  </si>
  <si>
    <t>ABDMA87</t>
  </si>
  <si>
    <t>Duncan Iregi Muhoro</t>
  </si>
  <si>
    <t>LG24859</t>
  </si>
  <si>
    <t>Douglas Ondieki  Omagwa</t>
  </si>
  <si>
    <t>LG10923</t>
  </si>
  <si>
    <t>Dorothy Akelo Orwa</t>
  </si>
  <si>
    <t>LG07987</t>
  </si>
  <si>
    <t>Doris Nekoye Malilo</t>
  </si>
  <si>
    <t>LG25226</t>
  </si>
  <si>
    <t>Dorice Amondi Odhiambo</t>
  </si>
  <si>
    <t>BB06140</t>
  </si>
  <si>
    <t>Doreen Naliaka Mutua</t>
  </si>
  <si>
    <t>LG24288</t>
  </si>
  <si>
    <t xml:space="preserve">Doreen Kendi </t>
  </si>
  <si>
    <t>LG21682</t>
  </si>
  <si>
    <t>Dorcus Munanye Ngula</t>
  </si>
  <si>
    <t>ABR0139</t>
  </si>
  <si>
    <t>Dorcus Ayuma Ongondo</t>
  </si>
  <si>
    <t>LG19586</t>
  </si>
  <si>
    <t>Dorcus Ayuma Ongindo</t>
  </si>
  <si>
    <t>AB019Z2</t>
  </si>
  <si>
    <t>Dora Chakua</t>
  </si>
  <si>
    <t>AB030QW</t>
  </si>
  <si>
    <t>Donah Soitah</t>
  </si>
  <si>
    <t>LG18623</t>
  </si>
  <si>
    <t>Dominic Ondong'A Mokua</t>
  </si>
  <si>
    <t>AB020BI</t>
  </si>
  <si>
    <t>Dominic Ngetich</t>
  </si>
  <si>
    <t>AB019ZE</t>
  </si>
  <si>
    <t xml:space="preserve">Dominic Musyoki Muteti </t>
  </si>
  <si>
    <t>AB0154C</t>
  </si>
  <si>
    <t>Dishon Walter Ongayi</t>
  </si>
  <si>
    <t>AB019UB</t>
  </si>
  <si>
    <t>Dickson Ombaba</t>
  </si>
  <si>
    <t>LG24489</t>
  </si>
  <si>
    <t>Dickson Nyangara Ombaba</t>
  </si>
  <si>
    <t>LG17265</t>
  </si>
  <si>
    <t>Dickson Matunda Bosire</t>
  </si>
  <si>
    <t>AB02338</t>
  </si>
  <si>
    <t>Dianah Mauku</t>
  </si>
  <si>
    <t>LG24367</t>
  </si>
  <si>
    <t>Diana Purity Nasong`o</t>
  </si>
  <si>
    <t>AB023UP</t>
  </si>
  <si>
    <t>Diana Ooko</t>
  </si>
  <si>
    <t>ABDK459</t>
  </si>
  <si>
    <t>Diana Nabwile Kituyi</t>
  </si>
  <si>
    <t>LG25459</t>
  </si>
  <si>
    <t>AB020AX</t>
  </si>
  <si>
    <t>Diana Mbuvi</t>
  </si>
  <si>
    <t>LG24304</t>
  </si>
  <si>
    <t>Diana Akinyi Odera</t>
  </si>
  <si>
    <t>LG21530</t>
  </si>
  <si>
    <t>Dennis Mutua Mutiso</t>
  </si>
  <si>
    <t>BB20996</t>
  </si>
  <si>
    <t>Dennis KYALO Kilonzo</t>
  </si>
  <si>
    <t>BB07470</t>
  </si>
  <si>
    <t>Dennis Kamau</t>
  </si>
  <si>
    <t>BB04910</t>
  </si>
  <si>
    <t>Denis Nyongesa Wekesa</t>
  </si>
  <si>
    <t>Denis Munene</t>
  </si>
  <si>
    <t>AB022BT</t>
  </si>
  <si>
    <t>Debra Lang'at</t>
  </si>
  <si>
    <t>BB07356</t>
  </si>
  <si>
    <t>Debra Clementina Oweya</t>
  </si>
  <si>
    <t>LG23232</t>
  </si>
  <si>
    <t>David Wanjohi Wachiuri</t>
  </si>
  <si>
    <t>LG23171</t>
  </si>
  <si>
    <t>David Otieno Adero</t>
  </si>
  <si>
    <t>LG25270</t>
  </si>
  <si>
    <t xml:space="preserve">David Okoth Odongo </t>
  </si>
  <si>
    <t>AB027V9</t>
  </si>
  <si>
    <t>David Mwandembu</t>
  </si>
  <si>
    <t>LG24926</t>
  </si>
  <si>
    <t>David Musee  Vincent</t>
  </si>
  <si>
    <t>David Makari Simiyu</t>
  </si>
  <si>
    <t>AB026BD</t>
  </si>
  <si>
    <t>David Maina</t>
  </si>
  <si>
    <t>BB14996</t>
  </si>
  <si>
    <t>David Luvai Chavasu</t>
  </si>
  <si>
    <t>AB027X3</t>
  </si>
  <si>
    <t>David Kiprono</t>
  </si>
  <si>
    <t>LG25241</t>
  </si>
  <si>
    <t xml:space="preserve">David Keya </t>
  </si>
  <si>
    <t>BB20666</t>
  </si>
  <si>
    <t>David Kariru Macharia</t>
  </si>
  <si>
    <t>BB06988</t>
  </si>
  <si>
    <t>David Kamanza Munee</t>
  </si>
  <si>
    <t>MKL0670</t>
  </si>
  <si>
    <t>Daudi, Hellen Nthenya</t>
  </si>
  <si>
    <t>4090</t>
  </si>
  <si>
    <t>Danson Gilbert Maina Nduyu</t>
  </si>
  <si>
    <t>AB027AG</t>
  </si>
  <si>
    <t>Daniel Otieno Oduor</t>
  </si>
  <si>
    <t>LG06171</t>
  </si>
  <si>
    <t>Daniel Onditi Minyong'a</t>
  </si>
  <si>
    <t>AB0190V</t>
  </si>
  <si>
    <t>Daniel Odhiambo Owino</t>
  </si>
  <si>
    <t>AB027DH</t>
  </si>
  <si>
    <t>Daniel Mbaabu</t>
  </si>
  <si>
    <t>BB14712</t>
  </si>
  <si>
    <t>Daniel Masika Kikuvi</t>
  </si>
  <si>
    <t>LG12463</t>
  </si>
  <si>
    <t>Daniel Kiseli Kimeu</t>
  </si>
  <si>
    <t>AB02916</t>
  </si>
  <si>
    <t>Daniel Kerose</t>
  </si>
  <si>
    <t>LG24554</t>
  </si>
  <si>
    <t>Dancun Kasivi Muthenya</t>
  </si>
  <si>
    <t>BB11923</t>
  </si>
  <si>
    <t>Dan Oluoch Olale</t>
  </si>
  <si>
    <t>LG20050</t>
  </si>
  <si>
    <t>Damaris  Munyao</t>
  </si>
  <si>
    <t>AB0229U</t>
  </si>
  <si>
    <t>Daisy Wanjiku Wanjohi</t>
  </si>
  <si>
    <t>AB019I1</t>
  </si>
  <si>
    <t>Daisy Adhiambo Odhiambo</t>
  </si>
  <si>
    <t>ABCC553</t>
  </si>
  <si>
    <t>Cythia Chahele</t>
  </si>
  <si>
    <t>LG24206</t>
  </si>
  <si>
    <t>Cynthia Katumbi Matheka</t>
  </si>
  <si>
    <t>LG24393</t>
  </si>
  <si>
    <t>Cynthia Jill Akoth</t>
  </si>
  <si>
    <t>LG20692</t>
  </si>
  <si>
    <t>Cynthia Agiza Chahale</t>
  </si>
  <si>
    <t>LG25070</t>
  </si>
  <si>
    <t xml:space="preserve">Cynaida Miriam Kwendo </t>
  </si>
  <si>
    <t>LG25028</t>
  </si>
  <si>
    <t>Cosmon Langaat Kipkorir</t>
  </si>
  <si>
    <t>LG06969</t>
  </si>
  <si>
    <t>Cornelius Joseph Ndemwa</t>
  </si>
  <si>
    <t>AB02898</t>
  </si>
  <si>
    <t>Constance Mutisya</t>
  </si>
  <si>
    <t>AB030WO</t>
  </si>
  <si>
    <t>Consolata Donde</t>
  </si>
  <si>
    <t>LG23480</t>
  </si>
  <si>
    <t>Concepta Mututa</t>
  </si>
  <si>
    <t>ABCMAAY</t>
  </si>
  <si>
    <t>Concepta  Mututa</t>
  </si>
  <si>
    <t>BB13815</t>
  </si>
  <si>
    <t>Collins Sambai Ngeno</t>
  </si>
  <si>
    <t>LG25466</t>
  </si>
  <si>
    <t xml:space="preserve">Collins Mwangi </t>
  </si>
  <si>
    <t>BB21109</t>
  </si>
  <si>
    <t>Collins MWANGANGI Maweu</t>
  </si>
  <si>
    <t>AB022GO</t>
  </si>
  <si>
    <t>Collins Amolo</t>
  </si>
  <si>
    <t>LG23174</t>
  </si>
  <si>
    <t>Clinton Kegengo Morang'a</t>
  </si>
  <si>
    <t>LG22950</t>
  </si>
  <si>
    <t>Cleophatra  Jemutai</t>
  </si>
  <si>
    <t>AB0278N</t>
  </si>
  <si>
    <t>Clementina Kavila</t>
  </si>
  <si>
    <t>AB022XC</t>
  </si>
  <si>
    <t>Clarkson Owiti</t>
  </si>
  <si>
    <t>9182</t>
  </si>
  <si>
    <t>Cicily Kanini Mwaniki</t>
  </si>
  <si>
    <t>LG24947</t>
  </si>
  <si>
    <t>Christopher Musyoka Savali</t>
  </si>
  <si>
    <t>LG12141</t>
  </si>
  <si>
    <t>Christopher Juma Omondi</t>
  </si>
  <si>
    <t>AB006DO</t>
  </si>
  <si>
    <t xml:space="preserve">Christine Onyango </t>
  </si>
  <si>
    <t>BB07585</t>
  </si>
  <si>
    <t xml:space="preserve">Christine Odhiambo </t>
  </si>
  <si>
    <t>AB027Z9</t>
  </si>
  <si>
    <t>Christine Obwanga</t>
  </si>
  <si>
    <t>AB017WP</t>
  </si>
  <si>
    <t>Christine Ndululu Sila</t>
  </si>
  <si>
    <t>ABCMAC2</t>
  </si>
  <si>
    <t>Christine Mutunga</t>
  </si>
  <si>
    <t>BB11875</t>
  </si>
  <si>
    <t>Christine Awuor Okwach</t>
  </si>
  <si>
    <t>LG20103</t>
  </si>
  <si>
    <t>Christer Adhiambo Ochieng</t>
  </si>
  <si>
    <t>AB027DB</t>
  </si>
  <si>
    <t>Christa m mutisya</t>
  </si>
  <si>
    <t>AB027OB</t>
  </si>
  <si>
    <t>LG25247</t>
  </si>
  <si>
    <t xml:space="preserve">Chrispus Wakuloba </t>
  </si>
  <si>
    <t>LG16011</t>
  </si>
  <si>
    <t>Chrispinus Juma Wanamu</t>
  </si>
  <si>
    <t>LG20959</t>
  </si>
  <si>
    <t>Chemjor  Cherongony</t>
  </si>
  <si>
    <t>LG20776</t>
  </si>
  <si>
    <t xml:space="preserve">Chelangat Jacueline </t>
  </si>
  <si>
    <t>LG22541</t>
  </si>
  <si>
    <t>Charlottee Khanyelele Chenge</t>
  </si>
  <si>
    <t>LG25575</t>
  </si>
  <si>
    <t xml:space="preserve">Charlotte Zickie Akinyi </t>
  </si>
  <si>
    <t>LG06957</t>
  </si>
  <si>
    <t>Charlotte Chebet Mibei</t>
  </si>
  <si>
    <t>LG21279</t>
  </si>
  <si>
    <t>Charles Santos Owiti</t>
  </si>
  <si>
    <t>LG20993</t>
  </si>
  <si>
    <t>Charles OMONDI Oluoch</t>
  </si>
  <si>
    <t>LG24856</t>
  </si>
  <si>
    <t xml:space="preserve">Charles Okoth Agango </t>
  </si>
  <si>
    <t>LG12933</t>
  </si>
  <si>
    <t>Charles Njue Gichuki</t>
  </si>
  <si>
    <t>AB016LR</t>
  </si>
  <si>
    <t>Charles Mwaivu</t>
  </si>
  <si>
    <t>LG13144</t>
  </si>
  <si>
    <t>Charles Mutiso Kisilu</t>
  </si>
  <si>
    <t>BB09368</t>
  </si>
  <si>
    <t>Charles Mathenge Maina</t>
  </si>
  <si>
    <t>AB01721</t>
  </si>
  <si>
    <t>Charles Masai</t>
  </si>
  <si>
    <t>AB019FY</t>
  </si>
  <si>
    <t>Charles Gichu</t>
  </si>
  <si>
    <t>ABCG428</t>
  </si>
  <si>
    <t>LG15275</t>
  </si>
  <si>
    <t>Charity Wangui Mwangi</t>
  </si>
  <si>
    <t>BB13415</t>
  </si>
  <si>
    <t>Charity Wairimu Kimani</t>
  </si>
  <si>
    <t>LG15805</t>
  </si>
  <si>
    <t>Charity Njeri Ndungu</t>
  </si>
  <si>
    <t>LG23057</t>
  </si>
  <si>
    <t>Cephas Mukundi Gitemba</t>
  </si>
  <si>
    <t>LG07014</t>
  </si>
  <si>
    <t>Celina Ngina Mulwa</t>
  </si>
  <si>
    <t xml:space="preserve">Cecily Mwaniki </t>
  </si>
  <si>
    <t>Cecilia Wambui Wanjohi</t>
  </si>
  <si>
    <t>LG18177</t>
  </si>
  <si>
    <t>Cecilia Ndaisi Muasya</t>
  </si>
  <si>
    <t>AB026KD</t>
  </si>
  <si>
    <t>Cecilia Muendo</t>
  </si>
  <si>
    <t>LG12120</t>
  </si>
  <si>
    <t>Cecilia Chepkemboi Samoei</t>
  </si>
  <si>
    <t>LG18171</t>
  </si>
  <si>
    <t>Cecelia Ndasi Muasya</t>
  </si>
  <si>
    <t>AB015NU</t>
  </si>
  <si>
    <t>Cathrine Sonya Airo</t>
  </si>
  <si>
    <t>LG24616</t>
  </si>
  <si>
    <t>Catherine  Kavata Kyenze</t>
  </si>
  <si>
    <t>AB011JJ</t>
  </si>
  <si>
    <t>Catherine Wanjiku Kamau</t>
  </si>
  <si>
    <t>Catherine Wambui Mwangi</t>
  </si>
  <si>
    <t>ABC0246</t>
  </si>
  <si>
    <t>Catherine Ogola</t>
  </si>
  <si>
    <t>BB07498</t>
  </si>
  <si>
    <t>Catherine Njambi Nderitu</t>
  </si>
  <si>
    <t>BB23136</t>
  </si>
  <si>
    <t>Catherine Dzame</t>
  </si>
  <si>
    <t>LG23136</t>
  </si>
  <si>
    <t>Catherine Alice Dzame</t>
  </si>
  <si>
    <t>LG25029</t>
  </si>
  <si>
    <t xml:space="preserve">Catherine Akinyi Ogola </t>
  </si>
  <si>
    <t>AB019GP</t>
  </si>
  <si>
    <t>Catherine Akinyi</t>
  </si>
  <si>
    <t>LG21130</t>
  </si>
  <si>
    <t>Catherine  Nkirote</t>
  </si>
  <si>
    <t>BB12753</t>
  </si>
  <si>
    <t>Catherine  Kimuya</t>
  </si>
  <si>
    <t>LG17699</t>
  </si>
  <si>
    <t>Casty Gakii Nyaga</t>
  </si>
  <si>
    <t>AB020DY</t>
  </si>
  <si>
    <t>Casper Ochieng</t>
  </si>
  <si>
    <t>AB019GV</t>
  </si>
  <si>
    <t>Carroline Owino</t>
  </si>
  <si>
    <t>LG25063</t>
  </si>
  <si>
    <t xml:space="preserve">Carrington Roderique Dulo </t>
  </si>
  <si>
    <t>LG22577</t>
  </si>
  <si>
    <t>Carolyne Waithira Njeri</t>
  </si>
  <si>
    <t>LG24369</t>
  </si>
  <si>
    <t>Carolyne Taabu Were</t>
  </si>
  <si>
    <t>LG23245</t>
  </si>
  <si>
    <t>Carolyne Nekesa Khakina</t>
  </si>
  <si>
    <t>BBAB00PJ</t>
  </si>
  <si>
    <t>Carolyne Muthee</t>
  </si>
  <si>
    <t>AB023X1</t>
  </si>
  <si>
    <t>Carolyne Munini Mule</t>
  </si>
  <si>
    <t>Carolyne Jenypher Ochieng</t>
  </si>
  <si>
    <t>LG12140</t>
  </si>
  <si>
    <t>Carolyne Anyango Ondiege</t>
  </si>
  <si>
    <t>LG23329</t>
  </si>
  <si>
    <t>Carolyne  Jelagat</t>
  </si>
  <si>
    <t>BB14966</t>
  </si>
  <si>
    <t>Caroline Wawira Mugo</t>
  </si>
  <si>
    <t>Caroline Wangari Esther</t>
  </si>
  <si>
    <t>BB25127</t>
  </si>
  <si>
    <t xml:space="preserve">Caroline Wachera Wambugu </t>
  </si>
  <si>
    <t>BB18577</t>
  </si>
  <si>
    <t>Caroline Nduta Mwangi</t>
  </si>
  <si>
    <t>LG25064</t>
  </si>
  <si>
    <t xml:space="preserve">Caroline Nanjala Mukhebi </t>
  </si>
  <si>
    <t>AB019J9</t>
  </si>
  <si>
    <t>Caroline Mbithe</t>
  </si>
  <si>
    <t>AB011MZ</t>
  </si>
  <si>
    <t>Caroline Manoa</t>
  </si>
  <si>
    <t>AB01609</t>
  </si>
  <si>
    <t>Caroline Kwamboka Kiagu</t>
  </si>
  <si>
    <t>LG09498</t>
  </si>
  <si>
    <t>Caroline Katila Marumbu</t>
  </si>
  <si>
    <t>BB05947</t>
  </si>
  <si>
    <t>Caroline Gatakaa Gitari</t>
  </si>
  <si>
    <t>BB15225</t>
  </si>
  <si>
    <t>Caroline Cherotich</t>
  </si>
  <si>
    <t>AB0224</t>
  </si>
  <si>
    <t>Caroline Chepkemoi</t>
  </si>
  <si>
    <t>LG16651</t>
  </si>
  <si>
    <t>Caroline Atieno Oyola</t>
  </si>
  <si>
    <t>LG25598</t>
  </si>
  <si>
    <t>Caroline Achieng Ongeche</t>
  </si>
  <si>
    <t>LG23208</t>
  </si>
  <si>
    <t>Caroline  Matany</t>
  </si>
  <si>
    <t>AB019FO</t>
  </si>
  <si>
    <t>Caroli Owuor</t>
  </si>
  <si>
    <t>ABCN459</t>
  </si>
  <si>
    <t>Carol Wambui Ndungu</t>
  </si>
  <si>
    <t>LG19446</t>
  </si>
  <si>
    <t xml:space="preserve">Carol Rehema Asewe </t>
  </si>
  <si>
    <t>AB019ZB</t>
  </si>
  <si>
    <t>Carol Mutiso</t>
  </si>
  <si>
    <t>ABCK602</t>
  </si>
  <si>
    <t>Carol Kaviti</t>
  </si>
  <si>
    <t>LG20416</t>
  </si>
  <si>
    <t>Carol  Kaviti</t>
  </si>
  <si>
    <t>AB031M8</t>
  </si>
  <si>
    <t>Carlton Mutiso</t>
  </si>
  <si>
    <t>AB024E7</t>
  </si>
  <si>
    <t>Caren Kimutai</t>
  </si>
  <si>
    <t>ABCW533</t>
  </si>
  <si>
    <t>Caren Katunge Wambua</t>
  </si>
  <si>
    <t>AB024TH</t>
  </si>
  <si>
    <t>Caren Cherop</t>
  </si>
  <si>
    <t>AB015ME</t>
  </si>
  <si>
    <t>Calvin Ongele</t>
  </si>
  <si>
    <t>AB025OS</t>
  </si>
  <si>
    <t>Caitline Mbithe Muendo</t>
  </si>
  <si>
    <t>LG18269</t>
  </si>
  <si>
    <t>Bundi Kinyua Douglas</t>
  </si>
  <si>
    <t>AB027LK</t>
  </si>
  <si>
    <t>Bryan Njogu</t>
  </si>
  <si>
    <t>LG24541</t>
  </si>
  <si>
    <t>Bruce Titus Korinda</t>
  </si>
  <si>
    <t>AB026GL</t>
  </si>
  <si>
    <t>Brnice Mbinya Mutiso</t>
  </si>
  <si>
    <t>AB0277A</t>
  </si>
  <si>
    <t>Bridgit Mutinda</t>
  </si>
  <si>
    <t>AB0150B</t>
  </si>
  <si>
    <t>Bridget Mugira</t>
  </si>
  <si>
    <t>LG24543</t>
  </si>
  <si>
    <t>Brian Owino</t>
  </si>
  <si>
    <t>LG25468</t>
  </si>
  <si>
    <t>Brian Osumu Arasa</t>
  </si>
  <si>
    <t>ABBO096</t>
  </si>
  <si>
    <t>Brian Omondi</t>
  </si>
  <si>
    <t>AB0204N</t>
  </si>
  <si>
    <t>Brian Njoroge Ndubissi</t>
  </si>
  <si>
    <t>LG24580</t>
  </si>
  <si>
    <t>Brian Mutua</t>
  </si>
  <si>
    <t>Brian Mitchie Njoroge</t>
  </si>
  <si>
    <t>LG24548</t>
  </si>
  <si>
    <t>Brian Kidula</t>
  </si>
  <si>
    <t>AB0231K</t>
  </si>
  <si>
    <t>Brian Kamau Ndungu</t>
  </si>
  <si>
    <t>AB0202I</t>
  </si>
  <si>
    <t>Brian Gwayi</t>
  </si>
  <si>
    <t>ABBO102</t>
  </si>
  <si>
    <t>Brender Ochieng</t>
  </si>
  <si>
    <t>LG16647</t>
  </si>
  <si>
    <t>AB015OE</t>
  </si>
  <si>
    <t>Brenda Nyakiongora</t>
  </si>
  <si>
    <t>LG19113</t>
  </si>
  <si>
    <t>Brenda Awuor Omolo</t>
  </si>
  <si>
    <t>LG24606</t>
  </si>
  <si>
    <t>Boniface Mutuma Thuranira</t>
  </si>
  <si>
    <t>LG22586</t>
  </si>
  <si>
    <t>Boniface Kyengo</t>
  </si>
  <si>
    <t>AB0154N</t>
  </si>
  <si>
    <t>Bonface Sifuna Situdungu</t>
  </si>
  <si>
    <t>LG24758</t>
  </si>
  <si>
    <t>Bonface Nzau Mutuku</t>
  </si>
  <si>
    <t>AB017VD</t>
  </si>
  <si>
    <t>Billy Muthomi Mugambi</t>
  </si>
  <si>
    <t>LG18306</t>
  </si>
  <si>
    <t xml:space="preserve">Bilhah Wachira </t>
  </si>
  <si>
    <t>ABBW193</t>
  </si>
  <si>
    <t>Bilhah Gakenia Wachira</t>
  </si>
  <si>
    <t>LG25249</t>
  </si>
  <si>
    <t>Betty Mwikali Muli</t>
  </si>
  <si>
    <t>AB020C3</t>
  </si>
  <si>
    <t>Betty Chesaina</t>
  </si>
  <si>
    <t>LG25448</t>
  </si>
  <si>
    <t xml:space="preserve">Betty Chebet Mitei </t>
  </si>
  <si>
    <t>LG25094</t>
  </si>
  <si>
    <t xml:space="preserve">Betrina Maghema Mwamburi </t>
  </si>
  <si>
    <t>LG18500</t>
  </si>
  <si>
    <t>Betlina Wali Chanya</t>
  </si>
  <si>
    <t>LG21882</t>
  </si>
  <si>
    <t>Betcy Chepkoech Ngeno</t>
  </si>
  <si>
    <t>AB027DP</t>
  </si>
  <si>
    <t>Beryl Akinyi Barasa</t>
  </si>
  <si>
    <t>LG20062</t>
  </si>
  <si>
    <t>Benter Awuor Ogada</t>
  </si>
  <si>
    <t>LG15782</t>
  </si>
  <si>
    <t>Benstern Lukorito Mukhebo</t>
  </si>
  <si>
    <t>LG24949</t>
  </si>
  <si>
    <t xml:space="preserve">Benson Wachira Miugo </t>
  </si>
  <si>
    <t>LG05960</t>
  </si>
  <si>
    <t>Benson Sammy Nzangi</t>
  </si>
  <si>
    <t>AB0238B</t>
  </si>
  <si>
    <t>Benson Owuonda</t>
  </si>
  <si>
    <t>LG17779</t>
  </si>
  <si>
    <t>Benson Macdowell Mulaha</t>
  </si>
  <si>
    <t>LG24538</t>
  </si>
  <si>
    <t>Benson Kyalo Mulinge</t>
  </si>
  <si>
    <t>LG12429</t>
  </si>
  <si>
    <t>Benson Kisuna Kioko</t>
  </si>
  <si>
    <t>LG25581</t>
  </si>
  <si>
    <t xml:space="preserve">Benjamin Muthama Musyoka </t>
  </si>
  <si>
    <t>LG24321</t>
  </si>
  <si>
    <t>Benard Ngeno</t>
  </si>
  <si>
    <t>LG20149</t>
  </si>
  <si>
    <t>Benard Muchira Kiruri</t>
  </si>
  <si>
    <t>LG23230</t>
  </si>
  <si>
    <t>Benard Kipkoech Ngetich</t>
  </si>
  <si>
    <t>AB0270X</t>
  </si>
  <si>
    <t>Benard Ashona Kiveu</t>
  </si>
  <si>
    <t>AB02792</t>
  </si>
  <si>
    <t>Benadictor Mathinji</t>
  </si>
  <si>
    <t>LG23008</t>
  </si>
  <si>
    <t>Ben  Gachie</t>
  </si>
  <si>
    <t>LG14469</t>
  </si>
  <si>
    <t>Beatrice Wanjiru Mwaniki</t>
  </si>
  <si>
    <t>BB7631</t>
  </si>
  <si>
    <t>Beatrice Oluoch</t>
  </si>
  <si>
    <t>BB07396</t>
  </si>
  <si>
    <t>Beatrice Nyamwange Ongaga</t>
  </si>
  <si>
    <t>LG21472</t>
  </si>
  <si>
    <t>AB020B5</t>
  </si>
  <si>
    <t>Beatrice Mwikali Munyoki</t>
  </si>
  <si>
    <t>BB09576</t>
  </si>
  <si>
    <t>Beatrice Mukuhi Ndung'u</t>
  </si>
  <si>
    <t>LG24246</t>
  </si>
  <si>
    <t>Beatrice Molly Akinyi</t>
  </si>
  <si>
    <t>BBAB010GT</t>
  </si>
  <si>
    <t>Beatrice Chepkorir</t>
  </si>
  <si>
    <t>LG24339</t>
  </si>
  <si>
    <t>LG18678</t>
  </si>
  <si>
    <t>Beatrice Chepkemoi Mwaura</t>
  </si>
  <si>
    <t>LG20684</t>
  </si>
  <si>
    <t>Beatrice CHELANGAT Rotich</t>
  </si>
  <si>
    <t>LG19563</t>
  </si>
  <si>
    <t>Beatrice Anyango Odingo</t>
  </si>
  <si>
    <t>AB011GS</t>
  </si>
  <si>
    <t>Beatrice Akinyi Nyagol</t>
  </si>
  <si>
    <t>BB14975</t>
  </si>
  <si>
    <t>Beatrice  Kubasu</t>
  </si>
  <si>
    <t>LG15842</t>
  </si>
  <si>
    <t>Basiliano Juma Omwitakho</t>
  </si>
  <si>
    <t>BB16278</t>
  </si>
  <si>
    <t>Bashir Okari Oroko</t>
  </si>
  <si>
    <t>ABBK320</t>
  </si>
  <si>
    <t>Barako Katelo</t>
  </si>
  <si>
    <t>LG19904</t>
  </si>
  <si>
    <t>Bahati Juma</t>
  </si>
  <si>
    <t>LG19094</t>
  </si>
  <si>
    <t>Bahati Haboya Juma</t>
  </si>
  <si>
    <t>LG24894</t>
  </si>
  <si>
    <t>Aysha Morowa</t>
  </si>
  <si>
    <t>AB01722</t>
  </si>
  <si>
    <t>Austin Ogola</t>
  </si>
  <si>
    <t>BB09216</t>
  </si>
  <si>
    <t>Augustus Ndambuki</t>
  </si>
  <si>
    <t>BB05811</t>
  </si>
  <si>
    <t>Augastine  King'oku</t>
  </si>
  <si>
    <t>LG11896</t>
  </si>
  <si>
    <t>Asha Cherotich Naibei</t>
  </si>
  <si>
    <t>LG24535</t>
  </si>
  <si>
    <t xml:space="preserve">Arnold Maalo </t>
  </si>
  <si>
    <t>LG23319</t>
  </si>
  <si>
    <t>Areri Oguta Felix</t>
  </si>
  <si>
    <t>LG24221</t>
  </si>
  <si>
    <t>Antony Nabiswa Nalianya</t>
  </si>
  <si>
    <t>BB0174W</t>
  </si>
  <si>
    <t>Anthony Yano</t>
  </si>
  <si>
    <t>5166</t>
  </si>
  <si>
    <t>Anthony Wanyoike Gitau</t>
  </si>
  <si>
    <t>LG24577</t>
  </si>
  <si>
    <t>Anthony Ochieng  Otieno</t>
  </si>
  <si>
    <t>Anthony Ngila</t>
  </si>
  <si>
    <t>BB21986</t>
  </si>
  <si>
    <t>Anthony Makutubu Netia</t>
  </si>
  <si>
    <t>AB0276M</t>
  </si>
  <si>
    <t>Anthony Macharia</t>
  </si>
  <si>
    <t>BB06325</t>
  </si>
  <si>
    <t>Anthony Gitau</t>
  </si>
  <si>
    <t>AB020AY</t>
  </si>
  <si>
    <t>Anold Kipserem</t>
  </si>
  <si>
    <t>LG22716</t>
  </si>
  <si>
    <t>Annet Nyamulavu William</t>
  </si>
  <si>
    <t>Anne Wanjiru Muchiri</t>
  </si>
  <si>
    <t>5199</t>
  </si>
  <si>
    <t>Anne Wambui Kadenge</t>
  </si>
  <si>
    <t>LG11894</t>
  </si>
  <si>
    <t>Anne Njeri Muikia</t>
  </si>
  <si>
    <t>AB018KC</t>
  </si>
  <si>
    <t>Anne Mukure</t>
  </si>
  <si>
    <t>BB03500</t>
  </si>
  <si>
    <t>Anne Margaret Kinyanjui</t>
  </si>
  <si>
    <t>LG24362</t>
  </si>
  <si>
    <t xml:space="preserve">Annastacia Syombua Mwanzia </t>
  </si>
  <si>
    <t>BB07872</t>
  </si>
  <si>
    <t>Annalisa Mbula Muasya</t>
  </si>
  <si>
    <t>BB25486</t>
  </si>
  <si>
    <t xml:space="preserve">Annah Njoroge </t>
  </si>
  <si>
    <t>SM19458</t>
  </si>
  <si>
    <t>Annah Mailu</t>
  </si>
  <si>
    <t>LG19458</t>
  </si>
  <si>
    <t>AB025CQ</t>
  </si>
  <si>
    <t>Annah Kimanzi</t>
  </si>
  <si>
    <t>LG24532</t>
  </si>
  <si>
    <t>Ann Wanjiru Njoroge</t>
  </si>
  <si>
    <t>LG12718</t>
  </si>
  <si>
    <t>Ann Nyambura Kimani</t>
  </si>
  <si>
    <t>LG17598</t>
  </si>
  <si>
    <t>Ann Mary Wamaya Waseka</t>
  </si>
  <si>
    <t>Ann Marion Wanjira Muthoni</t>
  </si>
  <si>
    <t>AB027ZF</t>
  </si>
  <si>
    <t>Ann Lawrence</t>
  </si>
  <si>
    <t>LG25069</t>
  </si>
  <si>
    <t xml:space="preserve">Ann Kaptuya Kiprotich </t>
  </si>
  <si>
    <t>AB0218Y</t>
  </si>
  <si>
    <t>Ann Gathoni Kariuki</t>
  </si>
  <si>
    <t>BB09292</t>
  </si>
  <si>
    <t>Ann Chebet Chebet</t>
  </si>
  <si>
    <t>AB025BW</t>
  </si>
  <si>
    <t>Angelyne Ochieng'</t>
  </si>
  <si>
    <t>AB023XH</t>
  </si>
  <si>
    <t>Angellah Situma Naliaka</t>
  </si>
  <si>
    <t>AB019VM</t>
  </si>
  <si>
    <t>Angeline Nduse Ndeli</t>
  </si>
  <si>
    <t>LG18289</t>
  </si>
  <si>
    <t>Angela Waigumo Muchangi</t>
  </si>
  <si>
    <t>LG25548</t>
  </si>
  <si>
    <t>Angela Teresia Kingai</t>
  </si>
  <si>
    <t>LG24290</t>
  </si>
  <si>
    <t>Andrew Rose Maluki</t>
  </si>
  <si>
    <t>AB024FG</t>
  </si>
  <si>
    <t>Andrew Luseno</t>
  </si>
  <si>
    <t>LG06961</t>
  </si>
  <si>
    <t xml:space="preserve">Andisi Marion </t>
  </si>
  <si>
    <t>ABAN613</t>
  </si>
  <si>
    <t>Ancetar Ngungu Mulili</t>
  </si>
  <si>
    <t>LG19905</t>
  </si>
  <si>
    <t>Anastacia Nyawira Njoroge</t>
  </si>
  <si>
    <t>BB10542</t>
  </si>
  <si>
    <t>Amos Mwangi Waithaka</t>
  </si>
  <si>
    <t>AB027CT</t>
  </si>
  <si>
    <t>Amorkirsten Mabubi</t>
  </si>
  <si>
    <t>BB12722</t>
  </si>
  <si>
    <t>Amina Mohamed Ibrahim</t>
  </si>
  <si>
    <t>LG23502</t>
  </si>
  <si>
    <t>Alphonce Otieno Okeyo</t>
  </si>
  <si>
    <t>LG24593</t>
  </si>
  <si>
    <t>Alphonce Muendo Mwakuya</t>
  </si>
  <si>
    <t>HISA0008</t>
  </si>
  <si>
    <t>ALPHAYO NYAKUNDI</t>
  </si>
  <si>
    <t>LG23550</t>
  </si>
  <si>
    <t>Ally Joel Osiare</t>
  </si>
  <si>
    <t>AB022TJ</t>
  </si>
  <si>
    <t>Alloys Onyisi Angaga</t>
  </si>
  <si>
    <t>LG23433</t>
  </si>
  <si>
    <t>Allan Otieno Ogola</t>
  </si>
  <si>
    <t>LG24395</t>
  </si>
  <si>
    <t>Allan Mmbaya Kai</t>
  </si>
  <si>
    <t>BB23218</t>
  </si>
  <si>
    <t>Allan Kemboi Kpsang</t>
  </si>
  <si>
    <t>LG25597</t>
  </si>
  <si>
    <t xml:space="preserve">Alice Wanja Kabaru </t>
  </si>
  <si>
    <t>LG17858</t>
  </si>
  <si>
    <t>Alice Minage Okole</t>
  </si>
  <si>
    <t>AB0171Z</t>
  </si>
  <si>
    <t>Alice Kiragu</t>
  </si>
  <si>
    <t>BB06826</t>
  </si>
  <si>
    <t xml:space="preserve">Alice Kellong </t>
  </si>
  <si>
    <t>LG18902</t>
  </si>
  <si>
    <t>Alice Akinyi Ogutu</t>
  </si>
  <si>
    <t>LG06454</t>
  </si>
  <si>
    <t>Alice Achieng Wamidha</t>
  </si>
  <si>
    <t>BB09243</t>
  </si>
  <si>
    <t>Ali Mohamed Mohamed</t>
  </si>
  <si>
    <t>BB07558</t>
  </si>
  <si>
    <t>Alfonce Nguu Mbengei</t>
  </si>
  <si>
    <t>LG17833</t>
  </si>
  <si>
    <t>Alexender Lotiolo Ptiyos</t>
  </si>
  <si>
    <t>AB026QM</t>
  </si>
  <si>
    <t>Alexandria Murage</t>
  </si>
  <si>
    <t>AB023SI</t>
  </si>
  <si>
    <t>Alexander Mutia</t>
  </si>
  <si>
    <t>AB019LB</t>
  </si>
  <si>
    <t>Alex Onkwani Ombworo</t>
  </si>
  <si>
    <t>LG10733</t>
  </si>
  <si>
    <t>Alex Mutisya Wambua</t>
  </si>
  <si>
    <t xml:space="preserve">Abednego Kitonga Munguti Abednego </t>
  </si>
  <si>
    <t>Alex Mutinda Matheka</t>
  </si>
  <si>
    <t>LG24226</t>
  </si>
  <si>
    <t>Alex Muhoro Muito</t>
  </si>
  <si>
    <t>BB07419</t>
  </si>
  <si>
    <t>Alex Gathui Muthua</t>
  </si>
  <si>
    <t>Alex  Kavoi</t>
  </si>
  <si>
    <t>LG24305</t>
  </si>
  <si>
    <t>Akuma Dancan Bikundo</t>
  </si>
  <si>
    <t>AB010VD</t>
  </si>
  <si>
    <t>Akuku Phelix</t>
  </si>
  <si>
    <t>AB019XH</t>
  </si>
  <si>
    <t>Aisha Nabwire Ahmed</t>
  </si>
  <si>
    <t>13035</t>
  </si>
  <si>
    <t>Aida Wanjiku Kimani</t>
  </si>
  <si>
    <t>LG16991</t>
  </si>
  <si>
    <t>Agnetta Kavulu Musangi</t>
  </si>
  <si>
    <t>BB11463</t>
  </si>
  <si>
    <t>Agnes Wanjiku Kiruai</t>
  </si>
  <si>
    <t>BB10710</t>
  </si>
  <si>
    <t>Agnes Wangari Waithira</t>
  </si>
  <si>
    <t>LG10710</t>
  </si>
  <si>
    <t xml:space="preserve">Agnes Wangari Waithera </t>
  </si>
  <si>
    <t>Agnes Ngusye Mulinge</t>
  </si>
  <si>
    <t>AB023JL</t>
  </si>
  <si>
    <t>Agnes Kilungu</t>
  </si>
  <si>
    <t>LG09213</t>
  </si>
  <si>
    <t>Agnes Karimi Imanene</t>
  </si>
  <si>
    <t>AB011JV</t>
  </si>
  <si>
    <t>Agnes Amata Adhiambo</t>
  </si>
  <si>
    <t>LG11997</t>
  </si>
  <si>
    <t>Aggrey Imbai Azenga</t>
  </si>
  <si>
    <t>AB019WO</t>
  </si>
  <si>
    <t>Adrianna Lang'at</t>
  </si>
  <si>
    <t>LG24887</t>
  </si>
  <si>
    <t xml:space="preserve">Adan Hussein Abdulla </t>
  </si>
  <si>
    <t>BB17115</t>
  </si>
  <si>
    <t>LG13467</t>
  </si>
  <si>
    <t>Abraham Peter Ogola</t>
  </si>
  <si>
    <t>BB21413</t>
  </si>
  <si>
    <t>Abishag Joy Muriuki</t>
  </si>
  <si>
    <t>BB05722</t>
  </si>
  <si>
    <t>Abigael Manoti Onyancha</t>
  </si>
  <si>
    <t>Abigael Kavinya Joseph</t>
  </si>
  <si>
    <t>LG24344</t>
  </si>
  <si>
    <t>Abel Nyamboki Ondima</t>
  </si>
  <si>
    <t>ZBRG051</t>
  </si>
  <si>
    <t>Abednego Mwinzi</t>
  </si>
  <si>
    <t>LG19364</t>
  </si>
  <si>
    <t>Abednego Lucas Olwako</t>
  </si>
  <si>
    <t>BB13134</t>
  </si>
  <si>
    <t>Abdulrahman Abdallah Kofa Hyssein</t>
  </si>
  <si>
    <t>LG24888</t>
  </si>
  <si>
    <t xml:space="preserve">Abdullahi Alio Sheikh </t>
  </si>
  <si>
    <t>BB18983</t>
  </si>
  <si>
    <t>Abdinasir Hussein Abdullahi</t>
  </si>
  <si>
    <t>LG24893</t>
  </si>
  <si>
    <t xml:space="preserve">Abdikafar Hassan Ibrahim </t>
  </si>
  <si>
    <t>LG24897</t>
  </si>
  <si>
    <t xml:space="preserve">Abdiaziz Ali Abdi </t>
  </si>
  <si>
    <t>LG24922</t>
  </si>
  <si>
    <t xml:space="preserve"> Hassan Abdi Ali </t>
  </si>
  <si>
    <t/>
  </si>
  <si>
    <t>AB030XO</t>
  </si>
  <si>
    <t>Moses Baki</t>
  </si>
  <si>
    <t>AB029OT</t>
  </si>
  <si>
    <t>Jane Maria</t>
  </si>
  <si>
    <t>AB029OV</t>
  </si>
  <si>
    <t>Brian Njeru</t>
  </si>
  <si>
    <t>ABPK281</t>
  </si>
  <si>
    <t>BB21841</t>
  </si>
  <si>
    <t>Janet Kitaka</t>
  </si>
  <si>
    <t>C.1986</t>
  </si>
  <si>
    <t>Claire Muhoro</t>
  </si>
  <si>
    <t>KT Shield Insurance Agency</t>
  </si>
  <si>
    <t>ABEMA41</t>
  </si>
  <si>
    <t>ABCMAAV</t>
  </si>
  <si>
    <t>Clinton Morang'a</t>
  </si>
  <si>
    <t>AB028K1</t>
  </si>
  <si>
    <t>Moses Mabonga</t>
  </si>
  <si>
    <t>HISA0026</t>
  </si>
  <si>
    <t>Charlene Kimara</t>
  </si>
  <si>
    <t>Dorcus Ayuma Ong'ondo</t>
  </si>
  <si>
    <t>AB027D9</t>
  </si>
  <si>
    <t>Loret Angelyne Wamkoya</t>
  </si>
  <si>
    <t>ABPMAN0</t>
  </si>
  <si>
    <t>Patrick Githui Matu</t>
  </si>
  <si>
    <t>AB0309O</t>
  </si>
  <si>
    <t>Kennedy Owuor</t>
  </si>
  <si>
    <t>AB030RL</t>
  </si>
  <si>
    <t>Faith Mugure Ndungu</t>
  </si>
  <si>
    <t>ABEA272</t>
  </si>
  <si>
    <t>AB031FI</t>
  </si>
  <si>
    <t>John Njenga Githama</t>
  </si>
  <si>
    <t>AB0261T</t>
  </si>
  <si>
    <t>Grace Mutave Kavisi</t>
  </si>
  <si>
    <t>AB030QS</t>
  </si>
  <si>
    <t>Isaiah Pseret</t>
  </si>
  <si>
    <t>LG25274</t>
  </si>
  <si>
    <t>AB030ZR</t>
  </si>
  <si>
    <t>AB0253L</t>
  </si>
  <si>
    <t>James Machini</t>
  </si>
  <si>
    <t>AB029H5</t>
  </si>
  <si>
    <t>Mercy Muli</t>
  </si>
  <si>
    <t>AB023XI</t>
  </si>
  <si>
    <t xml:space="preserve">Carolyne Mule </t>
  </si>
  <si>
    <t>AB0297I</t>
  </si>
  <si>
    <t>Janet Nanjala</t>
  </si>
  <si>
    <t>CN265</t>
  </si>
  <si>
    <t>CN268</t>
  </si>
  <si>
    <t>CN270</t>
  </si>
  <si>
    <t>Upperhill-Ecobank</t>
  </si>
  <si>
    <t>AB027V0</t>
  </si>
  <si>
    <t xml:space="preserve">Kenneth Mugendi Kinoti </t>
  </si>
  <si>
    <t>AB02797</t>
  </si>
  <si>
    <t>Faith Lugard</t>
  </si>
  <si>
    <t>AB027FQ</t>
  </si>
  <si>
    <t>Victor Otieno Ngata</t>
  </si>
  <si>
    <t>AB029PB</t>
  </si>
  <si>
    <t>Leakey Ogolla</t>
  </si>
  <si>
    <t>AB032XS</t>
  </si>
  <si>
    <t>Valentine Kerubo</t>
  </si>
  <si>
    <t>AB0320J</t>
  </si>
  <si>
    <t>Denis Kemboi</t>
  </si>
  <si>
    <t>AB022FF</t>
  </si>
  <si>
    <t>Jeff Kariuki</t>
  </si>
  <si>
    <t>AB0313X</t>
  </si>
  <si>
    <t>Renhard Bonke</t>
  </si>
  <si>
    <t>Doris Makena</t>
  </si>
  <si>
    <t>AB032B9</t>
  </si>
  <si>
    <t xml:space="preserve">Everlyn Karani </t>
  </si>
  <si>
    <t>AB027CZ</t>
  </si>
  <si>
    <t xml:space="preserve">Joyce Juma </t>
  </si>
  <si>
    <t>AB031DU</t>
  </si>
  <si>
    <t xml:space="preserve">Linet Macharia </t>
  </si>
  <si>
    <t>SAMMY GIKIRI</t>
  </si>
  <si>
    <t>ABMO247</t>
  </si>
  <si>
    <t>Maurine Opiyo</t>
  </si>
  <si>
    <t>AB0318L</t>
  </si>
  <si>
    <t>Josepehin Oluoch</t>
  </si>
  <si>
    <t>BB06696</t>
  </si>
  <si>
    <t>Peter Ochieng Odhiambo</t>
  </si>
  <si>
    <t>Rift&amp; Western</t>
  </si>
  <si>
    <t>Antonine Minayo Lukayu</t>
  </si>
  <si>
    <t>AB032XY</t>
  </si>
  <si>
    <t>Ruth Katela</t>
  </si>
  <si>
    <t>HISA0032</t>
  </si>
  <si>
    <t>Teresia Munene</t>
  </si>
  <si>
    <t>Gillian Nyanchama</t>
  </si>
  <si>
    <t>AB032Ok</t>
  </si>
  <si>
    <t>Luncy Mwongeli Muli</t>
  </si>
  <si>
    <t>AB029LS</t>
  </si>
  <si>
    <t>Joseph Kimundi</t>
  </si>
  <si>
    <t>AB031A8</t>
  </si>
  <si>
    <t>Brian Ondiek</t>
  </si>
  <si>
    <t>AB02027</t>
  </si>
  <si>
    <t>Hezron Mbebi</t>
  </si>
  <si>
    <t>AB023VY</t>
  </si>
  <si>
    <t>Abednego Kitonga Munguti</t>
  </si>
  <si>
    <t>AB024YT</t>
  </si>
  <si>
    <t>Mt.Kenya</t>
  </si>
  <si>
    <t>AB03147</t>
  </si>
  <si>
    <t>Charity Watene</t>
  </si>
  <si>
    <t>AB0248D</t>
  </si>
  <si>
    <t>Roselyne Maina</t>
  </si>
  <si>
    <t>AB030F7</t>
  </si>
  <si>
    <t xml:space="preserve">Lucky Ong'ayi </t>
  </si>
  <si>
    <t>ABMKA1Y</t>
  </si>
  <si>
    <t>Mary Kazungu</t>
  </si>
  <si>
    <t>AB032ZD</t>
  </si>
  <si>
    <t>Irene Akoth Sylvetser</t>
  </si>
  <si>
    <t>BB07457</t>
  </si>
  <si>
    <t>Samson Wanzala</t>
  </si>
  <si>
    <t xml:space="preserve">Patrick kiprono Arap ketiptany  </t>
  </si>
  <si>
    <t>AB019LS</t>
  </si>
  <si>
    <t>Lucas Kimutai Korir</t>
  </si>
  <si>
    <t>AB019M2</t>
  </si>
  <si>
    <t>Norah Wamalwa</t>
  </si>
  <si>
    <t>AB032OC</t>
  </si>
  <si>
    <t>Purity Cherop Jeruto</t>
  </si>
  <si>
    <t>AB025DY</t>
  </si>
  <si>
    <t>Benedict Roy Situma</t>
  </si>
  <si>
    <t>AB0281U</t>
  </si>
  <si>
    <t>Jacob Adienge</t>
  </si>
  <si>
    <t>AB034F1</t>
  </si>
  <si>
    <t>AB0293U</t>
  </si>
  <si>
    <t>Christpher Maina Wakanyi</t>
  </si>
  <si>
    <t>AB019W0</t>
  </si>
  <si>
    <t>Vincent Mulwa Munywoki</t>
  </si>
  <si>
    <t>AB0257N</t>
  </si>
  <si>
    <t>ABMBAC2</t>
  </si>
  <si>
    <t>Mwanaisha Bakari</t>
  </si>
  <si>
    <t>AB029OZ</t>
  </si>
  <si>
    <t>Rachael Mumbi</t>
  </si>
  <si>
    <t>Peris Muhia</t>
  </si>
  <si>
    <t>Jacinta Mutuku Nyiva</t>
  </si>
  <si>
    <t>AB032QC</t>
  </si>
  <si>
    <t>Mercy Ndwiga</t>
  </si>
  <si>
    <t>AB0324W</t>
  </si>
  <si>
    <t>Francis Murigi</t>
  </si>
  <si>
    <t>ABEMA3B</t>
  </si>
  <si>
    <t>Edward Mulanghui</t>
  </si>
  <si>
    <t>ABMA653</t>
  </si>
  <si>
    <t>Moses Atik Omondi</t>
  </si>
  <si>
    <t>AB034KH</t>
  </si>
  <si>
    <t>Lydia Nyagwoka</t>
  </si>
  <si>
    <t>Hisa0039</t>
  </si>
  <si>
    <t>Hisa0036</t>
  </si>
  <si>
    <t>ABEO127</t>
  </si>
  <si>
    <t>Emmah Omollo</t>
  </si>
  <si>
    <t>AB031LP</t>
  </si>
  <si>
    <t>Joseph Mutiga</t>
  </si>
  <si>
    <t>AB033DY</t>
  </si>
  <si>
    <t>Winnie Wambui</t>
  </si>
  <si>
    <t>Hisa0017</t>
  </si>
  <si>
    <t>Solomon Karanja</t>
  </si>
  <si>
    <t>AB019MS</t>
  </si>
  <si>
    <t>Jerusha Mwangi</t>
  </si>
  <si>
    <t>AB032J5</t>
  </si>
  <si>
    <t>Irene Kagiri</t>
  </si>
  <si>
    <t>AB02899</t>
  </si>
  <si>
    <t>Iddi Sameera</t>
  </si>
  <si>
    <t>AB032G4</t>
  </si>
  <si>
    <t>Morris Mwamure</t>
  </si>
  <si>
    <t>AB019FB</t>
  </si>
  <si>
    <t>Susan Karanja</t>
  </si>
  <si>
    <t>AB033EQ</t>
  </si>
  <si>
    <t>Jane Anyange</t>
  </si>
  <si>
    <t>AB031XV</t>
  </si>
  <si>
    <t>Maithya Kyove</t>
  </si>
  <si>
    <t>AB034VO</t>
  </si>
  <si>
    <t>Zamzam Kathra</t>
  </si>
  <si>
    <t>AB011G9</t>
  </si>
  <si>
    <t>Veronicah Cherono Chumo</t>
  </si>
  <si>
    <t>AB032Q9</t>
  </si>
  <si>
    <t>Paul Wanjiru</t>
  </si>
  <si>
    <t>AB034JM</t>
  </si>
  <si>
    <t>Joylindah Mwangi</t>
  </si>
  <si>
    <t>AB035AC</t>
  </si>
  <si>
    <t>Angela Ndunda</t>
  </si>
  <si>
    <t>AB033XO</t>
  </si>
  <si>
    <t>AB0228Z</t>
  </si>
  <si>
    <t>AB031A6</t>
  </si>
  <si>
    <t>Ismael Kipchumba</t>
  </si>
  <si>
    <t>AB034VH</t>
  </si>
  <si>
    <t>Ida Wambua</t>
  </si>
  <si>
    <t>AB032XX</t>
  </si>
  <si>
    <t>Nicholus Kibaara</t>
  </si>
  <si>
    <t>Hisa0046</t>
  </si>
  <si>
    <t>Nancy Akungwi</t>
  </si>
  <si>
    <t>AB031AI</t>
  </si>
  <si>
    <t xml:space="preserve">Redempta Mutindi Kilonzo </t>
  </si>
  <si>
    <t>ABPB463</t>
  </si>
  <si>
    <t>Peter Bosse</t>
  </si>
  <si>
    <t>ABMA473</t>
  </si>
  <si>
    <t>AB032ZY</t>
  </si>
  <si>
    <t>Margaret Nditi Maina</t>
  </si>
  <si>
    <t>AB033WR</t>
  </si>
  <si>
    <t>Kellen Murage</t>
  </si>
  <si>
    <t>Jesca Chepkemoi</t>
  </si>
  <si>
    <t>AB029QM</t>
  </si>
  <si>
    <t>Denis Rachami</t>
  </si>
  <si>
    <t>AB034AM</t>
  </si>
  <si>
    <t>Emily Onyango</t>
  </si>
  <si>
    <t>AB019F7</t>
  </si>
  <si>
    <t xml:space="preserve">Job muchui Ntongai </t>
  </si>
  <si>
    <t>AB029P6</t>
  </si>
  <si>
    <t>Hassan Ochieng'</t>
  </si>
  <si>
    <t>AB0314T</t>
  </si>
  <si>
    <t>AB0257X</t>
  </si>
  <si>
    <t>Joel Kyatha</t>
  </si>
  <si>
    <t>ABBW169</t>
  </si>
  <si>
    <t>AB028ZV</t>
  </si>
  <si>
    <t>Victor Obwocha</t>
  </si>
  <si>
    <t>AB0336O</t>
  </si>
  <si>
    <t>Polycarp Osinga</t>
  </si>
  <si>
    <t>AB034JW</t>
  </si>
  <si>
    <t>Daniel Mutuku Nyile</t>
  </si>
  <si>
    <t>AB034XM</t>
  </si>
  <si>
    <t xml:space="preserve">Anne Njuguna </t>
  </si>
  <si>
    <t>AB034F0</t>
  </si>
  <si>
    <t>Caroline Mutinda</t>
  </si>
  <si>
    <t>AB03541</t>
  </si>
  <si>
    <t>Faith Gichuru</t>
  </si>
  <si>
    <t>ABJL557</t>
  </si>
  <si>
    <t>Jacobeth Liboi</t>
  </si>
  <si>
    <t>AB032G3</t>
  </si>
  <si>
    <t xml:space="preserve">Dalcy Muhonja </t>
  </si>
  <si>
    <t>AB034AJ</t>
  </si>
  <si>
    <t>Esther Wambua</t>
  </si>
  <si>
    <t>AB0352Y</t>
  </si>
  <si>
    <t>Maurice Mbuvi</t>
  </si>
  <si>
    <t>Hisa63320</t>
  </si>
  <si>
    <t>Hisa033</t>
  </si>
  <si>
    <t>ABEMA4F</t>
  </si>
  <si>
    <t>Emily Muga</t>
  </si>
  <si>
    <t>AB034XY</t>
  </si>
  <si>
    <t>Brigit Kitil</t>
  </si>
  <si>
    <t>ABDK371</t>
  </si>
  <si>
    <t>Duncan Muthusi</t>
  </si>
  <si>
    <t>AB033ET</t>
  </si>
  <si>
    <t>Lornah Nyandago</t>
  </si>
  <si>
    <t>Hisa0021</t>
  </si>
  <si>
    <t>Fridah Makena Thirari</t>
  </si>
  <si>
    <t>AB033DV</t>
  </si>
  <si>
    <t xml:space="preserve">Judy Ng'ang'a </t>
  </si>
  <si>
    <t>AB035K6</t>
  </si>
  <si>
    <t>Victor Mboya</t>
  </si>
  <si>
    <t>AB027GM</t>
  </si>
  <si>
    <t xml:space="preserve">Antony Macharia </t>
  </si>
  <si>
    <t>AB032ZB</t>
  </si>
  <si>
    <t>Mercy Mutia</t>
  </si>
  <si>
    <t>AB030T3</t>
  </si>
  <si>
    <t>Hirum Thamu</t>
  </si>
  <si>
    <t>AB034YX</t>
  </si>
  <si>
    <t>Stephen Mlanya</t>
  </si>
  <si>
    <t>AB032Q6</t>
  </si>
  <si>
    <t xml:space="preserve">Exodus Musyoki </t>
  </si>
  <si>
    <t>AB03545</t>
  </si>
  <si>
    <t>Mercy Karimi</t>
  </si>
  <si>
    <t>Hisa00020</t>
  </si>
  <si>
    <t>Ruth Maureen Khaura</t>
  </si>
  <si>
    <t>AB032Q8</t>
  </si>
  <si>
    <t>Nancy Okello</t>
  </si>
  <si>
    <t>AB033ED</t>
  </si>
  <si>
    <t>Daniel Ombasa</t>
  </si>
  <si>
    <t>ABDMA8Y</t>
  </si>
  <si>
    <t xml:space="preserve">Duncan Muhoro </t>
  </si>
  <si>
    <t>AB033WS</t>
  </si>
  <si>
    <t>Duncan Marangu</t>
  </si>
  <si>
    <t>AB032Q5</t>
  </si>
  <si>
    <t>Victor Odhiambo</t>
  </si>
  <si>
    <t>AB026FO</t>
  </si>
  <si>
    <t>Benyle Obisa</t>
  </si>
  <si>
    <t>AB03549</t>
  </si>
  <si>
    <t>Lucy s Mwasya</t>
  </si>
  <si>
    <t>AB034U2</t>
  </si>
  <si>
    <t>BERYL ONGANYO</t>
  </si>
  <si>
    <t>AB034VS</t>
  </si>
  <si>
    <t>Joan Kalekye Khayadi</t>
  </si>
  <si>
    <t>AB035K1</t>
  </si>
  <si>
    <t>Wayne Otieno</t>
  </si>
  <si>
    <t>Hisa0051</t>
  </si>
  <si>
    <t>Njenga Isabella</t>
  </si>
  <si>
    <t>Desmond Odunga Mbuti</t>
  </si>
  <si>
    <t>AB033WL</t>
  </si>
  <si>
    <t xml:space="preserve">Fraciah Muchangi </t>
  </si>
  <si>
    <t>Elvis Kalizo</t>
  </si>
  <si>
    <t>Hisa0033</t>
  </si>
  <si>
    <t>AB034L4</t>
  </si>
  <si>
    <t xml:space="preserve">Polyne Obiero </t>
  </si>
  <si>
    <t>AB032AF</t>
  </si>
  <si>
    <t xml:space="preserve">Franz Ochieng </t>
  </si>
  <si>
    <t>AB034JL</t>
  </si>
  <si>
    <t>Grace Muriuki</t>
  </si>
  <si>
    <t>AB032ZX</t>
  </si>
  <si>
    <t>Carol Kamoet</t>
  </si>
  <si>
    <t>AB035BS</t>
  </si>
  <si>
    <t>Christabel Makero</t>
  </si>
  <si>
    <t>Hisa0040</t>
  </si>
  <si>
    <t>AB0311T</t>
  </si>
  <si>
    <t>PATRICK IKUNDA NANJAU</t>
  </si>
  <si>
    <t xml:space="preserve">Diana Abuta </t>
  </si>
  <si>
    <t>AB0364W</t>
  </si>
  <si>
    <t>William Everia</t>
  </si>
  <si>
    <t>AB034U3</t>
  </si>
  <si>
    <t>EDNA ODERA</t>
  </si>
  <si>
    <t>AB035BM</t>
  </si>
  <si>
    <t>Moses Dalla</t>
  </si>
  <si>
    <t>AB034ZF</t>
  </si>
  <si>
    <t>Jeremiah Otieno</t>
  </si>
  <si>
    <t>AB035ZK</t>
  </si>
  <si>
    <t>Gradus Pondi</t>
  </si>
  <si>
    <t>Hisa0054</t>
  </si>
  <si>
    <t>AB035RC</t>
  </si>
  <si>
    <t>Kiprotich Chepkwony</t>
  </si>
  <si>
    <t>ABMG755</t>
  </si>
  <si>
    <t>Martin Gikonyo</t>
  </si>
  <si>
    <t>AB033XK</t>
  </si>
  <si>
    <t xml:space="preserve">Chrispinus Echesa </t>
  </si>
  <si>
    <t>AB035RG</t>
  </si>
  <si>
    <t xml:space="preserve">Lincolin Ngenge Komora </t>
  </si>
  <si>
    <t>AB03273</t>
  </si>
  <si>
    <t xml:space="preserve">Hellen Muthoni </t>
  </si>
  <si>
    <t>AB034UZ</t>
  </si>
  <si>
    <t>EVELYNE WAITHAKA</t>
  </si>
  <si>
    <t>AB034X5</t>
  </si>
  <si>
    <t>George Gikunda</t>
  </si>
  <si>
    <t>AB0354G</t>
  </si>
  <si>
    <t>Kiprono Kelvin</t>
  </si>
  <si>
    <t>AB034V6</t>
  </si>
  <si>
    <t>FRANCIS MWANGI</t>
  </si>
  <si>
    <t>ABMG773</t>
  </si>
  <si>
    <t>Margaret Gichuhi</t>
  </si>
  <si>
    <t>ABHM594</t>
  </si>
  <si>
    <t>Henry Muteti</t>
  </si>
  <si>
    <t>AB035BQ</t>
  </si>
  <si>
    <t xml:space="preserve">Christine Joseph </t>
  </si>
  <si>
    <t>LG171G1</t>
  </si>
  <si>
    <t>Elizabeth Mwau</t>
  </si>
  <si>
    <t>AB035RK</t>
  </si>
  <si>
    <t xml:space="preserve">Joseph Onjiko </t>
  </si>
  <si>
    <t>AB034JZ</t>
  </si>
  <si>
    <t xml:space="preserve">Nawruz Ombai </t>
  </si>
  <si>
    <t>Direct-Mwangi</t>
  </si>
  <si>
    <t>AB035K5</t>
  </si>
  <si>
    <t>Edmond Kennel</t>
  </si>
  <si>
    <t>AB035YK</t>
  </si>
  <si>
    <t>Sheila Ouya</t>
  </si>
  <si>
    <t>AB034V1</t>
  </si>
  <si>
    <t>Nicholas Mutemi</t>
  </si>
  <si>
    <t>AB035BT</t>
  </si>
  <si>
    <t>Dancun Gitonga</t>
  </si>
  <si>
    <t>AB035XA</t>
  </si>
  <si>
    <t>Christine Christine</t>
  </si>
  <si>
    <t>AB032B8</t>
  </si>
  <si>
    <t>Brian Nyaberi</t>
  </si>
  <si>
    <t>AB034CL</t>
  </si>
  <si>
    <t>Benson Wangunyu Kareithi</t>
  </si>
  <si>
    <t>AB03653</t>
  </si>
  <si>
    <t>Mercy Wanjohi</t>
  </si>
  <si>
    <t>AB035JX</t>
  </si>
  <si>
    <t>Collins Njoroge</t>
  </si>
  <si>
    <t xml:space="preserve">Eric Mburu </t>
  </si>
  <si>
    <t>AB034XU</t>
  </si>
  <si>
    <t>Jane Nyamu</t>
  </si>
  <si>
    <t>AB0353Q</t>
  </si>
  <si>
    <t xml:space="preserve">Fiona Moracha </t>
  </si>
  <si>
    <t>AB035XK</t>
  </si>
  <si>
    <t>Phiona Omoto</t>
  </si>
  <si>
    <t xml:space="preserve">Joy Karimi </t>
  </si>
  <si>
    <t>AB025FX</t>
  </si>
  <si>
    <t>PATRICK WEKESA</t>
  </si>
  <si>
    <t>AB035R7</t>
  </si>
  <si>
    <t xml:space="preserve">Cate Benard </t>
  </si>
  <si>
    <t>AB035L5</t>
  </si>
  <si>
    <t>Mercy Chebii</t>
  </si>
  <si>
    <t>AB036AB</t>
  </si>
  <si>
    <t>Lilian Karimi</t>
  </si>
  <si>
    <t>AB035RT</t>
  </si>
  <si>
    <t xml:space="preserve">Bonface Kariuki </t>
  </si>
  <si>
    <t>AB03660</t>
  </si>
  <si>
    <t>Musa Osundwa</t>
  </si>
  <si>
    <t>ABDS755</t>
  </si>
  <si>
    <t xml:space="preserve">David Muraya Shaban </t>
  </si>
  <si>
    <t>AB035ZD</t>
  </si>
  <si>
    <t xml:space="preserve">Abdirahman Hakhame Ali </t>
  </si>
  <si>
    <t>Jessica Balala</t>
  </si>
  <si>
    <t>Direct-Baki</t>
  </si>
  <si>
    <t>AB027UV</t>
  </si>
  <si>
    <t xml:space="preserve">Kelvin Mwangi </t>
  </si>
  <si>
    <t>AB036A2</t>
  </si>
  <si>
    <t xml:space="preserve">Annah Nyamai </t>
  </si>
  <si>
    <t>AB035AI</t>
  </si>
  <si>
    <t>Kelvin Githinji</t>
  </si>
  <si>
    <t xml:space="preserve">CHEROTICH YEGON </t>
  </si>
  <si>
    <t>ABAW545</t>
  </si>
  <si>
    <t>Alice Wamidha</t>
  </si>
  <si>
    <t>ABEMA3T</t>
  </si>
  <si>
    <t>Esther Mutunga</t>
  </si>
  <si>
    <t>Stella Maina</t>
  </si>
  <si>
    <t>AB019KD</t>
  </si>
  <si>
    <t>Nyokabi Njiriri</t>
  </si>
  <si>
    <t>ABEN318</t>
  </si>
  <si>
    <t xml:space="preserve">Erick Gatumu Njiru </t>
  </si>
  <si>
    <t xml:space="preserve">Zedekiah Mburu </t>
  </si>
  <si>
    <t>ABGN337</t>
  </si>
  <si>
    <t>AB036KR</t>
  </si>
  <si>
    <t>Fredrick Munga</t>
  </si>
  <si>
    <t>AB0353R</t>
  </si>
  <si>
    <t xml:space="preserve">Erick Kalowo </t>
  </si>
  <si>
    <t>AB0364S</t>
  </si>
  <si>
    <t xml:space="preserve">Nemwel Nyaanga </t>
  </si>
  <si>
    <t>AB035AJ</t>
  </si>
  <si>
    <t>EMILY ODERO</t>
  </si>
  <si>
    <t>AB032AC</t>
  </si>
  <si>
    <t xml:space="preserve">Linet Wetende </t>
  </si>
  <si>
    <t>AB035ZI</t>
  </si>
  <si>
    <t>Pauline Adhiambo</t>
  </si>
  <si>
    <t>AB033EF</t>
  </si>
  <si>
    <t>Nimrod Biwott</t>
  </si>
  <si>
    <t>AB035RA</t>
  </si>
  <si>
    <t>Emma Agwaro</t>
  </si>
  <si>
    <t>Ancetar Ngungu</t>
  </si>
  <si>
    <t>Direct-Ancentar</t>
  </si>
  <si>
    <t>Nduta Karanja</t>
  </si>
  <si>
    <t>AB033DX</t>
  </si>
  <si>
    <t>Stephen Runo</t>
  </si>
  <si>
    <t>ABEMA2X</t>
  </si>
  <si>
    <t>AB0353K</t>
  </si>
  <si>
    <t>Janet Muriungi</t>
  </si>
  <si>
    <t>AB034X1</t>
  </si>
  <si>
    <t>Cynthia Karanja</t>
  </si>
  <si>
    <t>AB035RV</t>
  </si>
  <si>
    <t>Gerishon Waichua</t>
  </si>
  <si>
    <t xml:space="preserve">Stephen Kinyanjui </t>
  </si>
  <si>
    <t>ABSMBIQ</t>
  </si>
  <si>
    <t>Sharron Mathews</t>
  </si>
  <si>
    <t>AB0354K</t>
  </si>
  <si>
    <t>Penina Nyaga</t>
  </si>
  <si>
    <t>AB033DU</t>
  </si>
  <si>
    <t>Benson Morwani</t>
  </si>
  <si>
    <t>AB034V2</t>
  </si>
  <si>
    <t>Eddah Karega</t>
  </si>
  <si>
    <t>ABRA247</t>
  </si>
  <si>
    <t>Richard Angwenyi</t>
  </si>
  <si>
    <t>ABFA159</t>
  </si>
  <si>
    <t>Francis Ajowi</t>
  </si>
  <si>
    <t>AB0324X</t>
  </si>
  <si>
    <t>Pauline Muthoni</t>
  </si>
  <si>
    <t>AB030EJ</t>
  </si>
  <si>
    <t>Dennis Kanu</t>
  </si>
  <si>
    <t>AB034EW</t>
  </si>
  <si>
    <t>Mercy Gachuiri</t>
  </si>
  <si>
    <t xml:space="preserve">Etana </t>
  </si>
  <si>
    <t>AB034HW</t>
  </si>
  <si>
    <t>Asman Njeru</t>
  </si>
  <si>
    <t xml:space="preserve">Nairobi </t>
  </si>
  <si>
    <t>AB035DY</t>
  </si>
  <si>
    <t>HANIFA HABIB</t>
  </si>
  <si>
    <t>AB034XP</t>
  </si>
  <si>
    <t>Paul Situma</t>
  </si>
  <si>
    <t>AB035AL</t>
  </si>
  <si>
    <t>John Ngige</t>
  </si>
  <si>
    <t>AB035JP</t>
  </si>
  <si>
    <t xml:space="preserve">Antony Muthendu </t>
  </si>
  <si>
    <t>AB036CO</t>
  </si>
  <si>
    <t>AB035Y7</t>
  </si>
  <si>
    <t xml:space="preserve">Valentine Kimingichi </t>
  </si>
  <si>
    <t>Mercy Ong'anda</t>
  </si>
  <si>
    <t>Direct-Ong'anda</t>
  </si>
  <si>
    <t>AB034VI</t>
  </si>
  <si>
    <t>ELISHA WAFULA</t>
  </si>
  <si>
    <t>Erick Gatumu Njiru</t>
  </si>
  <si>
    <t>AB035T5</t>
  </si>
  <si>
    <t xml:space="preserve">Benson Mwangi </t>
  </si>
  <si>
    <t>AB033EH</t>
  </si>
  <si>
    <t>Lawrence Mwangi</t>
  </si>
  <si>
    <t>AB033F9</t>
  </si>
  <si>
    <t>Danson Musyoki</t>
  </si>
  <si>
    <t>AB035AE</t>
  </si>
  <si>
    <t>Chepkoech Mercy Rono</t>
  </si>
  <si>
    <t>AB036KT</t>
  </si>
  <si>
    <t>Evance Ojowi</t>
  </si>
  <si>
    <t>AB037M3</t>
  </si>
  <si>
    <t>Nancy Omenyi</t>
  </si>
  <si>
    <t>ABSK731</t>
  </si>
  <si>
    <t xml:space="preserve">Sarah Kanjigi </t>
  </si>
  <si>
    <t>AB019VY</t>
  </si>
  <si>
    <t>AB034YN</t>
  </si>
  <si>
    <t xml:space="preserve">Peter Jackson muthoka </t>
  </si>
  <si>
    <t>ABOO043</t>
  </si>
  <si>
    <t xml:space="preserve">Otieno owuor </t>
  </si>
  <si>
    <t>AB035F9</t>
  </si>
  <si>
    <t xml:space="preserve">Rose Mureithi </t>
  </si>
  <si>
    <t>Viona Chalingo</t>
  </si>
  <si>
    <t>Cecilia Maina</t>
  </si>
  <si>
    <t>AB032AD</t>
  </si>
  <si>
    <t xml:space="preserve">Calvince Mbara </t>
  </si>
  <si>
    <t>AB036CI</t>
  </si>
  <si>
    <t>Julius Muli</t>
  </si>
  <si>
    <t>AB034VW</t>
  </si>
  <si>
    <t xml:space="preserve">Victor Bitei </t>
  </si>
  <si>
    <t>AB035BJ</t>
  </si>
  <si>
    <t>Violet Monari</t>
  </si>
  <si>
    <t>ABJO276</t>
  </si>
  <si>
    <t>Julia Anabwani</t>
  </si>
  <si>
    <t>ABAK716</t>
  </si>
  <si>
    <t>Ann Kimani</t>
  </si>
  <si>
    <t>AB0371G</t>
  </si>
  <si>
    <t>Catherine Nyambura</t>
  </si>
  <si>
    <t>Nkurumah Road</t>
  </si>
  <si>
    <t>James Nganga</t>
  </si>
  <si>
    <t>AB03655</t>
  </si>
  <si>
    <t>Ruth Mukabana</t>
  </si>
  <si>
    <t>AB018J6</t>
  </si>
  <si>
    <t>Carolyne Mwanzo</t>
  </si>
  <si>
    <t>ABLI024</t>
  </si>
  <si>
    <t>Leonard Ingutia</t>
  </si>
  <si>
    <t>AB0344U</t>
  </si>
  <si>
    <t>Joyline Mutua</t>
  </si>
  <si>
    <t>Peter Musee</t>
  </si>
  <si>
    <t>Rael Jepchumba</t>
  </si>
  <si>
    <t xml:space="preserve">Rift </t>
  </si>
  <si>
    <t>AB03315</t>
  </si>
  <si>
    <t>Boniface Ochieng</t>
  </si>
  <si>
    <t>AB034VL</t>
  </si>
  <si>
    <t>Bramwel Okune</t>
  </si>
  <si>
    <t>AB033XA</t>
  </si>
  <si>
    <t>Tabitha Mbindyo</t>
  </si>
  <si>
    <t xml:space="preserve">Queensway </t>
  </si>
  <si>
    <t>AB0324V</t>
  </si>
  <si>
    <t>Priscilla Gichugu</t>
  </si>
  <si>
    <t>AB034WE</t>
  </si>
  <si>
    <t>Peter Chege Wanjiku</t>
  </si>
  <si>
    <t xml:space="preserve">Nairobi West </t>
  </si>
  <si>
    <t>AB034XV</t>
  </si>
  <si>
    <t>Enock Kirui</t>
  </si>
  <si>
    <t>Yaya</t>
  </si>
  <si>
    <t>AB0237G</t>
  </si>
  <si>
    <t>AB0364T</t>
  </si>
  <si>
    <t>Eunice Mukiri</t>
  </si>
  <si>
    <t>Charity Mwangi</t>
  </si>
  <si>
    <t>AB035YE</t>
  </si>
  <si>
    <t>Shadrack Omondi</t>
  </si>
  <si>
    <t>ABJK812</t>
  </si>
  <si>
    <t>Joyce Kabugua</t>
  </si>
  <si>
    <t>Rift</t>
  </si>
  <si>
    <t>AB024PP</t>
  </si>
  <si>
    <t>Carolyne Okwany</t>
  </si>
  <si>
    <t>AB03792</t>
  </si>
  <si>
    <t>Elizabeth Masinde</t>
  </si>
  <si>
    <t>AB034UF</t>
  </si>
  <si>
    <t>Caroline Karuru</t>
  </si>
  <si>
    <t>AB035RX</t>
  </si>
  <si>
    <t>Elizabeth Mutahi</t>
  </si>
  <si>
    <t>BB19491</t>
  </si>
  <si>
    <t>Paul Gachoki</t>
  </si>
  <si>
    <t>AB035SO</t>
  </si>
  <si>
    <t>David Mukabi</t>
  </si>
  <si>
    <t>AB0364Y</t>
  </si>
  <si>
    <t>Benedict Watamba</t>
  </si>
  <si>
    <t xml:space="preserve">Western </t>
  </si>
  <si>
    <t>AB034AL</t>
  </si>
  <si>
    <t>Peter Opiyo Opas</t>
  </si>
  <si>
    <t>AB037B0</t>
  </si>
  <si>
    <t>Paul Fwamba</t>
  </si>
  <si>
    <t>ABGO115</t>
  </si>
  <si>
    <t>Grace Owino</t>
  </si>
  <si>
    <t>AB034K5</t>
  </si>
  <si>
    <t>Ashley Kamuyu</t>
  </si>
  <si>
    <t>MED0001</t>
  </si>
  <si>
    <t>Peninah Kariuki</t>
  </si>
  <si>
    <t>MEDPEL</t>
  </si>
  <si>
    <t>Naomi Nganga</t>
  </si>
  <si>
    <t>Anne Oduor</t>
  </si>
  <si>
    <t>AB034WY</t>
  </si>
  <si>
    <t>Elizabeth Macharia</t>
  </si>
  <si>
    <t>WENDRA</t>
  </si>
  <si>
    <t>AB038B4</t>
  </si>
  <si>
    <t>Stephen Jara</t>
  </si>
  <si>
    <t>Juliet Stacy Adhiambo</t>
  </si>
  <si>
    <t>BB18776</t>
  </si>
  <si>
    <t>ABPK364</t>
  </si>
  <si>
    <t>Phibian Kandie </t>
  </si>
  <si>
    <t>Rupa</t>
  </si>
  <si>
    <t>AB0154I</t>
  </si>
  <si>
    <t>Peter Chege</t>
  </si>
  <si>
    <t>AB038RV</t>
  </si>
  <si>
    <t>Susan Mutuku</t>
  </si>
  <si>
    <t>AB038AH</t>
  </si>
  <si>
    <t>Elizabeth Waweru</t>
  </si>
  <si>
    <t>Direct-Waweru</t>
  </si>
  <si>
    <t>AB03669</t>
  </si>
  <si>
    <t>Geofrey Wakio</t>
  </si>
  <si>
    <t>AB0356X</t>
  </si>
  <si>
    <t>Stephen Daudi</t>
  </si>
  <si>
    <t>AB03579</t>
  </si>
  <si>
    <t>Eliya Masiga</t>
  </si>
  <si>
    <t>AB03980</t>
  </si>
  <si>
    <t>Leakey Mwendwa</t>
  </si>
  <si>
    <t>AB040C0</t>
  </si>
  <si>
    <t>Caroline Mugure Kabogo</t>
  </si>
  <si>
    <t>AB0353O</t>
  </si>
  <si>
    <t>Teresiah Mbuthia</t>
  </si>
  <si>
    <t>AB0357L</t>
  </si>
  <si>
    <t>Barnabus Nzioki</t>
  </si>
  <si>
    <t>AB0404M</t>
  </si>
  <si>
    <t>Lucas Wachara</t>
  </si>
  <si>
    <t>AB036L1</t>
  </si>
  <si>
    <t>Elizabeth Muasya</t>
  </si>
  <si>
    <t>ABFK193</t>
  </si>
  <si>
    <t>Fidelis Kituu</t>
  </si>
  <si>
    <t>AB036KY</t>
  </si>
  <si>
    <t>Lynne Nkirote</t>
  </si>
  <si>
    <t>AB036KZ</t>
  </si>
  <si>
    <t>Joseph Ngwei</t>
  </si>
  <si>
    <t>AB035AD</t>
  </si>
  <si>
    <t>Joseph Mwendwa malonza</t>
  </si>
  <si>
    <t>AB038AI</t>
  </si>
  <si>
    <t>AB037YH</t>
  </si>
  <si>
    <t>Cynthia Nyandiko</t>
  </si>
  <si>
    <t>AB04058</t>
  </si>
  <si>
    <t>John Mboya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</si>
</sst>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8"/>
      <name val="Calibri"/>
      <family val="2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name val="Brave Sans"/>
      <family val="2"/>
    </font>
    <font>
      <sz val="10"/>
      <color theme="0"/>
      <name val="Brave Sans"/>
      <family val="2"/>
    </font>
    <font>
      <b/>
      <sz val="10"/>
      <name val="Brave Sans"/>
      <family val="2"/>
    </font>
    <font>
      <sz val="10"/>
      <color theme="1"/>
      <name val="Brave Sans"/>
      <family val="2"/>
    </font>
    <font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theme="9"/>
      </patternFill>
    </fill>
    <fill>
      <patternFill patternType="solid">
        <fgColor rgb="FFFF0000"/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/>
  </cellStyleXfs>
  <cellXfs count="68">
    <xf numFmtId="0" fontId="0" fillId="0" borderId="0" xfId="0"/>
    <xf numFmtId="0" fontId="2" fillId="2" borderId="0" xfId="0" applyFont="1" applyFill="1" applyAlignment="1">
      <alignment wrapText="1"/>
    </xf>
    <xf numFmtId="1" fontId="2" fillId="2" borderId="0" xfId="0" applyNumberFormat="1" applyFont="1" applyFill="1" applyAlignment="1">
      <alignment horizontal="left" wrapText="1"/>
    </xf>
    <xf numFmtId="14" fontId="2" fillId="2" borderId="0" xfId="0" applyNumberFormat="1" applyFont="1" applyFill="1" applyAlignment="1">
      <alignment wrapText="1"/>
    </xf>
    <xf numFmtId="0" fontId="2" fillId="2" borderId="0" xfId="0" applyFont="1" applyFill="1" applyAlignment="1">
      <alignment horizontal="center" wrapText="1"/>
    </xf>
    <xf numFmtId="43" fontId="2" fillId="2" borderId="0" xfId="1" applyFont="1" applyFill="1" applyAlignment="1">
      <alignment horizontal="left" vertical="top" wrapText="1"/>
    </xf>
    <xf numFmtId="0" fontId="2" fillId="2" borderId="1" xfId="0" applyFont="1" applyFill="1" applyBorder="1" applyAlignment="1">
      <alignment horizontal="left" wrapText="1"/>
    </xf>
    <xf numFmtId="0" fontId="2" fillId="3" borderId="1" xfId="0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0" fontId="2" fillId="2" borderId="0" xfId="0" applyFont="1" applyFill="1" applyAlignment="1">
      <alignment horizontal="left" wrapText="1"/>
    </xf>
    <xf numFmtId="43" fontId="2" fillId="2" borderId="0" xfId="1" applyFont="1" applyFill="1" applyAlignment="1">
      <alignment horizontal="left" wrapText="1"/>
    </xf>
    <xf numFmtId="43" fontId="2" fillId="2" borderId="0" xfId="1" applyFont="1" applyFill="1" applyAlignment="1">
      <alignment wrapText="1"/>
    </xf>
    <xf numFmtId="0" fontId="2" fillId="2" borderId="0" xfId="1" applyNumberFormat="1" applyFont="1" applyFill="1" applyAlignment="1">
      <alignment wrapText="1"/>
    </xf>
    <xf numFmtId="0" fontId="2" fillId="4" borderId="2" xfId="1" applyNumberFormat="1" applyFont="1" applyFill="1" applyBorder="1" applyAlignment="1">
      <alignment wrapText="1"/>
    </xf>
    <xf numFmtId="43" fontId="2" fillId="4" borderId="2" xfId="1" applyFont="1" applyFill="1" applyBorder="1" applyAlignment="1">
      <alignment wrapText="1"/>
    </xf>
    <xf numFmtId="43" fontId="2" fillId="2" borderId="2" xfId="1" applyFont="1" applyFill="1" applyBorder="1" applyAlignment="1">
      <alignment wrapText="1"/>
    </xf>
    <xf numFmtId="43" fontId="2" fillId="5" borderId="3" xfId="1" applyFont="1" applyFill="1" applyBorder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center"/>
    </xf>
    <xf numFmtId="43" fontId="3" fillId="0" borderId="0" xfId="1" applyFont="1" applyFill="1"/>
    <xf numFmtId="43" fontId="3" fillId="0" borderId="0" xfId="1" applyFont="1" applyAlignment="1">
      <alignment horizontal="left" vertical="top"/>
    </xf>
    <xf numFmtId="43" fontId="3" fillId="0" borderId="0" xfId="1" applyFont="1"/>
    <xf numFmtId="0" fontId="3" fillId="0" borderId="0" xfId="1" applyNumberFormat="1" applyFont="1"/>
    <xf numFmtId="43" fontId="3" fillId="0" borderId="0" xfId="1" applyFont="1" applyFill="1" applyAlignment="1">
      <alignment horizontal="left" vertical="top"/>
    </xf>
    <xf numFmtId="0" fontId="3" fillId="0" borderId="0" xfId="1" applyNumberFormat="1" applyFont="1" applyFill="1"/>
    <xf numFmtId="0" fontId="3" fillId="0" borderId="0" xfId="0" quotePrefix="1" applyFont="1" applyAlignment="1">
      <alignment horizontal="left"/>
    </xf>
    <xf numFmtId="0" fontId="3" fillId="0" borderId="0" xfId="0" quotePrefix="1" applyFont="1"/>
    <xf numFmtId="43" fontId="3" fillId="6" borderId="0" xfId="1" applyFont="1" applyFill="1" applyAlignment="1">
      <alignment horizontal="left" vertical="top"/>
    </xf>
    <xf numFmtId="1" fontId="3" fillId="0" borderId="0" xfId="0" quotePrefix="1" applyNumberFormat="1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43" fontId="3" fillId="0" borderId="0" xfId="1" applyFont="1" applyFill="1" applyAlignment="1">
      <alignment horizontal="center"/>
    </xf>
    <xf numFmtId="1" fontId="5" fillId="0" borderId="0" xfId="0" applyNumberFormat="1" applyFont="1" applyAlignment="1">
      <alignment horizontal="left"/>
    </xf>
    <xf numFmtId="14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43" fontId="5" fillId="0" borderId="0" xfId="1" applyFont="1" applyFill="1"/>
    <xf numFmtId="43" fontId="5" fillId="0" borderId="0" xfId="1" applyFont="1" applyFill="1" applyAlignment="1">
      <alignment horizontal="left" vertical="top"/>
    </xf>
    <xf numFmtId="0" fontId="5" fillId="0" borderId="0" xfId="1" applyNumberFormat="1" applyFont="1" applyFill="1"/>
    <xf numFmtId="0" fontId="2" fillId="0" borderId="0" xfId="0" applyFont="1"/>
    <xf numFmtId="0" fontId="3" fillId="0" borderId="0" xfId="0" applyFont="1" applyAlignment="1">
      <alignment horizontal="right"/>
    </xf>
    <xf numFmtId="1" fontId="3" fillId="0" borderId="0" xfId="0" applyNumberFormat="1" applyFont="1" applyAlignment="1">
      <alignment horizontal="right"/>
    </xf>
    <xf numFmtId="1" fontId="3" fillId="0" borderId="0" xfId="0" applyNumberFormat="1" applyFont="1"/>
    <xf numFmtId="1" fontId="4" fillId="0" borderId="0" xfId="0" applyNumberFormat="1" applyFont="1" applyAlignment="1">
      <alignment horizontal="left"/>
    </xf>
    <xf numFmtId="14" fontId="4" fillId="0" borderId="0" xfId="0" applyNumberFormat="1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43" fontId="4" fillId="0" borderId="0" xfId="1" applyFont="1" applyFill="1"/>
    <xf numFmtId="43" fontId="4" fillId="0" borderId="0" xfId="1" applyFont="1" applyFill="1" applyAlignment="1">
      <alignment horizontal="left" vertical="top"/>
    </xf>
    <xf numFmtId="0" fontId="4" fillId="0" borderId="0" xfId="1" applyNumberFormat="1" applyFont="1" applyFill="1"/>
    <xf numFmtId="1" fontId="3" fillId="0" borderId="0" xfId="0" quotePrefix="1" applyNumberFormat="1" applyFont="1"/>
    <xf numFmtId="0" fontId="7" fillId="7" borderId="0" xfId="2" applyFill="1"/>
    <xf numFmtId="0" fontId="7" fillId="0" borderId="0" xfId="2"/>
    <xf numFmtId="14" fontId="7" fillId="0" borderId="0" xfId="2" applyNumberFormat="1"/>
    <xf numFmtId="0" fontId="8" fillId="0" borderId="0" xfId="0" applyFont="1"/>
    <xf numFmtId="0" fontId="9" fillId="8" borderId="0" xfId="0" applyFont="1" applyFill="1" applyAlignment="1">
      <alignment horizontal="left" wrapText="1"/>
    </xf>
    <xf numFmtId="0" fontId="9" fillId="0" borderId="0" xfId="0" applyFont="1" applyAlignment="1">
      <alignment horizontal="left" wrapText="1"/>
    </xf>
    <xf numFmtId="0" fontId="10" fillId="0" borderId="4" xfId="0" applyFont="1" applyBorder="1"/>
    <xf numFmtId="0" fontId="8" fillId="0" borderId="4" xfId="0" applyFont="1" applyBorder="1"/>
    <xf numFmtId="0" fontId="8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left"/>
    </xf>
    <xf numFmtId="0" fontId="12" fillId="0" borderId="0" xfId="0" applyFont="1"/>
  </cellXfs>
  <cellStyles count="3">
    <cellStyle name="Comma" xfId="1" builtinId="3"/>
    <cellStyle name="Normal" xfId="0" builtinId="0"/>
    <cellStyle name="Normal 4 2" xfId="2" xr:uid="{2EBBE777-ADBC-4D20-9F24-A16A079C4124}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dmin%20New%20business\2026\May\Transmittals\New%20Business%20Register%20as%20at%2014th%20May%202026.xlsx" TargetMode="External"/><Relationship Id="rId1" Type="http://schemas.openxmlformats.org/officeDocument/2006/relationships/externalLinkPath" Target="file:///Z:\Admin%20New%20business\2026\May\Transmittals\New%20Business%20Register%20as%20at%2014th%20May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Admin%20New%20business\2025\October\Transmittals\New%20Business%20Register%20as%20at%207th%20October.xlsx" TargetMode="External"/><Relationship Id="rId1" Type="http://schemas.openxmlformats.org/officeDocument/2006/relationships/externalLinkPath" Target="file:///Z:\Admin%20New%20business\2025\October\Transmittals\New%20Business%20Register%20as%20at%207th%20Octobe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dmin%20New%20business\2025\October\Transmittals\New%20Business%20Register%20as%20at%202nd%20October-Final.xlsx" TargetMode="External"/><Relationship Id="rId1" Type="http://schemas.openxmlformats.org/officeDocument/2006/relationships/externalLinkPath" Target="file:///Z:\Admin%20New%20business\2025\October\Transmittals\New%20Business%20Register%20as%20at%202nd%20October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AK New Business Register"/>
      <sheetName val="Report"/>
      <sheetName val="2026 Mapping v3"/>
      <sheetName val="Data Source"/>
    </sheetNames>
    <sheetDataSet>
      <sheetData sheetId="0"/>
      <sheetData sheetId="1"/>
      <sheetData sheetId="2">
        <row r="1">
          <cell r="A1" t="str">
            <v>branch_name</v>
          </cell>
          <cell r="B1" t="str">
            <v>cluster_name</v>
          </cell>
          <cell r="C1" t="str">
            <v>sales_consultant</v>
          </cell>
          <cell r="D1" t="str">
            <v>team_leader</v>
          </cell>
          <cell r="E1" t="str">
            <v>alak_rm</v>
          </cell>
          <cell r="F1" t="str">
            <v>branch_id</v>
          </cell>
        </row>
        <row r="2">
          <cell r="A2" t="str">
            <v>ABC Prestige</v>
          </cell>
          <cell r="B2" t="str">
            <v>Nairobi East</v>
          </cell>
          <cell r="C2" t="str">
            <v>Charles Gicho</v>
          </cell>
          <cell r="D2" t="str">
            <v>Julius Mugane</v>
          </cell>
          <cell r="E2" t="str">
            <v>Debrah Rashid</v>
          </cell>
          <cell r="F2">
            <v>1</v>
          </cell>
        </row>
        <row r="3">
          <cell r="A3" t="str">
            <v>TMU</v>
          </cell>
          <cell r="B3" t="str">
            <v>TMU</v>
          </cell>
          <cell r="C3" t="str">
            <v>Simon Wambua</v>
          </cell>
          <cell r="D3" t="str">
            <v>Joseph Kairu</v>
          </cell>
          <cell r="E3" t="str">
            <v>Debrah Rashid</v>
          </cell>
          <cell r="F3">
            <v>2</v>
          </cell>
        </row>
        <row r="4">
          <cell r="A4" t="str">
            <v>Absa Towers</v>
          </cell>
          <cell r="B4" t="str">
            <v>Nairobi West</v>
          </cell>
          <cell r="C4" t="str">
            <v>Valentine Musyoka</v>
          </cell>
          <cell r="D4" t="str">
            <v>Ancetar Mulili</v>
          </cell>
          <cell r="E4" t="str">
            <v>Bilha Wachira</v>
          </cell>
          <cell r="F4">
            <v>3</v>
          </cell>
        </row>
        <row r="5">
          <cell r="A5" t="str">
            <v>Avon</v>
          </cell>
          <cell r="B5" t="str">
            <v>Nairobi East</v>
          </cell>
          <cell r="C5" t="str">
            <v>Charles Gicho</v>
          </cell>
          <cell r="D5" t="str">
            <v>Julius Mugane</v>
          </cell>
          <cell r="E5" t="str">
            <v>Debrah Rashid</v>
          </cell>
          <cell r="F5">
            <v>4</v>
          </cell>
        </row>
        <row r="6">
          <cell r="A6" t="str">
            <v>Bomet</v>
          </cell>
          <cell r="B6" t="str">
            <v>Rift Valley</v>
          </cell>
          <cell r="C6" t="str">
            <v>Emily Jepchirchir</v>
          </cell>
          <cell r="D6" t="str">
            <v>Emily Jepchirchir</v>
          </cell>
          <cell r="E6" t="str">
            <v>Emily Jepchirchir</v>
          </cell>
          <cell r="F6">
            <v>5</v>
          </cell>
        </row>
        <row r="7">
          <cell r="A7" t="str">
            <v>Bungoma</v>
          </cell>
          <cell r="B7" t="str">
            <v>Western</v>
          </cell>
          <cell r="C7" t="str">
            <v>Sheila Adhiambo</v>
          </cell>
          <cell r="D7" t="str">
            <v>Sheila Adhiambo</v>
          </cell>
          <cell r="E7" t="str">
            <v>Eric Njiru</v>
          </cell>
          <cell r="F7">
            <v>6</v>
          </cell>
        </row>
        <row r="8">
          <cell r="A8" t="str">
            <v>Bunyala Road</v>
          </cell>
          <cell r="B8" t="str">
            <v>Nairobi Central</v>
          </cell>
          <cell r="C8" t="str">
            <v>George Maina</v>
          </cell>
          <cell r="D8" t="str">
            <v>Zedekiah Mburu</v>
          </cell>
          <cell r="E8" t="str">
            <v>Bilha Wachira</v>
          </cell>
          <cell r="F8">
            <v>7</v>
          </cell>
        </row>
        <row r="9">
          <cell r="A9" t="str">
            <v>Buruburu</v>
          </cell>
          <cell r="B9" t="str">
            <v>Nairobi Central</v>
          </cell>
          <cell r="C9" t="str">
            <v>George Maina</v>
          </cell>
          <cell r="D9" t="str">
            <v>Zedekiah Mburu</v>
          </cell>
          <cell r="E9" t="str">
            <v>Bilha Wachira</v>
          </cell>
          <cell r="F9">
            <v>8</v>
          </cell>
        </row>
        <row r="10">
          <cell r="A10" t="str">
            <v>Busia</v>
          </cell>
          <cell r="B10" t="str">
            <v>Western</v>
          </cell>
          <cell r="C10" t="str">
            <v>Wycliffe Oginga</v>
          </cell>
          <cell r="D10" t="str">
            <v>Sheila Adhiambo</v>
          </cell>
          <cell r="E10" t="str">
            <v>Eric Njiru</v>
          </cell>
          <cell r="F10">
            <v>9</v>
          </cell>
        </row>
        <row r="11">
          <cell r="A11" t="str">
            <v>Changamwe</v>
          </cell>
          <cell r="B11" t="str">
            <v>Coast</v>
          </cell>
          <cell r="C11" t="str">
            <v>Nancy Logose</v>
          </cell>
          <cell r="D11" t="str">
            <v>Brian Khamadi</v>
          </cell>
          <cell r="E11" t="str">
            <v>Eric Njiru</v>
          </cell>
          <cell r="F11">
            <v>10</v>
          </cell>
        </row>
        <row r="12">
          <cell r="A12" t="str">
            <v>Diani</v>
          </cell>
          <cell r="B12" t="str">
            <v>Coast</v>
          </cell>
          <cell r="C12" t="str">
            <v>Brian Khamadi</v>
          </cell>
          <cell r="D12" t="str">
            <v>Brian Khamadi</v>
          </cell>
          <cell r="E12" t="str">
            <v>Eric Njiru</v>
          </cell>
          <cell r="F12">
            <v>11</v>
          </cell>
        </row>
        <row r="13">
          <cell r="A13" t="str">
            <v>Digo Road</v>
          </cell>
          <cell r="B13" t="str">
            <v>Coast</v>
          </cell>
          <cell r="C13" t="str">
            <v>Nancy Logose</v>
          </cell>
          <cell r="D13" t="str">
            <v>Brian Khamadi</v>
          </cell>
          <cell r="E13" t="str">
            <v>Eric Njiru</v>
          </cell>
          <cell r="F13">
            <v>12</v>
          </cell>
        </row>
        <row r="14">
          <cell r="A14" t="str">
            <v>Mtwapa</v>
          </cell>
          <cell r="B14" t="str">
            <v>Coast</v>
          </cell>
          <cell r="C14" t="str">
            <v>Brian Khamadi</v>
          </cell>
          <cell r="D14" t="str">
            <v>Brian Khamadi</v>
          </cell>
          <cell r="E14" t="str">
            <v>Eric Njiru</v>
          </cell>
          <cell r="F14">
            <v>12</v>
          </cell>
        </row>
        <row r="15">
          <cell r="A15" t="str">
            <v>Fortis Branch</v>
          </cell>
          <cell r="B15" t="str">
            <v>Alternative Channels</v>
          </cell>
          <cell r="C15" t="str">
            <v>Selestine Magayu</v>
          </cell>
          <cell r="D15" t="str">
            <v>Eric Njiru</v>
          </cell>
          <cell r="E15" t="str">
            <v>Eric Njiru</v>
          </cell>
        </row>
        <row r="16">
          <cell r="A16" t="str">
            <v>Ecobank - Upperhill</v>
          </cell>
          <cell r="B16" t="str">
            <v>Alternative Channels</v>
          </cell>
          <cell r="C16" t="str">
            <v>Selestine Magayu</v>
          </cell>
          <cell r="D16" t="str">
            <v>Eric Njiru</v>
          </cell>
          <cell r="E16" t="str">
            <v>Eric Njiru</v>
          </cell>
        </row>
        <row r="17">
          <cell r="A17" t="str">
            <v>Westlands</v>
          </cell>
          <cell r="B17" t="str">
            <v>Alternative Channels</v>
          </cell>
          <cell r="C17" t="str">
            <v>Selestine Magayu</v>
          </cell>
          <cell r="D17" t="str">
            <v>Eric Njiru</v>
          </cell>
          <cell r="E17" t="str">
            <v>Eric Njiru</v>
          </cell>
        </row>
        <row r="18">
          <cell r="A18" t="str">
            <v>Valley Arcade</v>
          </cell>
          <cell r="B18" t="str">
            <v>Alternative Channels</v>
          </cell>
          <cell r="C18" t="str">
            <v>Selestine Magayu</v>
          </cell>
          <cell r="D18" t="str">
            <v>Eric Njiru</v>
          </cell>
          <cell r="E18" t="str">
            <v>Eric Njiru</v>
          </cell>
        </row>
        <row r="19">
          <cell r="A19" t="str">
            <v>Plaza 2000</v>
          </cell>
          <cell r="B19" t="str">
            <v>Alternative Channels</v>
          </cell>
          <cell r="C19" t="str">
            <v>Selestine Magayu</v>
          </cell>
          <cell r="D19" t="str">
            <v>Eric Njiru</v>
          </cell>
          <cell r="E19" t="str">
            <v>Eric Njiru</v>
          </cell>
        </row>
        <row r="20">
          <cell r="A20" t="str">
            <v>Eco Towers</v>
          </cell>
          <cell r="B20" t="str">
            <v>Alternative Channels</v>
          </cell>
          <cell r="C20" t="str">
            <v>Joel Mbogo</v>
          </cell>
          <cell r="D20" t="str">
            <v>Eric Njiru</v>
          </cell>
          <cell r="E20" t="str">
            <v>Eric Njiru</v>
          </cell>
        </row>
        <row r="21">
          <cell r="A21" t="str">
            <v>Industrial Area</v>
          </cell>
          <cell r="B21" t="str">
            <v>Alternative Channels</v>
          </cell>
          <cell r="C21" t="str">
            <v>Selestine Magayu</v>
          </cell>
          <cell r="D21" t="str">
            <v>Eric Njiru</v>
          </cell>
          <cell r="E21" t="str">
            <v>Eric Njiru</v>
          </cell>
        </row>
        <row r="22">
          <cell r="A22" t="str">
            <v>Kisii-Ecobank</v>
          </cell>
          <cell r="B22" t="str">
            <v>Alternative Channels</v>
          </cell>
          <cell r="C22" t="str">
            <v>Joel Mbogo</v>
          </cell>
          <cell r="D22" t="str">
            <v>Eric Njiru</v>
          </cell>
          <cell r="E22" t="str">
            <v>Eric Njiru</v>
          </cell>
        </row>
        <row r="23">
          <cell r="A23" t="str">
            <v>Kisii-Ecobank</v>
          </cell>
          <cell r="B23" t="str">
            <v>Alternative Channels</v>
          </cell>
          <cell r="C23" t="str">
            <v>Joel Mbogo</v>
          </cell>
          <cell r="D23" t="str">
            <v>Eric Njiru</v>
          </cell>
          <cell r="E23" t="str">
            <v>Eric Njiru</v>
          </cell>
        </row>
        <row r="24">
          <cell r="A24" t="str">
            <v>Thika-Ecobank</v>
          </cell>
          <cell r="B24" t="str">
            <v>Alternative Channels</v>
          </cell>
          <cell r="C24" t="str">
            <v>Joel Mbogo</v>
          </cell>
          <cell r="D24" t="str">
            <v>Eric Njiru</v>
          </cell>
          <cell r="E24" t="str">
            <v>Eric Njiru</v>
          </cell>
        </row>
        <row r="25">
          <cell r="A25" t="str">
            <v>Kisumu-Ecobank</v>
          </cell>
          <cell r="B25" t="str">
            <v>Alternative Channels</v>
          </cell>
          <cell r="C25" t="str">
            <v>Joel Mbogo</v>
          </cell>
          <cell r="D25" t="str">
            <v>Eric Njiru</v>
          </cell>
          <cell r="E25" t="str">
            <v>Eric Njiru</v>
          </cell>
        </row>
        <row r="26">
          <cell r="A26" t="str">
            <v>HISA0041</v>
          </cell>
          <cell r="B26" t="str">
            <v>Alternative Channels</v>
          </cell>
          <cell r="C26" t="str">
            <v>Joel Mbogo</v>
          </cell>
          <cell r="D26" t="str">
            <v>Eric Njiru</v>
          </cell>
          <cell r="E26" t="str">
            <v>Eric Njiru</v>
          </cell>
          <cell r="F26">
            <v>12</v>
          </cell>
        </row>
        <row r="27">
          <cell r="A27" t="str">
            <v>HISA0054</v>
          </cell>
          <cell r="B27" t="str">
            <v>Alternative Channels</v>
          </cell>
          <cell r="C27" t="str">
            <v>Joel Mbogo</v>
          </cell>
          <cell r="D27" t="str">
            <v>Eric Njiru</v>
          </cell>
          <cell r="E27" t="str">
            <v>Eric Njiru</v>
          </cell>
          <cell r="F27">
            <v>12</v>
          </cell>
        </row>
        <row r="28">
          <cell r="A28" t="str">
            <v>HISA0027</v>
          </cell>
          <cell r="B28" t="str">
            <v>Alternative Channels</v>
          </cell>
          <cell r="C28" t="str">
            <v>Joel Mbogo</v>
          </cell>
          <cell r="D28" t="str">
            <v>Eric Njiru</v>
          </cell>
          <cell r="E28" t="str">
            <v>Eric Njiru</v>
          </cell>
          <cell r="F28">
            <v>12</v>
          </cell>
        </row>
        <row r="29">
          <cell r="A29" t="str">
            <v>HISA0067</v>
          </cell>
          <cell r="B29" t="str">
            <v>Alternative Channels</v>
          </cell>
          <cell r="C29" t="str">
            <v>Joel Mbogo</v>
          </cell>
          <cell r="D29" t="str">
            <v>Eric Njiru</v>
          </cell>
          <cell r="E29" t="str">
            <v>Eric Njiru</v>
          </cell>
          <cell r="F29">
            <v>12</v>
          </cell>
        </row>
        <row r="30">
          <cell r="A30" t="str">
            <v>HISA0002</v>
          </cell>
          <cell r="B30" t="str">
            <v>Alternative Channels</v>
          </cell>
          <cell r="C30" t="str">
            <v>Joel Mbogo</v>
          </cell>
          <cell r="D30" t="str">
            <v>Eric Njiru</v>
          </cell>
          <cell r="E30" t="str">
            <v>Eric Njiru</v>
          </cell>
          <cell r="F30">
            <v>12</v>
          </cell>
        </row>
        <row r="31">
          <cell r="A31" t="str">
            <v>HISA0069</v>
          </cell>
          <cell r="B31" t="str">
            <v>Alternative Channels</v>
          </cell>
          <cell r="C31" t="str">
            <v>Joel Mbogo</v>
          </cell>
          <cell r="D31" t="str">
            <v>Eric Njiru</v>
          </cell>
          <cell r="E31" t="str">
            <v>Eric Njiru</v>
          </cell>
          <cell r="F31">
            <v>12</v>
          </cell>
        </row>
        <row r="32">
          <cell r="A32" t="str">
            <v>HISA0003</v>
          </cell>
          <cell r="B32" t="str">
            <v>Alternative Channels</v>
          </cell>
          <cell r="C32" t="str">
            <v>Joel Mbogo</v>
          </cell>
          <cell r="D32" t="str">
            <v>Eric Njiru</v>
          </cell>
          <cell r="E32" t="str">
            <v>Eric Njiru</v>
          </cell>
          <cell r="F32">
            <v>12</v>
          </cell>
        </row>
        <row r="33">
          <cell r="A33" t="str">
            <v>HISA0011</v>
          </cell>
          <cell r="B33" t="str">
            <v>Alternative Channels</v>
          </cell>
          <cell r="C33" t="str">
            <v>Joel Mbogo</v>
          </cell>
          <cell r="D33" t="str">
            <v>Eric Njiru</v>
          </cell>
          <cell r="E33" t="str">
            <v>Eric Njiru</v>
          </cell>
          <cell r="F33">
            <v>12</v>
          </cell>
        </row>
        <row r="34">
          <cell r="A34" t="str">
            <v>HISA0060</v>
          </cell>
          <cell r="B34" t="str">
            <v>Alternative Channels</v>
          </cell>
          <cell r="C34" t="str">
            <v>Joel Mbogo</v>
          </cell>
          <cell r="D34" t="str">
            <v>Eric Njiru</v>
          </cell>
          <cell r="E34" t="str">
            <v>Eric Njiru</v>
          </cell>
          <cell r="F34">
            <v>12</v>
          </cell>
        </row>
        <row r="35">
          <cell r="A35" t="str">
            <v>HISA0020</v>
          </cell>
          <cell r="B35" t="str">
            <v>Alternative Channels</v>
          </cell>
          <cell r="C35" t="str">
            <v>Joel Mbogo</v>
          </cell>
          <cell r="D35" t="str">
            <v>Eric Njiru</v>
          </cell>
          <cell r="E35" t="str">
            <v>Eric Njiru</v>
          </cell>
          <cell r="F35">
            <v>12</v>
          </cell>
        </row>
        <row r="36">
          <cell r="A36" t="str">
            <v>HISA0039</v>
          </cell>
          <cell r="B36" t="str">
            <v>Alternative Channels</v>
          </cell>
          <cell r="C36" t="str">
            <v>Joel Mbogo</v>
          </cell>
          <cell r="D36" t="str">
            <v>Eric Njiru</v>
          </cell>
          <cell r="E36" t="str">
            <v>Eric Njiru</v>
          </cell>
          <cell r="F36">
            <v>12</v>
          </cell>
        </row>
        <row r="37">
          <cell r="A37" t="str">
            <v>HISA0018</v>
          </cell>
          <cell r="B37" t="str">
            <v>Alternative Channels</v>
          </cell>
          <cell r="C37" t="str">
            <v>Joel Mbogo</v>
          </cell>
          <cell r="D37" t="str">
            <v>Eric Njiru</v>
          </cell>
          <cell r="E37" t="str">
            <v>Eric Njiru</v>
          </cell>
          <cell r="F37">
            <v>12</v>
          </cell>
        </row>
        <row r="38">
          <cell r="A38" t="str">
            <v>HISA0016</v>
          </cell>
          <cell r="B38" t="str">
            <v>Alternative Channels</v>
          </cell>
          <cell r="C38" t="str">
            <v>Joel Mbogo</v>
          </cell>
          <cell r="D38" t="str">
            <v>Eric Njiru</v>
          </cell>
          <cell r="E38" t="str">
            <v>Eric Njiru</v>
          </cell>
          <cell r="F38">
            <v>12</v>
          </cell>
        </row>
        <row r="39">
          <cell r="A39" t="str">
            <v>HISA0045</v>
          </cell>
          <cell r="B39" t="str">
            <v>Alternative Channels</v>
          </cell>
          <cell r="C39" t="str">
            <v>Joel Mbogo</v>
          </cell>
          <cell r="D39" t="str">
            <v>Eric Njiru</v>
          </cell>
          <cell r="E39" t="str">
            <v>Eric Njiru</v>
          </cell>
          <cell r="F39">
            <v>12</v>
          </cell>
        </row>
        <row r="40">
          <cell r="A40" t="str">
            <v>HISA0047</v>
          </cell>
          <cell r="B40" t="str">
            <v>Alternative Channels</v>
          </cell>
          <cell r="C40" t="str">
            <v>Selestine Magayu</v>
          </cell>
          <cell r="D40" t="str">
            <v>Eric Njiru</v>
          </cell>
          <cell r="E40" t="str">
            <v>Eric Njiru</v>
          </cell>
          <cell r="F40">
            <v>12</v>
          </cell>
        </row>
        <row r="41">
          <cell r="A41" t="str">
            <v>HISA0007</v>
          </cell>
          <cell r="B41" t="str">
            <v>Alternative Channels</v>
          </cell>
          <cell r="C41" t="str">
            <v>Selestine Magayu</v>
          </cell>
          <cell r="D41" t="str">
            <v>Eric Njiru</v>
          </cell>
          <cell r="E41" t="str">
            <v>Eric Njiru</v>
          </cell>
          <cell r="F41">
            <v>12</v>
          </cell>
        </row>
        <row r="42">
          <cell r="A42" t="str">
            <v>HISA0076</v>
          </cell>
          <cell r="B42" t="str">
            <v>Alternative Channels</v>
          </cell>
          <cell r="C42" t="str">
            <v>Selestine Magayu</v>
          </cell>
          <cell r="D42" t="str">
            <v>Eric Njiru</v>
          </cell>
          <cell r="E42" t="str">
            <v>Eric Njiru</v>
          </cell>
          <cell r="F42">
            <v>12</v>
          </cell>
        </row>
        <row r="43">
          <cell r="A43" t="str">
            <v>HISA0076</v>
          </cell>
          <cell r="B43" t="str">
            <v>Alternative Channels</v>
          </cell>
          <cell r="C43" t="str">
            <v>Selestine Magayu</v>
          </cell>
          <cell r="D43" t="str">
            <v>Eric Njiru</v>
          </cell>
          <cell r="E43" t="str">
            <v>Eric Njiru</v>
          </cell>
          <cell r="F43">
            <v>12</v>
          </cell>
        </row>
        <row r="44">
          <cell r="A44" t="str">
            <v>HISA0086</v>
          </cell>
          <cell r="B44" t="str">
            <v>Alternative Channels</v>
          </cell>
          <cell r="C44" t="str">
            <v>Selestine Magayu</v>
          </cell>
          <cell r="D44" t="str">
            <v>Eric Njiru</v>
          </cell>
          <cell r="E44" t="str">
            <v>Eric Njiru</v>
          </cell>
          <cell r="F44">
            <v>12</v>
          </cell>
        </row>
        <row r="45">
          <cell r="A45" t="str">
            <v>HISA0040</v>
          </cell>
          <cell r="B45" t="str">
            <v>Alternative Channels</v>
          </cell>
          <cell r="C45" t="str">
            <v>Selestine Magayu</v>
          </cell>
          <cell r="D45" t="str">
            <v>Eric Njiru</v>
          </cell>
          <cell r="E45" t="str">
            <v>Eric Njiru</v>
          </cell>
          <cell r="F45">
            <v>12</v>
          </cell>
        </row>
        <row r="46">
          <cell r="A46" t="str">
            <v>HISA0052</v>
          </cell>
          <cell r="B46" t="str">
            <v>Alternative Channels</v>
          </cell>
          <cell r="C46" t="str">
            <v>Selestine Magayu</v>
          </cell>
          <cell r="D46" t="str">
            <v>Eric Njiru</v>
          </cell>
          <cell r="E46" t="str">
            <v>Eric Njiru</v>
          </cell>
          <cell r="F46">
            <v>12</v>
          </cell>
        </row>
        <row r="47">
          <cell r="A47" t="str">
            <v>HISA0096</v>
          </cell>
          <cell r="B47" t="str">
            <v>Alternative Channels</v>
          </cell>
          <cell r="C47" t="str">
            <v>Selestine Magayu</v>
          </cell>
          <cell r="D47" t="str">
            <v>Eric Njiru</v>
          </cell>
          <cell r="E47" t="str">
            <v>Eric Njiru</v>
          </cell>
          <cell r="F47">
            <v>12</v>
          </cell>
        </row>
        <row r="48">
          <cell r="A48" t="str">
            <v>HISA0028</v>
          </cell>
          <cell r="B48" t="str">
            <v>Alternative Channels</v>
          </cell>
          <cell r="C48" t="str">
            <v>Selestine Magayu</v>
          </cell>
          <cell r="D48" t="str">
            <v>Eric Njiru</v>
          </cell>
          <cell r="E48" t="str">
            <v>Eric Njiru</v>
          </cell>
          <cell r="F48">
            <v>12</v>
          </cell>
        </row>
        <row r="49">
          <cell r="A49" t="str">
            <v>HISA0033</v>
          </cell>
          <cell r="B49" t="str">
            <v>Alternative Channels</v>
          </cell>
          <cell r="C49" t="str">
            <v>Selestine Magayu</v>
          </cell>
          <cell r="D49" t="str">
            <v>Eric Njiru</v>
          </cell>
          <cell r="E49" t="str">
            <v>Eric Njiru</v>
          </cell>
          <cell r="F49">
            <v>12</v>
          </cell>
        </row>
        <row r="50">
          <cell r="A50" t="str">
            <v>HISA0080</v>
          </cell>
          <cell r="B50" t="str">
            <v>Alternative Channels</v>
          </cell>
          <cell r="C50" t="str">
            <v>Selestine Magayu</v>
          </cell>
          <cell r="D50" t="str">
            <v>Eric Njiru</v>
          </cell>
          <cell r="E50" t="str">
            <v>Eric Njiru</v>
          </cell>
          <cell r="F50">
            <v>12</v>
          </cell>
        </row>
        <row r="51">
          <cell r="A51" t="str">
            <v>HISA0061</v>
          </cell>
          <cell r="B51" t="str">
            <v>Alternative Channels</v>
          </cell>
          <cell r="C51" t="str">
            <v>Selestine Magayu</v>
          </cell>
          <cell r="D51" t="str">
            <v>Eric Njiru</v>
          </cell>
          <cell r="E51" t="str">
            <v>Eric Njiru</v>
          </cell>
          <cell r="F51">
            <v>12</v>
          </cell>
        </row>
        <row r="52">
          <cell r="A52" t="str">
            <v>HISA0012</v>
          </cell>
          <cell r="B52" t="str">
            <v>Alternative Channels</v>
          </cell>
          <cell r="C52" t="str">
            <v>Selestine Magayu</v>
          </cell>
          <cell r="D52" t="str">
            <v>Eric Njiru</v>
          </cell>
          <cell r="E52" t="str">
            <v>Eric Njiru</v>
          </cell>
          <cell r="F52">
            <v>12</v>
          </cell>
        </row>
        <row r="53">
          <cell r="A53" t="str">
            <v>HISA0025</v>
          </cell>
          <cell r="B53" t="str">
            <v>Alternative Channels</v>
          </cell>
          <cell r="C53" t="str">
            <v>Selestine Magayu</v>
          </cell>
          <cell r="D53" t="str">
            <v>Eric Njiru</v>
          </cell>
          <cell r="E53" t="str">
            <v>Eric Njiru</v>
          </cell>
          <cell r="F53">
            <v>12</v>
          </cell>
        </row>
        <row r="54">
          <cell r="A54" t="str">
            <v>HISA001</v>
          </cell>
          <cell r="B54" t="str">
            <v>Alternative Channels</v>
          </cell>
          <cell r="C54" t="str">
            <v>Eric Njiru</v>
          </cell>
          <cell r="D54" t="str">
            <v>Eric Njiru</v>
          </cell>
          <cell r="E54" t="str">
            <v>Eric Njiru</v>
          </cell>
          <cell r="F54">
            <v>12</v>
          </cell>
        </row>
        <row r="55">
          <cell r="A55" t="str">
            <v>Eastleigh</v>
          </cell>
          <cell r="B55" t="str">
            <v>Nairobi Central</v>
          </cell>
          <cell r="C55" t="str">
            <v>Zedekiah Mburu</v>
          </cell>
          <cell r="D55" t="str">
            <v>Zedekiah Mburu</v>
          </cell>
          <cell r="E55" t="str">
            <v>Bilha Wachira</v>
          </cell>
          <cell r="F55">
            <v>13</v>
          </cell>
        </row>
        <row r="56">
          <cell r="A56" t="str">
            <v>Eldoret</v>
          </cell>
          <cell r="B56" t="str">
            <v>Rift Valley</v>
          </cell>
          <cell r="C56" t="str">
            <v>Emily Jepchirchir</v>
          </cell>
          <cell r="D56" t="str">
            <v>Emily Jepchirchir</v>
          </cell>
          <cell r="E56" t="str">
            <v>Emily Jepchirchir</v>
          </cell>
          <cell r="F56">
            <v>14</v>
          </cell>
        </row>
        <row r="57">
          <cell r="A57" t="str">
            <v>Embu</v>
          </cell>
          <cell r="B57" t="str">
            <v>Mt. Kenya</v>
          </cell>
          <cell r="C57" t="str">
            <v>Teresa Maina</v>
          </cell>
          <cell r="D57" t="str">
            <v>Paul Kithuka</v>
          </cell>
          <cell r="E57" t="str">
            <v>Simon Maingi</v>
          </cell>
          <cell r="F57">
            <v>15</v>
          </cell>
        </row>
        <row r="58">
          <cell r="A58" t="str">
            <v>Garissa</v>
          </cell>
          <cell r="B58" t="str">
            <v>Mt. Kenya</v>
          </cell>
          <cell r="C58" t="str">
            <v>Teresa Maina</v>
          </cell>
          <cell r="D58" t="str">
            <v>Paul Kithuka</v>
          </cell>
          <cell r="E58" t="str">
            <v>Simon Maingi</v>
          </cell>
          <cell r="F58">
            <v>16</v>
          </cell>
        </row>
        <row r="59">
          <cell r="A59" t="str">
            <v>Gikomba</v>
          </cell>
          <cell r="B59" t="str">
            <v>Nairobi Central</v>
          </cell>
          <cell r="C59" t="str">
            <v>Zedekiah Mburu</v>
          </cell>
          <cell r="D59" t="str">
            <v>Zedekiah Mburu</v>
          </cell>
          <cell r="E59" t="str">
            <v>Bilha Wachira</v>
          </cell>
          <cell r="F59">
            <v>17</v>
          </cell>
        </row>
        <row r="60">
          <cell r="A60" t="str">
            <v>Gilgil</v>
          </cell>
          <cell r="B60" t="str">
            <v>Rift Valley</v>
          </cell>
          <cell r="C60" t="str">
            <v>Jane Nduta</v>
          </cell>
          <cell r="D60" t="str">
            <v>Emily Jepchirchir</v>
          </cell>
          <cell r="E60" t="str">
            <v>Emily Jepchirchir</v>
          </cell>
          <cell r="F60">
            <v>18</v>
          </cell>
        </row>
        <row r="61">
          <cell r="A61" t="str">
            <v>Githunguri</v>
          </cell>
          <cell r="B61" t="str">
            <v>Nairobi East</v>
          </cell>
          <cell r="C61" t="str">
            <v>Julius Mugane</v>
          </cell>
          <cell r="D61" t="str">
            <v>Julius Mugane</v>
          </cell>
          <cell r="E61" t="str">
            <v>Debrah Rashid</v>
          </cell>
          <cell r="F61">
            <v>19</v>
          </cell>
        </row>
        <row r="62">
          <cell r="A62" t="str">
            <v>Harambee Prestige</v>
          </cell>
          <cell r="B62" t="str">
            <v>Nairobi East</v>
          </cell>
          <cell r="C62" t="str">
            <v>Charles Gicho</v>
          </cell>
          <cell r="D62" t="str">
            <v>Julius Mugane</v>
          </cell>
          <cell r="E62" t="str">
            <v>Debrah Rashid</v>
          </cell>
          <cell r="F62">
            <v>20</v>
          </cell>
        </row>
        <row r="63">
          <cell r="A63" t="str">
            <v>Verge Insurance Brokers</v>
          </cell>
          <cell r="B63" t="str">
            <v>Alternative Channels</v>
          </cell>
          <cell r="C63" t="str">
            <v>Joel Mbogo</v>
          </cell>
          <cell r="D63" t="str">
            <v>Joel Mbogo</v>
          </cell>
          <cell r="E63" t="str">
            <v>Eric Njiru</v>
          </cell>
          <cell r="F63">
            <v>21</v>
          </cell>
        </row>
        <row r="64">
          <cell r="A64" t="str">
            <v>Hisa</v>
          </cell>
          <cell r="B64" t="str">
            <v>Alternative Channels</v>
          </cell>
          <cell r="C64" t="str">
            <v>Eric Njiru</v>
          </cell>
          <cell r="D64" t="str">
            <v>Eric Njiru</v>
          </cell>
          <cell r="E64" t="str">
            <v>Eric Njiru</v>
          </cell>
          <cell r="F64">
            <v>21</v>
          </cell>
        </row>
        <row r="65">
          <cell r="A65" t="str">
            <v>Homabay</v>
          </cell>
          <cell r="B65" t="str">
            <v>Western</v>
          </cell>
          <cell r="C65" t="str">
            <v>Wycliffe Oginga</v>
          </cell>
          <cell r="D65" t="str">
            <v>Sheila Adhiambo</v>
          </cell>
          <cell r="E65" t="str">
            <v>Eric Njiru</v>
          </cell>
          <cell r="F65">
            <v>22</v>
          </cell>
        </row>
        <row r="66">
          <cell r="A66" t="str">
            <v>Hurlingham</v>
          </cell>
          <cell r="B66" t="str">
            <v>Nairobi Central</v>
          </cell>
          <cell r="C66" t="str">
            <v>Zedekiah Mburu</v>
          </cell>
          <cell r="D66" t="str">
            <v>Zedekiah Mburu</v>
          </cell>
          <cell r="E66" t="str">
            <v>Bilha Wachira</v>
          </cell>
          <cell r="F66">
            <v>23</v>
          </cell>
        </row>
        <row r="67">
          <cell r="A67" t="str">
            <v>Isiolo</v>
          </cell>
          <cell r="B67" t="str">
            <v>Mt. Kenya</v>
          </cell>
          <cell r="C67" t="str">
            <v>Morgan Mwangi</v>
          </cell>
          <cell r="D67" t="str">
            <v>Paul Kithuka</v>
          </cell>
          <cell r="E67" t="str">
            <v>Simon Maingi</v>
          </cell>
          <cell r="F67">
            <v>24</v>
          </cell>
        </row>
        <row r="68">
          <cell r="A68" t="str">
            <v>JKIA</v>
          </cell>
          <cell r="B68" t="str">
            <v>Nairobi West</v>
          </cell>
          <cell r="C68" t="str">
            <v>Valentine Musyoka</v>
          </cell>
          <cell r="D68" t="str">
            <v>Ancetar Mulili</v>
          </cell>
          <cell r="E68" t="str">
            <v>Bilha Wachira</v>
          </cell>
          <cell r="F68">
            <v>25</v>
          </cell>
        </row>
        <row r="69">
          <cell r="A69" t="str">
            <v>Juja</v>
          </cell>
          <cell r="B69" t="str">
            <v>Mt. Kenya</v>
          </cell>
          <cell r="C69" t="str">
            <v>Paul Kithuka</v>
          </cell>
          <cell r="D69" t="str">
            <v>Paul Kithuka</v>
          </cell>
          <cell r="E69" t="str">
            <v>Simon Maingi</v>
          </cell>
          <cell r="F69">
            <v>26</v>
          </cell>
        </row>
        <row r="70">
          <cell r="A70" t="str">
            <v>Kabarnet</v>
          </cell>
          <cell r="B70" t="str">
            <v>Rift Valley</v>
          </cell>
          <cell r="C70" t="str">
            <v>Hillary Muganda</v>
          </cell>
          <cell r="D70" t="str">
            <v>Emily Jepchirchir</v>
          </cell>
          <cell r="E70" t="str">
            <v>Emily Jepchirchir</v>
          </cell>
          <cell r="F70">
            <v>27</v>
          </cell>
        </row>
        <row r="71">
          <cell r="A71" t="str">
            <v>Kakamega</v>
          </cell>
          <cell r="B71" t="str">
            <v>Western</v>
          </cell>
          <cell r="C71" t="str">
            <v>Sheila Adhiambo</v>
          </cell>
          <cell r="D71" t="str">
            <v>Sheila Adhiambo</v>
          </cell>
          <cell r="E71" t="str">
            <v>Eric Njiru</v>
          </cell>
          <cell r="F71">
            <v>28</v>
          </cell>
        </row>
        <row r="72">
          <cell r="A72" t="str">
            <v>Kapenguria</v>
          </cell>
          <cell r="B72" t="str">
            <v>Rift Valley</v>
          </cell>
          <cell r="C72" t="str">
            <v>Hillary Muganda</v>
          </cell>
          <cell r="D72" t="str">
            <v>Emily Jepchirchir</v>
          </cell>
          <cell r="E72" t="str">
            <v>Emily Jepchirchir</v>
          </cell>
          <cell r="F72">
            <v>29</v>
          </cell>
        </row>
        <row r="73">
          <cell r="A73" t="str">
            <v>Kapsabet</v>
          </cell>
          <cell r="B73" t="str">
            <v>Rift Valley</v>
          </cell>
          <cell r="C73" t="str">
            <v>Emily Jepchirchir</v>
          </cell>
          <cell r="D73" t="str">
            <v>Emily Jepchirchir</v>
          </cell>
          <cell r="E73" t="str">
            <v>Emily Jepchirchir</v>
          </cell>
          <cell r="F73">
            <v>30</v>
          </cell>
        </row>
        <row r="74">
          <cell r="A74" t="str">
            <v>Karatina</v>
          </cell>
          <cell r="B74" t="str">
            <v>Mt. Kenya</v>
          </cell>
          <cell r="C74" t="str">
            <v>Teresa Maina</v>
          </cell>
          <cell r="D74" t="str">
            <v>Paul Kithuka</v>
          </cell>
          <cell r="E74" t="str">
            <v>Simon Maingi</v>
          </cell>
          <cell r="F74">
            <v>31</v>
          </cell>
        </row>
        <row r="75">
          <cell r="A75" t="str">
            <v>Karen</v>
          </cell>
          <cell r="B75" t="str">
            <v>Nairobi West</v>
          </cell>
          <cell r="C75" t="str">
            <v>Valentine Musyoka</v>
          </cell>
          <cell r="D75" t="str">
            <v>Ancetar Mulili</v>
          </cell>
          <cell r="E75" t="str">
            <v>Bilha Wachira</v>
          </cell>
          <cell r="F75">
            <v>32</v>
          </cell>
        </row>
        <row r="76">
          <cell r="A76" t="str">
            <v>Kariobangi</v>
          </cell>
          <cell r="B76" t="str">
            <v>Nairobi Central</v>
          </cell>
          <cell r="C76" t="str">
            <v>Zedekiah Mburu</v>
          </cell>
          <cell r="D76" t="str">
            <v>Zedekiah Mburu</v>
          </cell>
          <cell r="E76" t="str">
            <v>Bilha Wachira</v>
          </cell>
          <cell r="F76">
            <v>33</v>
          </cell>
        </row>
        <row r="77">
          <cell r="A77" t="str">
            <v>Kericho</v>
          </cell>
          <cell r="B77" t="str">
            <v>Western</v>
          </cell>
          <cell r="C77" t="str">
            <v>Sheila Adhiambo</v>
          </cell>
          <cell r="D77" t="str">
            <v>Sheila Adhiambo</v>
          </cell>
          <cell r="E77" t="str">
            <v>Eric Njiru</v>
          </cell>
          <cell r="F77">
            <v>34</v>
          </cell>
        </row>
        <row r="78">
          <cell r="A78" t="str">
            <v>Kerugoya</v>
          </cell>
          <cell r="B78" t="str">
            <v>Mt. Kenya</v>
          </cell>
          <cell r="C78" t="str">
            <v>Teresa Maina</v>
          </cell>
          <cell r="D78" t="str">
            <v>Paul Kithuka</v>
          </cell>
          <cell r="E78" t="str">
            <v>Simon Maingi</v>
          </cell>
          <cell r="F78">
            <v>35</v>
          </cell>
        </row>
        <row r="79">
          <cell r="A79" t="str">
            <v>Kikuyu</v>
          </cell>
          <cell r="B79" t="str">
            <v>Nairobi East</v>
          </cell>
          <cell r="C79" t="str">
            <v>Charles Gicho</v>
          </cell>
          <cell r="D79" t="str">
            <v>Julius Mugane</v>
          </cell>
          <cell r="E79" t="str">
            <v>Debrah Rashid</v>
          </cell>
          <cell r="F79">
            <v>36</v>
          </cell>
        </row>
        <row r="80">
          <cell r="A80" t="str">
            <v>Kilifi</v>
          </cell>
          <cell r="B80" t="str">
            <v>Coast</v>
          </cell>
          <cell r="C80" t="str">
            <v>Brian Khamadi</v>
          </cell>
          <cell r="D80" t="str">
            <v>Brian Khamadi</v>
          </cell>
          <cell r="E80" t="str">
            <v>Eric Njiru</v>
          </cell>
          <cell r="F80">
            <v>37</v>
          </cell>
        </row>
        <row r="81">
          <cell r="A81" t="str">
            <v>Kisii-Bank</v>
          </cell>
          <cell r="B81" t="str">
            <v>Western</v>
          </cell>
          <cell r="C81" t="str">
            <v>Wycliffe Oginga</v>
          </cell>
          <cell r="D81" t="str">
            <v>Sheila Adhiambo</v>
          </cell>
          <cell r="E81" t="str">
            <v>Eric Njiru</v>
          </cell>
          <cell r="F81">
            <v>38</v>
          </cell>
        </row>
        <row r="82">
          <cell r="A82" t="str">
            <v>Kisumu-Bank</v>
          </cell>
          <cell r="B82" t="str">
            <v>Western</v>
          </cell>
          <cell r="C82" t="str">
            <v>Sheila Adhiambo</v>
          </cell>
          <cell r="D82" t="str">
            <v>Sheila Adhiambo</v>
          </cell>
          <cell r="E82" t="str">
            <v>Eric Njiru</v>
          </cell>
          <cell r="F82">
            <v>39</v>
          </cell>
        </row>
        <row r="83">
          <cell r="A83" t="str">
            <v>Kitale</v>
          </cell>
          <cell r="B83" t="str">
            <v>Rift Valley</v>
          </cell>
          <cell r="C83" t="str">
            <v>Hillary Muganda</v>
          </cell>
          <cell r="D83" t="str">
            <v>Emily Jepchirchir</v>
          </cell>
          <cell r="E83" t="str">
            <v>Emily Jepchirchir</v>
          </cell>
          <cell r="F83">
            <v>40</v>
          </cell>
        </row>
        <row r="84">
          <cell r="A84" t="str">
            <v>Kitengela</v>
          </cell>
          <cell r="B84" t="str">
            <v>Nairobi West</v>
          </cell>
          <cell r="C84" t="str">
            <v>Ancetar Mulili</v>
          </cell>
          <cell r="D84" t="str">
            <v>Ancetar Mulili</v>
          </cell>
          <cell r="E84" t="str">
            <v>Bilha Wachira</v>
          </cell>
          <cell r="F84">
            <v>41</v>
          </cell>
        </row>
        <row r="85">
          <cell r="A85" t="str">
            <v>Kitui</v>
          </cell>
          <cell r="B85" t="str">
            <v>Nairobi West</v>
          </cell>
          <cell r="C85" t="str">
            <v>Ancetar Mulili</v>
          </cell>
          <cell r="D85" t="str">
            <v>Ancetar Mulili</v>
          </cell>
          <cell r="E85" t="str">
            <v>Bilha Wachira</v>
          </cell>
          <cell r="F85">
            <v>42</v>
          </cell>
        </row>
        <row r="86">
          <cell r="A86" t="str">
            <v>Lavington</v>
          </cell>
          <cell r="B86" t="str">
            <v>Nairobi East</v>
          </cell>
          <cell r="C86" t="str">
            <v>Julius Mugane</v>
          </cell>
          <cell r="D86" t="str">
            <v>Julius Mugane</v>
          </cell>
          <cell r="E86" t="str">
            <v>Debrah Rashid</v>
          </cell>
          <cell r="F86">
            <v>43</v>
          </cell>
        </row>
        <row r="87">
          <cell r="A87" t="str">
            <v>Limuru</v>
          </cell>
          <cell r="B87" t="str">
            <v>Nairobi East</v>
          </cell>
          <cell r="C87" t="str">
            <v>Charles Gicho</v>
          </cell>
          <cell r="D87" t="str">
            <v>Julius Mugane</v>
          </cell>
          <cell r="E87" t="str">
            <v>Debrah Rashid</v>
          </cell>
          <cell r="F87">
            <v>44</v>
          </cell>
        </row>
        <row r="88">
          <cell r="A88" t="str">
            <v>Lungalunga</v>
          </cell>
          <cell r="B88" t="str">
            <v>Nairobi West</v>
          </cell>
          <cell r="C88" t="str">
            <v>Valentine Musyoka</v>
          </cell>
          <cell r="D88" t="str">
            <v>Ancetar Mulili</v>
          </cell>
          <cell r="E88" t="str">
            <v>Bilha Wachira</v>
          </cell>
          <cell r="F88">
            <v>45</v>
          </cell>
        </row>
        <row r="89">
          <cell r="A89" t="str">
            <v>Machakos</v>
          </cell>
          <cell r="B89" t="str">
            <v>Nairobi West</v>
          </cell>
          <cell r="C89" t="str">
            <v>Ancetar Mulili</v>
          </cell>
          <cell r="D89" t="str">
            <v>Ancetar Mulili</v>
          </cell>
          <cell r="E89" t="str">
            <v>Bilha Wachira</v>
          </cell>
          <cell r="F89">
            <v>46</v>
          </cell>
        </row>
        <row r="90">
          <cell r="A90" t="str">
            <v>Malindi</v>
          </cell>
          <cell r="B90" t="str">
            <v>Coast</v>
          </cell>
          <cell r="C90" t="str">
            <v>Brian Khamadi</v>
          </cell>
          <cell r="D90" t="str">
            <v>Brian Khamadi</v>
          </cell>
          <cell r="E90" t="str">
            <v>Eric Njiru</v>
          </cell>
          <cell r="F90">
            <v>47</v>
          </cell>
        </row>
        <row r="91">
          <cell r="A91" t="str">
            <v>Market</v>
          </cell>
          <cell r="B91" t="str">
            <v>Nairobi Central</v>
          </cell>
          <cell r="C91" t="str">
            <v>George Maina</v>
          </cell>
          <cell r="D91" t="str">
            <v>Zedekiah Mburu</v>
          </cell>
          <cell r="E91" t="str">
            <v>Bilha Wachira</v>
          </cell>
          <cell r="F91">
            <v>48</v>
          </cell>
        </row>
        <row r="92">
          <cell r="A92" t="str">
            <v>Maua</v>
          </cell>
          <cell r="B92" t="str">
            <v>Mt. Kenya</v>
          </cell>
          <cell r="C92" t="str">
            <v>Morgan Mwangi</v>
          </cell>
          <cell r="D92" t="str">
            <v>Paul Kithuka</v>
          </cell>
          <cell r="E92" t="str">
            <v>Simon Maingi</v>
          </cell>
          <cell r="F92">
            <v>49</v>
          </cell>
        </row>
        <row r="93">
          <cell r="A93" t="str">
            <v>Mbale</v>
          </cell>
          <cell r="B93" t="str">
            <v>Western</v>
          </cell>
          <cell r="C93" t="str">
            <v>Sheila Adhiambo</v>
          </cell>
          <cell r="D93" t="str">
            <v>Sheila Adhiambo</v>
          </cell>
          <cell r="E93" t="str">
            <v>Eric Njiru</v>
          </cell>
          <cell r="F93">
            <v>50</v>
          </cell>
        </row>
        <row r="94">
          <cell r="A94" t="str">
            <v>Meru</v>
          </cell>
          <cell r="B94" t="str">
            <v>Mt. Kenya</v>
          </cell>
          <cell r="C94" t="str">
            <v>Morgan Mwangi</v>
          </cell>
          <cell r="D94" t="str">
            <v>Paul Kithuka</v>
          </cell>
          <cell r="E94" t="str">
            <v>Simon Maingi</v>
          </cell>
          <cell r="F94">
            <v>51</v>
          </cell>
        </row>
        <row r="95">
          <cell r="A95" t="str">
            <v>Migori</v>
          </cell>
          <cell r="B95" t="str">
            <v>Western</v>
          </cell>
          <cell r="C95" t="str">
            <v>Wycliffe Oginga</v>
          </cell>
          <cell r="D95" t="str">
            <v>Sheila Adhiambo</v>
          </cell>
          <cell r="E95" t="str">
            <v>Eric Njiru</v>
          </cell>
          <cell r="F95">
            <v>52</v>
          </cell>
        </row>
        <row r="96">
          <cell r="A96" t="str">
            <v>Minet</v>
          </cell>
          <cell r="B96" t="str">
            <v>Alternative Channels</v>
          </cell>
          <cell r="C96" t="str">
            <v>Joel Mbogo</v>
          </cell>
          <cell r="D96" t="str">
            <v>Joel Mbogo</v>
          </cell>
          <cell r="E96" t="str">
            <v>Eric Njiru</v>
          </cell>
          <cell r="F96">
            <v>53</v>
          </cell>
        </row>
        <row r="97">
          <cell r="A97" t="str">
            <v>Moi Mombasa</v>
          </cell>
          <cell r="B97" t="str">
            <v>Coast</v>
          </cell>
          <cell r="C97" t="str">
            <v>Nancy Logose</v>
          </cell>
          <cell r="D97" t="str">
            <v>Brian Khamadi</v>
          </cell>
          <cell r="E97" t="str">
            <v>Eric Njiru</v>
          </cell>
          <cell r="F97">
            <v>54</v>
          </cell>
        </row>
        <row r="98">
          <cell r="A98" t="str">
            <v>Muranga</v>
          </cell>
          <cell r="B98" t="str">
            <v>Mt. Kenya</v>
          </cell>
          <cell r="C98" t="str">
            <v>Teresa Maina</v>
          </cell>
          <cell r="D98" t="str">
            <v>Paul Kithuka</v>
          </cell>
          <cell r="E98" t="str">
            <v>Simon Maingi</v>
          </cell>
          <cell r="F98">
            <v>55</v>
          </cell>
        </row>
        <row r="99">
          <cell r="A99" t="str">
            <v>Muthaiga</v>
          </cell>
          <cell r="B99" t="str">
            <v>Nairobi East</v>
          </cell>
          <cell r="C99" t="str">
            <v>Julius Mugane</v>
          </cell>
          <cell r="D99" t="str">
            <v>Julius Mugane</v>
          </cell>
          <cell r="E99" t="str">
            <v>Debrah Rashid</v>
          </cell>
          <cell r="F99">
            <v>56</v>
          </cell>
        </row>
        <row r="100">
          <cell r="A100" t="str">
            <v>Nairobi West</v>
          </cell>
          <cell r="B100" t="str">
            <v>Nairobi West</v>
          </cell>
          <cell r="C100" t="str">
            <v>Valentine Musyoka</v>
          </cell>
          <cell r="D100" t="str">
            <v>Ancetar Mulili</v>
          </cell>
          <cell r="E100" t="str">
            <v>Bilha Wachira</v>
          </cell>
          <cell r="F100">
            <v>57</v>
          </cell>
        </row>
        <row r="101">
          <cell r="A101" t="str">
            <v>Naivasha</v>
          </cell>
          <cell r="B101" t="str">
            <v>Rift Valley</v>
          </cell>
          <cell r="C101" t="str">
            <v>Jane Nduta</v>
          </cell>
          <cell r="D101" t="str">
            <v>Emily Jepchirchir</v>
          </cell>
          <cell r="E101" t="str">
            <v>Emily Jepchirchir</v>
          </cell>
          <cell r="F101">
            <v>58</v>
          </cell>
        </row>
        <row r="102">
          <cell r="A102" t="str">
            <v>Nakuru East</v>
          </cell>
          <cell r="B102" t="str">
            <v>Rift Valley</v>
          </cell>
          <cell r="C102" t="str">
            <v>Jane Nduta</v>
          </cell>
          <cell r="D102" t="str">
            <v>Emily Jepchirchir</v>
          </cell>
          <cell r="E102" t="str">
            <v>Emily Jepchirchir</v>
          </cell>
          <cell r="F102">
            <v>59</v>
          </cell>
        </row>
        <row r="103">
          <cell r="A103" t="str">
            <v>Nakuru West</v>
          </cell>
          <cell r="B103" t="str">
            <v>Rift Valley</v>
          </cell>
          <cell r="C103" t="str">
            <v>Hillary Muganda</v>
          </cell>
          <cell r="D103" t="str">
            <v>Emily Jepchirchir</v>
          </cell>
          <cell r="E103" t="str">
            <v>Emily Jepchirchir</v>
          </cell>
          <cell r="F103">
            <v>60</v>
          </cell>
        </row>
        <row r="104">
          <cell r="A104" t="str">
            <v>Nanyuki</v>
          </cell>
          <cell r="B104" t="str">
            <v>Mt. Kenya</v>
          </cell>
          <cell r="C104" t="str">
            <v>Morgan Mwangi</v>
          </cell>
          <cell r="D104" t="str">
            <v>Paul Kithuka</v>
          </cell>
          <cell r="E104" t="str">
            <v>Simon Maingi</v>
          </cell>
          <cell r="F104">
            <v>61</v>
          </cell>
        </row>
        <row r="105">
          <cell r="A105" t="str">
            <v>Narok</v>
          </cell>
          <cell r="B105" t="str">
            <v>Rift Valley</v>
          </cell>
          <cell r="C105" t="str">
            <v>Emily Jepchirchir</v>
          </cell>
          <cell r="D105" t="str">
            <v>Emily Jepchirchir</v>
          </cell>
          <cell r="E105" t="str">
            <v>Emily Jepchirchir</v>
          </cell>
          <cell r="F105">
            <v>62</v>
          </cell>
        </row>
        <row r="106">
          <cell r="A106" t="str">
            <v>Ngong</v>
          </cell>
          <cell r="B106" t="str">
            <v>Nairobi Central</v>
          </cell>
          <cell r="C106" t="str">
            <v>George Maina</v>
          </cell>
          <cell r="D106" t="str">
            <v>Zedekiah Mburu</v>
          </cell>
          <cell r="E106" t="str">
            <v>Bilha Wachira</v>
          </cell>
          <cell r="F106">
            <v>63</v>
          </cell>
        </row>
        <row r="107">
          <cell r="A107" t="str">
            <v>Nkrumah Road</v>
          </cell>
          <cell r="B107" t="str">
            <v>Coast</v>
          </cell>
          <cell r="C107" t="str">
            <v>Nancy Logose</v>
          </cell>
          <cell r="D107" t="str">
            <v>Brian Khamadi</v>
          </cell>
          <cell r="E107" t="str">
            <v>Eric Njiru</v>
          </cell>
          <cell r="F107">
            <v>64</v>
          </cell>
        </row>
        <row r="108">
          <cell r="A108" t="str">
            <v>Nyahururu</v>
          </cell>
          <cell r="B108" t="str">
            <v>Mt. Kenya</v>
          </cell>
          <cell r="C108" t="str">
            <v>Teresa Maina</v>
          </cell>
          <cell r="D108" t="str">
            <v>Paul Kithuka</v>
          </cell>
          <cell r="E108" t="str">
            <v>Simon Maingi</v>
          </cell>
          <cell r="F108">
            <v>65</v>
          </cell>
        </row>
        <row r="109">
          <cell r="A109" t="str">
            <v>Nyali</v>
          </cell>
          <cell r="B109" t="str">
            <v>Coast</v>
          </cell>
          <cell r="C109" t="str">
            <v>Brian Khamadi</v>
          </cell>
          <cell r="D109" t="str">
            <v>Brian Khamadi</v>
          </cell>
          <cell r="E109" t="str">
            <v>Eric Njiru</v>
          </cell>
          <cell r="F109">
            <v>66</v>
          </cell>
        </row>
        <row r="110">
          <cell r="A110" t="str">
            <v>Nyeri</v>
          </cell>
          <cell r="B110" t="str">
            <v>Mt. Kenya</v>
          </cell>
          <cell r="C110" t="str">
            <v>Morgan Mwangi</v>
          </cell>
          <cell r="D110" t="str">
            <v>Paul Kithuka</v>
          </cell>
          <cell r="E110" t="str">
            <v>Simon Maingi</v>
          </cell>
          <cell r="F110">
            <v>67</v>
          </cell>
        </row>
        <row r="111">
          <cell r="A111" t="str">
            <v>Ongata Rongai</v>
          </cell>
          <cell r="B111" t="str">
            <v>Nairobi Central</v>
          </cell>
          <cell r="C111" t="str">
            <v>Zedekiah Mburu</v>
          </cell>
          <cell r="D111" t="str">
            <v>Zedekiah Mburu</v>
          </cell>
          <cell r="E111" t="str">
            <v>Bilha Wachira</v>
          </cell>
          <cell r="F111">
            <v>68</v>
          </cell>
        </row>
        <row r="112">
          <cell r="A112" t="str">
            <v>Parkside Towers</v>
          </cell>
          <cell r="B112" t="str">
            <v>Nairobi West</v>
          </cell>
          <cell r="C112" t="str">
            <v>Valentine Musyoka</v>
          </cell>
          <cell r="D112" t="str">
            <v>Ancetar Mulili</v>
          </cell>
          <cell r="E112" t="str">
            <v>Bilha Wachira</v>
          </cell>
          <cell r="F112">
            <v>69</v>
          </cell>
        </row>
        <row r="113">
          <cell r="A113" t="str">
            <v>Queensway hse</v>
          </cell>
          <cell r="B113" t="str">
            <v>Queensway</v>
          </cell>
          <cell r="C113" t="str">
            <v>Nina Kifani</v>
          </cell>
          <cell r="D113" t="str">
            <v>Nina Kifani</v>
          </cell>
          <cell r="E113" t="str">
            <v>Bilha Wachira</v>
          </cell>
          <cell r="F113">
            <v>71</v>
          </cell>
        </row>
        <row r="114">
          <cell r="A114" t="str">
            <v>River Road</v>
          </cell>
          <cell r="B114" t="str">
            <v>Nairobi West</v>
          </cell>
          <cell r="C114" t="str">
            <v>Ancetar Mulili</v>
          </cell>
          <cell r="D114" t="str">
            <v>Ancetar Mulili</v>
          </cell>
          <cell r="E114" t="str">
            <v>Bilha Wachira</v>
          </cell>
          <cell r="F114">
            <v>72</v>
          </cell>
        </row>
        <row r="115">
          <cell r="A115" t="str">
            <v>Ruaraka</v>
          </cell>
          <cell r="B115" t="str">
            <v>Nairobi Central</v>
          </cell>
          <cell r="C115" t="str">
            <v>Zedekiah Mburu</v>
          </cell>
          <cell r="D115" t="str">
            <v>Zedekiah Mburu</v>
          </cell>
          <cell r="E115" t="str">
            <v>Bilha Wachira</v>
          </cell>
          <cell r="F115">
            <v>73</v>
          </cell>
        </row>
        <row r="116">
          <cell r="A116" t="str">
            <v>Sarit Prestige</v>
          </cell>
          <cell r="B116" t="str">
            <v>Premier</v>
          </cell>
          <cell r="C116" t="str">
            <v>Joseph Kairu</v>
          </cell>
          <cell r="D116" t="str">
            <v>Joseph Kairu</v>
          </cell>
          <cell r="E116" t="str">
            <v>Debrah Rashid</v>
          </cell>
          <cell r="F116">
            <v>74</v>
          </cell>
        </row>
        <row r="117">
          <cell r="A117" t="str">
            <v>Spertheones</v>
          </cell>
          <cell r="B117" t="str">
            <v>Alternative Channels</v>
          </cell>
          <cell r="C117" t="str">
            <v>Selestine Magayu</v>
          </cell>
          <cell r="D117" t="str">
            <v>Joel Mbogo</v>
          </cell>
          <cell r="E117" t="str">
            <v>Eric Njiru</v>
          </cell>
          <cell r="F117">
            <v>76</v>
          </cell>
        </row>
        <row r="118">
          <cell r="A118" t="str">
            <v>Taveta</v>
          </cell>
          <cell r="B118" t="str">
            <v>Coast</v>
          </cell>
          <cell r="C118" t="str">
            <v>Brian Khamadi</v>
          </cell>
          <cell r="D118" t="str">
            <v>Brian Khamadi</v>
          </cell>
          <cell r="E118" t="str">
            <v>Eric Njiru</v>
          </cell>
          <cell r="F118">
            <v>77</v>
          </cell>
        </row>
        <row r="119">
          <cell r="A119" t="str">
            <v>Thika-Bank</v>
          </cell>
          <cell r="B119" t="str">
            <v>Mt. Kenya</v>
          </cell>
          <cell r="C119" t="str">
            <v>Paul Kithuka</v>
          </cell>
          <cell r="D119" t="str">
            <v>Paul Kithuka</v>
          </cell>
          <cell r="E119" t="str">
            <v>Simon Maingi</v>
          </cell>
          <cell r="F119">
            <v>78</v>
          </cell>
        </row>
        <row r="120">
          <cell r="A120" t="str">
            <v>Thika Road Mall</v>
          </cell>
          <cell r="B120" t="str">
            <v>Nairobi Central</v>
          </cell>
          <cell r="C120" t="str">
            <v>George Maina</v>
          </cell>
          <cell r="D120" t="str">
            <v>Zedekiah Mburu</v>
          </cell>
          <cell r="E120" t="str">
            <v>Bilha Wachira</v>
          </cell>
          <cell r="F120">
            <v>79</v>
          </cell>
        </row>
        <row r="121">
          <cell r="A121" t="str">
            <v>Two Rivers Mall</v>
          </cell>
          <cell r="B121" t="str">
            <v>Nairobi East</v>
          </cell>
          <cell r="C121" t="str">
            <v>Julius Mugane</v>
          </cell>
          <cell r="D121" t="str">
            <v>Julius Mugane</v>
          </cell>
          <cell r="E121" t="str">
            <v>Debrah Rashid</v>
          </cell>
          <cell r="F121">
            <v>80</v>
          </cell>
        </row>
        <row r="122">
          <cell r="A122" t="str">
            <v>UON</v>
          </cell>
          <cell r="B122" t="str">
            <v>Nairobi East</v>
          </cell>
          <cell r="C122" t="str">
            <v>Julius Mugane</v>
          </cell>
          <cell r="D122" t="str">
            <v>Julius Mugane</v>
          </cell>
          <cell r="E122" t="str">
            <v>Debrah Rashid</v>
          </cell>
          <cell r="F122">
            <v>81</v>
          </cell>
        </row>
        <row r="123">
          <cell r="A123" t="str">
            <v>Village Market Prestige</v>
          </cell>
          <cell r="B123" t="str">
            <v>Nairobi East</v>
          </cell>
          <cell r="C123" t="str">
            <v>Charles Gicho</v>
          </cell>
          <cell r="D123" t="str">
            <v>Julius Mugane</v>
          </cell>
          <cell r="E123" t="str">
            <v>Debrah Rashid</v>
          </cell>
          <cell r="F123">
            <v>82</v>
          </cell>
        </row>
        <row r="124">
          <cell r="A124" t="str">
            <v>Voi</v>
          </cell>
          <cell r="B124" t="str">
            <v>Coast</v>
          </cell>
          <cell r="C124" t="str">
            <v>Brian Khamadi</v>
          </cell>
          <cell r="D124" t="str">
            <v>Brian Khamadi</v>
          </cell>
          <cell r="E124" t="str">
            <v>Eric Njiru</v>
          </cell>
          <cell r="F124">
            <v>83</v>
          </cell>
        </row>
        <row r="125">
          <cell r="A125" t="str">
            <v>Webuye</v>
          </cell>
          <cell r="B125" t="str">
            <v>Western</v>
          </cell>
          <cell r="C125" t="str">
            <v>Wycliffe Oginga</v>
          </cell>
          <cell r="D125" t="str">
            <v>Sheila Adhiambo</v>
          </cell>
          <cell r="E125" t="str">
            <v>Eric Njiru</v>
          </cell>
          <cell r="F125">
            <v>84</v>
          </cell>
        </row>
        <row r="126">
          <cell r="A126" t="str">
            <v>Westgate</v>
          </cell>
          <cell r="B126" t="str">
            <v>Nairobi East</v>
          </cell>
          <cell r="C126" t="str">
            <v>Julius Mugane</v>
          </cell>
          <cell r="D126" t="str">
            <v>Julius Mugane</v>
          </cell>
          <cell r="E126" t="str">
            <v>Debrah Rashid</v>
          </cell>
          <cell r="F126">
            <v>85</v>
          </cell>
        </row>
        <row r="127">
          <cell r="A127" t="str">
            <v>Wote</v>
          </cell>
          <cell r="B127" t="str">
            <v>Nairobi West</v>
          </cell>
          <cell r="C127" t="str">
            <v>Ancetar Mulili</v>
          </cell>
          <cell r="D127" t="str">
            <v>Ancetar Mulili</v>
          </cell>
          <cell r="E127" t="str">
            <v>Bilha Wachira</v>
          </cell>
          <cell r="F127">
            <v>86</v>
          </cell>
        </row>
        <row r="128">
          <cell r="A128" t="str">
            <v>Yaya Prestige</v>
          </cell>
          <cell r="B128" t="str">
            <v>Nairobi East</v>
          </cell>
          <cell r="C128" t="str">
            <v>Charles Gicho</v>
          </cell>
          <cell r="D128" t="str">
            <v>Julius Mugane</v>
          </cell>
          <cell r="E128" t="str">
            <v>Debrah Rashid</v>
          </cell>
          <cell r="F128">
            <v>87</v>
          </cell>
        </row>
        <row r="129">
          <cell r="A129" t="str">
            <v>Zamara</v>
          </cell>
          <cell r="B129" t="str">
            <v>Alternative Channels</v>
          </cell>
          <cell r="C129" t="str">
            <v>Selestine Magayu</v>
          </cell>
          <cell r="D129" t="str">
            <v>Joel Mbogo</v>
          </cell>
          <cell r="E129" t="str">
            <v>Eric Njiru</v>
          </cell>
          <cell r="F129">
            <v>88</v>
          </cell>
        </row>
        <row r="130">
          <cell r="A130" t="str">
            <v>Premier Flagship</v>
          </cell>
          <cell r="B130" t="str">
            <v>Premier</v>
          </cell>
          <cell r="C130" t="str">
            <v>Joseph Kairu</v>
          </cell>
          <cell r="D130" t="str">
            <v>Joseph Kairu</v>
          </cell>
          <cell r="E130" t="str">
            <v>Debrah Rashid</v>
          </cell>
          <cell r="F130">
            <v>92</v>
          </cell>
        </row>
        <row r="131">
          <cell r="A131" t="str">
            <v>Premier Sarit</v>
          </cell>
          <cell r="B131" t="str">
            <v>Premier</v>
          </cell>
          <cell r="C131" t="str">
            <v>Joseph Kairu</v>
          </cell>
          <cell r="D131" t="str">
            <v>Joseph Kairu</v>
          </cell>
          <cell r="E131" t="str">
            <v>Debrah Rashid</v>
          </cell>
          <cell r="F131">
            <v>93</v>
          </cell>
        </row>
        <row r="132">
          <cell r="A132" t="str">
            <v>Direct-sheila</v>
          </cell>
          <cell r="B132" t="str">
            <v>Western</v>
          </cell>
          <cell r="C132" t="str">
            <v>Sheila Adhiambo</v>
          </cell>
          <cell r="D132" t="str">
            <v>Sheila Adhiambo</v>
          </cell>
          <cell r="E132" t="str">
            <v>Eric Njiru</v>
          </cell>
          <cell r="F132">
            <v>94</v>
          </cell>
        </row>
        <row r="133">
          <cell r="A133" t="str">
            <v>Direct-Nduta</v>
          </cell>
          <cell r="B133" t="str">
            <v>Rift Valley</v>
          </cell>
          <cell r="C133" t="str">
            <v>Jane Nduta</v>
          </cell>
          <cell r="D133" t="str">
            <v>Emily Jepchirchir</v>
          </cell>
          <cell r="E133" t="str">
            <v>Emily Jepchirchir</v>
          </cell>
          <cell r="F133">
            <v>95</v>
          </cell>
        </row>
        <row r="134">
          <cell r="A134" t="str">
            <v>Direct-Gicho</v>
          </cell>
          <cell r="B134" t="str">
            <v>Nairobi East</v>
          </cell>
          <cell r="C134" t="str">
            <v>Charles Gicho</v>
          </cell>
          <cell r="D134" t="str">
            <v>Julius Mugane</v>
          </cell>
          <cell r="E134" t="str">
            <v>Debrah Rashid</v>
          </cell>
          <cell r="F134">
            <v>97</v>
          </cell>
        </row>
        <row r="135">
          <cell r="A135" t="str">
            <v>Direct-Kithuka</v>
          </cell>
          <cell r="B135" t="str">
            <v>Mt. Kenya</v>
          </cell>
          <cell r="C135" t="str">
            <v>Paul Kithuka</v>
          </cell>
          <cell r="D135" t="str">
            <v>Paul Kithuka</v>
          </cell>
          <cell r="E135" t="str">
            <v>Bilha Wachira</v>
          </cell>
          <cell r="F135">
            <v>98</v>
          </cell>
        </row>
        <row r="136">
          <cell r="A136" t="str">
            <v>Direct-Mugane</v>
          </cell>
          <cell r="B136" t="str">
            <v>Premier</v>
          </cell>
          <cell r="C136" t="str">
            <v>Julius Mugane</v>
          </cell>
          <cell r="D136" t="str">
            <v>Julius Mugane</v>
          </cell>
          <cell r="E136" t="str">
            <v>Debrah Rashid</v>
          </cell>
          <cell r="F136">
            <v>99</v>
          </cell>
        </row>
        <row r="137">
          <cell r="A137" t="str">
            <v>Direct-Valentine</v>
          </cell>
          <cell r="B137" t="str">
            <v>Coast</v>
          </cell>
          <cell r="C137" t="str">
            <v>Valentine Musyoka</v>
          </cell>
          <cell r="D137" t="str">
            <v>Ancetar Mulili</v>
          </cell>
          <cell r="E137" t="str">
            <v>Bilha Wachira</v>
          </cell>
          <cell r="F137">
            <v>100</v>
          </cell>
        </row>
        <row r="138">
          <cell r="A138" t="str">
            <v>Direct-Khamadi</v>
          </cell>
          <cell r="B138" t="str">
            <v>Coast</v>
          </cell>
          <cell r="C138" t="str">
            <v>Brian Khamadi</v>
          </cell>
          <cell r="D138" t="str">
            <v>Brian Khamadi</v>
          </cell>
          <cell r="E138" t="str">
            <v>Eric Njiru</v>
          </cell>
          <cell r="F138">
            <v>101</v>
          </cell>
        </row>
        <row r="139">
          <cell r="A139" t="str">
            <v>Direct-Zedekiah</v>
          </cell>
          <cell r="B139" t="str">
            <v>Nairobi Central</v>
          </cell>
          <cell r="C139" t="str">
            <v>Zedekiah Mburu</v>
          </cell>
          <cell r="D139" t="str">
            <v>Zedekiah Mburu</v>
          </cell>
          <cell r="E139" t="str">
            <v>Bilha Wachira</v>
          </cell>
          <cell r="F139">
            <v>102</v>
          </cell>
        </row>
        <row r="140">
          <cell r="A140" t="str">
            <v>Direct-Nina</v>
          </cell>
          <cell r="B140" t="str">
            <v>Queensway</v>
          </cell>
          <cell r="C140" t="str">
            <v>Nina Kifani</v>
          </cell>
          <cell r="D140" t="str">
            <v>Nina Kifani</v>
          </cell>
          <cell r="E140" t="str">
            <v>Bilha Wachira</v>
          </cell>
          <cell r="F140">
            <v>103</v>
          </cell>
        </row>
        <row r="141">
          <cell r="A141" t="str">
            <v>Plaza Premier</v>
          </cell>
          <cell r="B141" t="str">
            <v>Premier</v>
          </cell>
          <cell r="C141" t="str">
            <v>Joseph Kairu</v>
          </cell>
          <cell r="D141" t="str">
            <v>Joseph Kairu</v>
          </cell>
          <cell r="E141" t="str">
            <v>Debrah Rashid</v>
          </cell>
          <cell r="F141">
            <v>105</v>
          </cell>
        </row>
        <row r="142">
          <cell r="A142" t="str">
            <v>Medpel</v>
          </cell>
          <cell r="B142" t="str">
            <v>Nairobi Central</v>
          </cell>
          <cell r="C142" t="str">
            <v>Zedekiah Mburu</v>
          </cell>
          <cell r="D142" t="str">
            <v>Zedekiah Mburu</v>
          </cell>
          <cell r="E142" t="str">
            <v>Bilha Wachira</v>
          </cell>
          <cell r="F142">
            <v>106</v>
          </cell>
        </row>
        <row r="143">
          <cell r="A143" t="str">
            <v>Noble Strides</v>
          </cell>
          <cell r="B143" t="str">
            <v>Alternative Channels</v>
          </cell>
          <cell r="C143" t="str">
            <v>Selestine Magayu</v>
          </cell>
          <cell r="D143" t="str">
            <v>Joel Mbogo</v>
          </cell>
          <cell r="E143" t="str">
            <v>Eric Njiru</v>
          </cell>
          <cell r="F143">
            <v>107</v>
          </cell>
        </row>
        <row r="144">
          <cell r="A144" t="str">
            <v>Mtiba</v>
          </cell>
          <cell r="B144" t="str">
            <v>Alternative Channels</v>
          </cell>
          <cell r="C144" t="str">
            <v>Selestine Magayu</v>
          </cell>
          <cell r="D144" t="str">
            <v>Joel Mbogo</v>
          </cell>
          <cell r="E144" t="str">
            <v>Eric Njiru</v>
          </cell>
          <cell r="F144">
            <v>108</v>
          </cell>
        </row>
        <row r="145">
          <cell r="A145" t="str">
            <v>Dawit</v>
          </cell>
          <cell r="B145" t="str">
            <v>Alternative Channels</v>
          </cell>
          <cell r="C145" t="str">
            <v>Joel Mbogo</v>
          </cell>
          <cell r="D145" t="str">
            <v>Joel Mbogo</v>
          </cell>
          <cell r="E145" t="str">
            <v>Eric Njiru</v>
          </cell>
          <cell r="F145">
            <v>110</v>
          </cell>
        </row>
        <row r="146">
          <cell r="A146" t="str">
            <v>Premier Westgate</v>
          </cell>
          <cell r="B146" t="str">
            <v>Premier</v>
          </cell>
          <cell r="C146" t="str">
            <v>Julius Mugane</v>
          </cell>
          <cell r="D146" t="str">
            <v>Julius Mugane</v>
          </cell>
          <cell r="E146" t="str">
            <v>Debrah Rashid</v>
          </cell>
          <cell r="F146">
            <v>111</v>
          </cell>
        </row>
        <row r="147">
          <cell r="A147" t="str">
            <v>Direct-Hillary</v>
          </cell>
          <cell r="B147" t="str">
            <v>Rift Valley</v>
          </cell>
          <cell r="C147" t="str">
            <v>Hillary Muganda</v>
          </cell>
          <cell r="D147" t="str">
            <v>Emily Jepchirchir</v>
          </cell>
          <cell r="E147" t="str">
            <v>Emily Jepchirchir</v>
          </cell>
          <cell r="F147">
            <v>112</v>
          </cell>
        </row>
        <row r="148">
          <cell r="A148" t="str">
            <v>Direct-Ancetar</v>
          </cell>
          <cell r="B148" t="str">
            <v>Queensway</v>
          </cell>
          <cell r="C148" t="str">
            <v>Ancetar Mulili</v>
          </cell>
          <cell r="D148" t="str">
            <v>Ancetar Mulili</v>
          </cell>
          <cell r="E148" t="str">
            <v>Bilha Wachira</v>
          </cell>
          <cell r="F148">
            <v>113</v>
          </cell>
        </row>
        <row r="149">
          <cell r="A149" t="str">
            <v>Direct-Kairu</v>
          </cell>
          <cell r="B149" t="str">
            <v>Premier</v>
          </cell>
          <cell r="C149" t="str">
            <v>Joseph Kairu</v>
          </cell>
          <cell r="D149" t="str">
            <v>Joseph Kairu</v>
          </cell>
          <cell r="E149" t="str">
            <v>Debrah Rashid</v>
          </cell>
          <cell r="F149">
            <v>114</v>
          </cell>
        </row>
        <row r="150">
          <cell r="A150" t="str">
            <v>Direct-Bilha</v>
          </cell>
          <cell r="B150" t="str">
            <v>Nairobi Central</v>
          </cell>
          <cell r="C150" t="str">
            <v>Zedekiah Mburu</v>
          </cell>
          <cell r="D150" t="str">
            <v>Zedekiah Mburu</v>
          </cell>
          <cell r="E150" t="str">
            <v>Bilha Wachira</v>
          </cell>
          <cell r="F150">
            <v>115</v>
          </cell>
        </row>
        <row r="151">
          <cell r="A151" t="str">
            <v>Direct-Morgan</v>
          </cell>
          <cell r="B151" t="str">
            <v>Mt. Kenya</v>
          </cell>
          <cell r="C151" t="str">
            <v>Morgan Mwangi</v>
          </cell>
          <cell r="D151" t="str">
            <v>Paul Kithuka</v>
          </cell>
          <cell r="E151" t="str">
            <v>Simon Maingi</v>
          </cell>
          <cell r="F151">
            <v>124</v>
          </cell>
        </row>
        <row r="152">
          <cell r="A152" t="str">
            <v>Rupa Mall</v>
          </cell>
          <cell r="B152" t="str">
            <v>Rift Valley</v>
          </cell>
          <cell r="C152" t="str">
            <v>Emily Jepchirchir</v>
          </cell>
          <cell r="D152" t="str">
            <v>Emily Jepchirchir</v>
          </cell>
          <cell r="E152" t="str">
            <v>Emily Jepchirchir</v>
          </cell>
          <cell r="F152">
            <v>125</v>
          </cell>
        </row>
        <row r="153">
          <cell r="A153" t="str">
            <v>Imaara</v>
          </cell>
          <cell r="B153" t="str">
            <v>Nairobi West</v>
          </cell>
          <cell r="C153" t="str">
            <v>Ancetar Mulili</v>
          </cell>
          <cell r="D153" t="str">
            <v>Ancetar Mulili</v>
          </cell>
          <cell r="E153" t="str">
            <v>Bilha Wachira</v>
          </cell>
          <cell r="F153">
            <v>126</v>
          </cell>
        </row>
        <row r="154">
          <cell r="A154" t="str">
            <v>BBS Mall</v>
          </cell>
          <cell r="B154" t="str">
            <v>Nairobi Central</v>
          </cell>
          <cell r="C154" t="str">
            <v>George Maina</v>
          </cell>
          <cell r="D154" t="str">
            <v>Zedekiah Mburu</v>
          </cell>
          <cell r="E154" t="str">
            <v>Bilha Wachira</v>
          </cell>
          <cell r="F154">
            <v>128</v>
          </cell>
        </row>
        <row r="155">
          <cell r="A155" t="str">
            <v>Wendra</v>
          </cell>
          <cell r="B155" t="str">
            <v>Alternative Channels</v>
          </cell>
          <cell r="C155" t="str">
            <v>Selestine Magayu</v>
          </cell>
          <cell r="D155" t="str">
            <v>Joel Mbogo</v>
          </cell>
          <cell r="E155" t="str">
            <v>Eric Njiru</v>
          </cell>
          <cell r="F155">
            <v>129</v>
          </cell>
        </row>
        <row r="156">
          <cell r="A156" t="str">
            <v>Etana</v>
          </cell>
          <cell r="B156" t="str">
            <v>Alternative Channels</v>
          </cell>
          <cell r="C156" t="str">
            <v>Selestine Magayu</v>
          </cell>
          <cell r="D156" t="str">
            <v>Joel Mbogo</v>
          </cell>
          <cell r="E156" t="str">
            <v>Eric Njiru</v>
          </cell>
          <cell r="F156">
            <v>130</v>
          </cell>
        </row>
        <row r="157">
          <cell r="A157" t="str">
            <v>Online</v>
          </cell>
          <cell r="B157" t="str">
            <v>Alternative Channels</v>
          </cell>
          <cell r="C157" t="str">
            <v>Selestine Magayu</v>
          </cell>
          <cell r="D157" t="str">
            <v>Joel Mbogo</v>
          </cell>
          <cell r="E157" t="str">
            <v>Eric Njiru</v>
          </cell>
          <cell r="F157">
            <v>131</v>
          </cell>
        </row>
        <row r="158">
          <cell r="A158" t="str">
            <v>Methodist Insurance Brokers Ltd</v>
          </cell>
          <cell r="B158" t="str">
            <v>Alternative Channels</v>
          </cell>
          <cell r="C158" t="str">
            <v>Selestine Magayu</v>
          </cell>
          <cell r="D158" t="str">
            <v>Joel Mbogo</v>
          </cell>
          <cell r="E158" t="str">
            <v>Eric Njiru</v>
          </cell>
          <cell r="F158">
            <v>132</v>
          </cell>
        </row>
        <row r="159">
          <cell r="A159" t="str">
            <v>Direct-Joel</v>
          </cell>
          <cell r="B159" t="str">
            <v>Alternative Channels</v>
          </cell>
          <cell r="C159" t="str">
            <v>Joel Mbogo</v>
          </cell>
          <cell r="D159" t="str">
            <v>Joel Mbogo</v>
          </cell>
          <cell r="E159" t="str">
            <v>Eric Njiru</v>
          </cell>
          <cell r="F159">
            <v>133</v>
          </cell>
        </row>
        <row r="160">
          <cell r="A160" t="str">
            <v>Direct-Emily</v>
          </cell>
          <cell r="B160" t="str">
            <v>Rift Valley</v>
          </cell>
          <cell r="C160" t="str">
            <v>Emily Jepchirchir</v>
          </cell>
          <cell r="D160" t="str">
            <v>Emily Jepchirchir</v>
          </cell>
          <cell r="E160" t="str">
            <v>Emily Jepchirchir</v>
          </cell>
          <cell r="F160">
            <v>134</v>
          </cell>
        </row>
        <row r="161">
          <cell r="A161" t="str">
            <v>Direct-Gatumu</v>
          </cell>
          <cell r="B161" t="str">
            <v>Alternative Channels</v>
          </cell>
          <cell r="C161" t="str">
            <v>Selestine Magayu</v>
          </cell>
          <cell r="D161" t="str">
            <v>Joel Mbogo</v>
          </cell>
          <cell r="E161" t="str">
            <v>Eric Njiru</v>
          </cell>
          <cell r="F161">
            <v>135</v>
          </cell>
        </row>
        <row r="162">
          <cell r="A162" t="str">
            <v>Direct-Wycliffe</v>
          </cell>
          <cell r="B162" t="str">
            <v>Western</v>
          </cell>
          <cell r="C162" t="str">
            <v>Wycliffe Oginga</v>
          </cell>
          <cell r="D162" t="str">
            <v>Sheila Adhiambo</v>
          </cell>
          <cell r="E162" t="str">
            <v>Eric Njiru</v>
          </cell>
          <cell r="F162">
            <v>136</v>
          </cell>
        </row>
        <row r="163">
          <cell r="A163" t="str">
            <v>Stanbic Insurance Agency</v>
          </cell>
          <cell r="B163" t="str">
            <v>Alternative Channels</v>
          </cell>
          <cell r="C163" t="str">
            <v>Joel Mbogo</v>
          </cell>
          <cell r="D163" t="str">
            <v>Joel Mbogo</v>
          </cell>
          <cell r="E163" t="str">
            <v>Eric Njiru</v>
          </cell>
          <cell r="F163">
            <v>137</v>
          </cell>
        </row>
        <row r="164">
          <cell r="A164" t="str">
            <v>Direct-Selestine</v>
          </cell>
          <cell r="B164" t="str">
            <v>Alternative Channels</v>
          </cell>
          <cell r="C164" t="str">
            <v>Selestine Magayu</v>
          </cell>
          <cell r="D164" t="str">
            <v>Joel Mbogo</v>
          </cell>
          <cell r="E164" t="str">
            <v>Eric Njiru</v>
          </cell>
          <cell r="F164">
            <v>138</v>
          </cell>
        </row>
        <row r="165">
          <cell r="A165" t="str">
            <v>Kamakis</v>
          </cell>
          <cell r="B165" t="str">
            <v>Mt. Kenya</v>
          </cell>
          <cell r="C165" t="str">
            <v>Paul Kithuka</v>
          </cell>
          <cell r="D165" t="str">
            <v>Paul Kithuka</v>
          </cell>
          <cell r="E165" t="str">
            <v>Simon Maingi</v>
          </cell>
          <cell r="F165">
            <v>139</v>
          </cell>
        </row>
        <row r="166">
          <cell r="A166" t="str">
            <v>CLM</v>
          </cell>
          <cell r="B166" t="str">
            <v>TMU</v>
          </cell>
          <cell r="C166" t="str">
            <v>Simon Wambua</v>
          </cell>
          <cell r="D166" t="str">
            <v>Joseph Kairu</v>
          </cell>
          <cell r="E166" t="str">
            <v>Debrah Rashid</v>
          </cell>
          <cell r="F166">
            <v>140</v>
          </cell>
        </row>
        <row r="167">
          <cell r="A167" t="str">
            <v>Direct-George</v>
          </cell>
          <cell r="B167" t="str">
            <v>Queensway</v>
          </cell>
          <cell r="C167" t="str">
            <v>George Maina</v>
          </cell>
          <cell r="D167" t="str">
            <v>Ancetar Mulili</v>
          </cell>
          <cell r="E167" t="str">
            <v>Bilha Wachira</v>
          </cell>
          <cell r="F167">
            <v>141</v>
          </cell>
        </row>
        <row r="168">
          <cell r="A168" t="str">
            <v>Direct-Teresa</v>
          </cell>
          <cell r="B168" t="str">
            <v>Mt. Kenya</v>
          </cell>
          <cell r="C168" t="str">
            <v>Teresa Maina</v>
          </cell>
          <cell r="D168" t="str">
            <v>Paul Kithuka</v>
          </cell>
          <cell r="E168" t="str">
            <v>Simon Maingi</v>
          </cell>
          <cell r="F168">
            <v>142</v>
          </cell>
        </row>
        <row r="169">
          <cell r="A169" t="str">
            <v>Universal Marketing</v>
          </cell>
          <cell r="B169" t="str">
            <v>Alternative Channels</v>
          </cell>
          <cell r="C169" t="str">
            <v>Joel Mbogo</v>
          </cell>
          <cell r="D169" t="str">
            <v>Joel Mbogo</v>
          </cell>
          <cell r="E169" t="str">
            <v>Eric Njiru</v>
          </cell>
          <cell r="F169">
            <v>144</v>
          </cell>
        </row>
        <row r="170">
          <cell r="A170" t="str">
            <v>Diamond</v>
          </cell>
          <cell r="B170" t="str">
            <v>Alternative Channels</v>
          </cell>
          <cell r="C170" t="str">
            <v>Selestine Magayu</v>
          </cell>
          <cell r="D170" t="str">
            <v>Joel Mbogo</v>
          </cell>
          <cell r="E170" t="str">
            <v>Eric Njiru</v>
          </cell>
          <cell r="F170">
            <v>145</v>
          </cell>
        </row>
        <row r="171">
          <cell r="A171" t="str">
            <v>Glamazonah</v>
          </cell>
          <cell r="B171" t="str">
            <v>Alternative Channels</v>
          </cell>
          <cell r="C171" t="str">
            <v>Selestine Magayu</v>
          </cell>
          <cell r="D171" t="str">
            <v>Joel Mbogo</v>
          </cell>
          <cell r="E171" t="str">
            <v>Eric Njiru</v>
          </cell>
          <cell r="F171">
            <v>146</v>
          </cell>
        </row>
        <row r="172">
          <cell r="A172" t="str">
            <v>Perspective</v>
          </cell>
          <cell r="B172" t="str">
            <v>Alternative Channels</v>
          </cell>
          <cell r="C172" t="str">
            <v>Joel Mbogo</v>
          </cell>
          <cell r="D172" t="str">
            <v>Joel Mbogo</v>
          </cell>
          <cell r="E172" t="str">
            <v>Eric Njiru</v>
          </cell>
          <cell r="F172">
            <v>147</v>
          </cell>
        </row>
        <row r="173">
          <cell r="A173" t="str">
            <v>Hedgewell Insurance Agency</v>
          </cell>
          <cell r="B173" t="str">
            <v>Alternative Channels</v>
          </cell>
          <cell r="C173" t="str">
            <v>Selestine Magayu</v>
          </cell>
          <cell r="D173" t="str">
            <v>Joel Mbogo</v>
          </cell>
          <cell r="E173" t="str">
            <v>Eric Njiru</v>
          </cell>
          <cell r="F173">
            <v>148</v>
          </cell>
        </row>
        <row r="174">
          <cell r="A174" t="str">
            <v>Citra Africa Insurance</v>
          </cell>
          <cell r="B174" t="str">
            <v>Alternative Channels</v>
          </cell>
          <cell r="C174" t="str">
            <v>Joel Mbogo</v>
          </cell>
          <cell r="D174" t="str">
            <v>Joel Mbogo</v>
          </cell>
          <cell r="E174" t="str">
            <v>Eric Njiru</v>
          </cell>
          <cell r="F174">
            <v>149</v>
          </cell>
        </row>
        <row r="175">
          <cell r="A175" t="str">
            <v>Esipa Insurance</v>
          </cell>
          <cell r="B175" t="str">
            <v>Alternative Channels</v>
          </cell>
          <cell r="C175" t="str">
            <v>Selestine Magayu</v>
          </cell>
          <cell r="D175" t="str">
            <v>Joel Mbogo</v>
          </cell>
          <cell r="E175" t="str">
            <v>Eric Njiru</v>
          </cell>
          <cell r="F175">
            <v>150</v>
          </cell>
        </row>
        <row r="176">
          <cell r="A176" t="str">
            <v>Absa Towers premier</v>
          </cell>
          <cell r="B176" t="str">
            <v>Premier</v>
          </cell>
          <cell r="C176" t="str">
            <v>Joseph Kairu</v>
          </cell>
          <cell r="D176" t="str">
            <v>Joseph Kairu</v>
          </cell>
          <cell r="E176" t="str">
            <v>Debrah Rashid</v>
          </cell>
          <cell r="F176">
            <v>151</v>
          </cell>
        </row>
        <row r="177">
          <cell r="A177" t="str">
            <v>Super Deals Insurance Agency</v>
          </cell>
          <cell r="B177" t="str">
            <v>Alternative Channels</v>
          </cell>
          <cell r="C177" t="str">
            <v>Selestine Magayu</v>
          </cell>
          <cell r="D177" t="str">
            <v>Joel Mbogo</v>
          </cell>
          <cell r="E177" t="str">
            <v>Eric Njiru</v>
          </cell>
          <cell r="F177">
            <v>152</v>
          </cell>
        </row>
        <row r="178">
          <cell r="A178" t="str">
            <v>Noble Strides Insurance agency</v>
          </cell>
          <cell r="B178" t="str">
            <v>Alternative Channels</v>
          </cell>
          <cell r="C178" t="str">
            <v>Selestine Magayu</v>
          </cell>
          <cell r="D178" t="str">
            <v>Joel Mbogo</v>
          </cell>
          <cell r="E178" t="str">
            <v>Eric Njiru</v>
          </cell>
          <cell r="F178">
            <v>153</v>
          </cell>
        </row>
        <row r="179">
          <cell r="A179" t="str">
            <v>Tadeo Insurance agency</v>
          </cell>
          <cell r="B179" t="str">
            <v>Alternative Channels</v>
          </cell>
          <cell r="C179" t="str">
            <v>Selestine Magayu</v>
          </cell>
          <cell r="D179" t="str">
            <v>Joel Mbogo</v>
          </cell>
          <cell r="E179" t="str">
            <v>Eric Njiru</v>
          </cell>
          <cell r="F179">
            <v>154</v>
          </cell>
        </row>
        <row r="180">
          <cell r="A180" t="str">
            <v>Greatscope Insurance Agency</v>
          </cell>
          <cell r="B180" t="str">
            <v>Alternative Channels</v>
          </cell>
          <cell r="C180" t="str">
            <v>Selestine Magayu</v>
          </cell>
          <cell r="D180" t="str">
            <v>Joel Mbogo</v>
          </cell>
          <cell r="E180" t="str">
            <v>Eric Njiru</v>
          </cell>
          <cell r="F180">
            <v>155</v>
          </cell>
        </row>
        <row r="181">
          <cell r="A181" t="str">
            <v>Temanja Insurance Agency</v>
          </cell>
          <cell r="B181" t="str">
            <v>Alternative Channels</v>
          </cell>
          <cell r="C181" t="str">
            <v>Selestine Magayu</v>
          </cell>
          <cell r="D181" t="str">
            <v>Joel Mbogo</v>
          </cell>
          <cell r="E181" t="str">
            <v>Eric Njiru</v>
          </cell>
          <cell r="F181">
            <v>156</v>
          </cell>
        </row>
        <row r="182">
          <cell r="A182" t="str">
            <v>Dovenest</v>
          </cell>
          <cell r="B182" t="str">
            <v>Alternative Channels</v>
          </cell>
          <cell r="C182" t="str">
            <v>Selestine Magayu</v>
          </cell>
          <cell r="D182" t="str">
            <v>Joel Mbogo</v>
          </cell>
          <cell r="E182" t="str">
            <v>Eric Njiru</v>
          </cell>
          <cell r="F182">
            <v>157</v>
          </cell>
        </row>
        <row r="183">
          <cell r="A183" t="str">
            <v>Sedgwick</v>
          </cell>
          <cell r="B183" t="str">
            <v>Alternative Channels</v>
          </cell>
          <cell r="C183" t="str">
            <v>Selestine Magayu</v>
          </cell>
          <cell r="D183" t="str">
            <v>Joel Mbogo</v>
          </cell>
          <cell r="E183" t="str">
            <v>Eric Njiru</v>
          </cell>
          <cell r="F183">
            <v>158</v>
          </cell>
        </row>
        <row r="184">
          <cell r="A184" t="str">
            <v>Caz Insurance Agency</v>
          </cell>
          <cell r="B184" t="str">
            <v>Alternative Channels</v>
          </cell>
          <cell r="C184" t="str">
            <v>Selestine Magayu</v>
          </cell>
          <cell r="D184" t="str">
            <v>Joel Mbogo</v>
          </cell>
          <cell r="E184" t="str">
            <v>Eric Njiru</v>
          </cell>
          <cell r="F184">
            <v>159</v>
          </cell>
        </row>
        <row r="185">
          <cell r="A185" t="str">
            <v>Jay Agency</v>
          </cell>
          <cell r="B185" t="str">
            <v>Alternative Channels</v>
          </cell>
          <cell r="C185" t="str">
            <v>Selestine Magayu</v>
          </cell>
          <cell r="D185" t="str">
            <v>Joel Mbogo</v>
          </cell>
          <cell r="E185" t="str">
            <v>Eric Njiru</v>
          </cell>
          <cell r="F185">
            <v>160</v>
          </cell>
        </row>
        <row r="186">
          <cell r="A186" t="str">
            <v>Ecobank</v>
          </cell>
          <cell r="B186" t="str">
            <v>Alternative Channels</v>
          </cell>
          <cell r="C186" t="str">
            <v>Joel Mbogo</v>
          </cell>
          <cell r="D186" t="str">
            <v>Joel Mbogo</v>
          </cell>
          <cell r="E186" t="str">
            <v>Eric Njiru</v>
          </cell>
          <cell r="F186">
            <v>160</v>
          </cell>
        </row>
        <row r="187">
          <cell r="A187" t="str">
            <v>Kawangware</v>
          </cell>
          <cell r="B187" t="str">
            <v>Nairobi Central</v>
          </cell>
          <cell r="C187" t="str">
            <v>George Maina</v>
          </cell>
          <cell r="D187" t="str">
            <v>Zedekiah Mburu</v>
          </cell>
          <cell r="E187" t="str">
            <v>Bilha Wachira</v>
          </cell>
          <cell r="F187">
            <v>161</v>
          </cell>
        </row>
        <row r="188">
          <cell r="A188" t="str">
            <v>Wajir</v>
          </cell>
          <cell r="B188" t="str">
            <v>Mt. Kenya</v>
          </cell>
          <cell r="C188" t="str">
            <v>Morgan Mwangi</v>
          </cell>
          <cell r="D188" t="str">
            <v>Paul Kithuka</v>
          </cell>
          <cell r="E188" t="str">
            <v>Simon Maingi</v>
          </cell>
          <cell r="F188">
            <v>61</v>
          </cell>
        </row>
      </sheetData>
      <sheetData sheetId="3">
        <row r="1">
          <cell r="A1" t="str">
            <v>Sales Code</v>
          </cell>
          <cell r="B1" t="str">
            <v>Sales Person</v>
          </cell>
          <cell r="E1" t="str">
            <v>ROLE</v>
          </cell>
        </row>
        <row r="2">
          <cell r="A2" t="str">
            <v>BB13767</v>
          </cell>
          <cell r="B2" t="str">
            <v>Zipporah Wangondu</v>
          </cell>
          <cell r="E2" t="str">
            <v>UB</v>
          </cell>
        </row>
        <row r="3">
          <cell r="A3" t="str">
            <v>LG25256</v>
          </cell>
          <cell r="B3" t="str">
            <v>Zipporah Mongina</v>
          </cell>
          <cell r="E3" t="str">
            <v>LG</v>
          </cell>
        </row>
        <row r="4">
          <cell r="A4" t="str">
            <v>LG16639</v>
          </cell>
          <cell r="B4" t="str">
            <v>Zipporah Kerubo Obiero</v>
          </cell>
          <cell r="E4" t="str">
            <v>LG</v>
          </cell>
        </row>
        <row r="5">
          <cell r="A5" t="str">
            <v>LG76639</v>
          </cell>
          <cell r="B5" t="str">
            <v xml:space="preserve">Zipporah Kerubo </v>
          </cell>
          <cell r="E5" t="str">
            <v>LG</v>
          </cell>
        </row>
        <row r="6">
          <cell r="A6" t="str">
            <v>AB019UT</v>
          </cell>
          <cell r="B6" t="str">
            <v>Zetiuna Koech</v>
          </cell>
          <cell r="E6" t="str">
            <v>LG</v>
          </cell>
        </row>
        <row r="7">
          <cell r="A7" t="str">
            <v>LG16636</v>
          </cell>
          <cell r="B7" t="str">
            <v>Zepora Navifwo Manyasi</v>
          </cell>
          <cell r="E7" t="str">
            <v>LG</v>
          </cell>
        </row>
        <row r="8">
          <cell r="A8" t="str">
            <v>LG25555</v>
          </cell>
          <cell r="B8" t="str">
            <v xml:space="preserve">Zenah Jepchumba Rutto </v>
          </cell>
          <cell r="E8" t="str">
            <v>LG</v>
          </cell>
        </row>
        <row r="9">
          <cell r="A9" t="str">
            <v>AB019VT</v>
          </cell>
          <cell r="B9" t="str">
            <v>Zeituna Koech</v>
          </cell>
          <cell r="E9" t="str">
            <v>UB</v>
          </cell>
        </row>
        <row r="10">
          <cell r="A10" t="str">
            <v>LG24890</v>
          </cell>
          <cell r="B10" t="str">
            <v>Zainalabdin Abdikadir Adan</v>
          </cell>
          <cell r="E10" t="str">
            <v>LG</v>
          </cell>
        </row>
        <row r="11">
          <cell r="A11" t="str">
            <v>LG21061</v>
          </cell>
          <cell r="B11" t="str">
            <v>Zainabu AWUOR Oloo</v>
          </cell>
          <cell r="E11" t="str">
            <v>LG</v>
          </cell>
        </row>
        <row r="12">
          <cell r="A12" t="str">
            <v>BB9326</v>
          </cell>
          <cell r="B12" t="str">
            <v>Zachary Gichari</v>
          </cell>
          <cell r="E12" t="str">
            <v>UB</v>
          </cell>
        </row>
        <row r="13">
          <cell r="A13" t="str">
            <v>AB023XP</v>
          </cell>
          <cell r="B13" t="str">
            <v>Yvonne Chemutai</v>
          </cell>
          <cell r="E13" t="str">
            <v>LG</v>
          </cell>
        </row>
        <row r="14">
          <cell r="A14" t="str">
            <v>LG24211</v>
          </cell>
          <cell r="B14" t="str">
            <v>Yuvensiah Mutave Kilonzo</v>
          </cell>
          <cell r="E14" t="str">
            <v>LG</v>
          </cell>
        </row>
        <row r="15">
          <cell r="A15" t="str">
            <v>LG24898</v>
          </cell>
          <cell r="B15" t="str">
            <v xml:space="preserve">Yusra Adan Issack </v>
          </cell>
          <cell r="E15" t="str">
            <v>LG</v>
          </cell>
        </row>
        <row r="16">
          <cell r="A16" t="str">
            <v>BB11120</v>
          </cell>
          <cell r="B16" t="str">
            <v>Yegon Victor</v>
          </cell>
          <cell r="E16" t="str">
            <v>UB</v>
          </cell>
        </row>
        <row r="17">
          <cell r="A17" t="str">
            <v>LG24889</v>
          </cell>
          <cell r="B17" t="str">
            <v xml:space="preserve">Yayo Wole Worke </v>
          </cell>
          <cell r="E17" t="str">
            <v>LG</v>
          </cell>
        </row>
        <row r="18">
          <cell r="A18" t="str">
            <v>AB022VJ</v>
          </cell>
          <cell r="B18" t="str">
            <v>Wycliffe Otieno Joseph</v>
          </cell>
          <cell r="E18" t="str">
            <v>LG</v>
          </cell>
        </row>
        <row r="19">
          <cell r="A19" t="str">
            <v>AB011FP</v>
          </cell>
          <cell r="B19" t="str">
            <v>Wycliffe Oginga Amolo</v>
          </cell>
          <cell r="E19" t="str">
            <v>ALAK</v>
          </cell>
        </row>
        <row r="20">
          <cell r="A20" t="str">
            <v>LG24590</v>
          </cell>
          <cell r="B20" t="str">
            <v>Wycliffe Anunda Mogoro</v>
          </cell>
          <cell r="E20" t="str">
            <v>LG</v>
          </cell>
        </row>
        <row r="21">
          <cell r="A21" t="str">
            <v>LG23202</v>
          </cell>
          <cell r="B21" t="str">
            <v>Wycliffe Amuke Okang'a</v>
          </cell>
          <cell r="E21" t="str">
            <v>LG</v>
          </cell>
        </row>
        <row r="22">
          <cell r="A22" t="str">
            <v>AB023DO</v>
          </cell>
          <cell r="B22" t="str">
            <v>Wisdom Ndalo</v>
          </cell>
          <cell r="E22" t="str">
            <v>LG</v>
          </cell>
        </row>
        <row r="23">
          <cell r="A23" t="str">
            <v>AB021R9</v>
          </cell>
          <cell r="B23" t="str">
            <v>Winny Kipchumba</v>
          </cell>
          <cell r="E23" t="str">
            <v>LG</v>
          </cell>
        </row>
        <row r="24">
          <cell r="A24" t="str">
            <v>ABWA100</v>
          </cell>
          <cell r="B24" t="str">
            <v>Winnie Ndunge Amos</v>
          </cell>
          <cell r="E24" t="str">
            <v>LG</v>
          </cell>
        </row>
        <row r="25">
          <cell r="A25" t="str">
            <v>LG24857</v>
          </cell>
          <cell r="B25" t="str">
            <v xml:space="preserve">Winnie Nasimiyu Dabani </v>
          </cell>
          <cell r="E25" t="str">
            <v>LG</v>
          </cell>
        </row>
        <row r="26">
          <cell r="A26" t="str">
            <v>BB19684</v>
          </cell>
          <cell r="B26" t="str">
            <v xml:space="preserve">Winnie Mundati </v>
          </cell>
          <cell r="E26" t="str">
            <v>RM</v>
          </cell>
        </row>
        <row r="27">
          <cell r="A27" t="str">
            <v>BB169684</v>
          </cell>
          <cell r="B27" t="str">
            <v xml:space="preserve">Winnie Mundati </v>
          </cell>
          <cell r="E27" t="str">
            <v>UB</v>
          </cell>
        </row>
        <row r="28">
          <cell r="A28" t="str">
            <v>LG15512</v>
          </cell>
          <cell r="B28" t="str">
            <v>Winnie Jepkorir Rono</v>
          </cell>
          <cell r="E28" t="str">
            <v>LG</v>
          </cell>
        </row>
        <row r="29">
          <cell r="A29" t="str">
            <v>LG23523</v>
          </cell>
          <cell r="B29" t="str">
            <v>Winnie Gatwiri Kithinji</v>
          </cell>
          <cell r="E29" t="str">
            <v>LG</v>
          </cell>
        </row>
        <row r="30">
          <cell r="A30" t="str">
            <v>BB11365</v>
          </cell>
          <cell r="B30" t="str">
            <v>Winnie Chepkorir Chumo</v>
          </cell>
          <cell r="E30" t="str">
            <v>UB</v>
          </cell>
        </row>
        <row r="31">
          <cell r="A31" t="str">
            <v>BB07813</v>
          </cell>
          <cell r="B31" t="str">
            <v>Winnie Chebet Cheborgei</v>
          </cell>
          <cell r="E31" t="str">
            <v>RM</v>
          </cell>
        </row>
        <row r="32">
          <cell r="A32" t="str">
            <v>AB02970</v>
          </cell>
          <cell r="B32" t="str">
            <v>Winnie Atieno Onyango</v>
          </cell>
          <cell r="E32" t="str">
            <v>UB</v>
          </cell>
        </row>
        <row r="33">
          <cell r="A33" t="str">
            <v>LG10480</v>
          </cell>
          <cell r="B33" t="str">
            <v>Winnie Anne Otwane</v>
          </cell>
          <cell r="E33" t="str">
            <v>LG</v>
          </cell>
        </row>
        <row r="34">
          <cell r="A34" t="str">
            <v>LG23570</v>
          </cell>
          <cell r="B34" t="str">
            <v>Winnie Adhiambo Omanya</v>
          </cell>
          <cell r="E34" t="str">
            <v>LG</v>
          </cell>
        </row>
        <row r="35">
          <cell r="A35" t="str">
            <v>AB0150G</v>
          </cell>
          <cell r="B35" t="str">
            <v xml:space="preserve">Winfridah Onsongo </v>
          </cell>
          <cell r="E35" t="str">
            <v>LG</v>
          </cell>
        </row>
        <row r="36">
          <cell r="A36" t="str">
            <v>BB10191</v>
          </cell>
          <cell r="B36" t="str">
            <v>Winfred Nganga Mbithi</v>
          </cell>
          <cell r="E36" t="str">
            <v>UB</v>
          </cell>
        </row>
        <row r="37">
          <cell r="A37" t="str">
            <v>LG18667</v>
          </cell>
          <cell r="B37" t="str">
            <v>Winfred Akoth Rakiro</v>
          </cell>
          <cell r="E37" t="str">
            <v>LG</v>
          </cell>
        </row>
        <row r="38">
          <cell r="A38" t="str">
            <v>AB021H2</v>
          </cell>
          <cell r="B38" t="str">
            <v>Wincate Njoki Kaugi</v>
          </cell>
          <cell r="E38" t="str">
            <v>LG</v>
          </cell>
        </row>
        <row r="39">
          <cell r="A39" t="str">
            <v>LG25031</v>
          </cell>
          <cell r="B39" t="str">
            <v xml:space="preserve">Wilson Onduto Odhiambo </v>
          </cell>
          <cell r="E39" t="str">
            <v>LG</v>
          </cell>
        </row>
        <row r="40">
          <cell r="A40" t="str">
            <v>BB13715</v>
          </cell>
          <cell r="B40" t="str">
            <v>Wilfrida Otieno</v>
          </cell>
          <cell r="E40" t="str">
            <v>LG</v>
          </cell>
        </row>
        <row r="41">
          <cell r="A41" t="str">
            <v>AB01554</v>
          </cell>
          <cell r="B41" t="str">
            <v xml:space="preserve">Wilfrida Akumu </v>
          </cell>
          <cell r="E41" t="str">
            <v>LG</v>
          </cell>
        </row>
        <row r="42">
          <cell r="A42" t="str">
            <v>LG13715</v>
          </cell>
          <cell r="B42" t="str">
            <v>Wilfrida Akoth Otieno</v>
          </cell>
          <cell r="E42" t="str">
            <v>LG</v>
          </cell>
        </row>
        <row r="43">
          <cell r="A43" t="str">
            <v>AB019F1</v>
          </cell>
          <cell r="B43" t="str">
            <v>Wilberforce Makokha</v>
          </cell>
          <cell r="E43" t="str">
            <v>UB</v>
          </cell>
        </row>
        <row r="44">
          <cell r="A44" t="str">
            <v>LG25066</v>
          </cell>
          <cell r="B44" t="str">
            <v>Wiclif Omondi Omolo</v>
          </cell>
          <cell r="E44" t="str">
            <v>LG</v>
          </cell>
        </row>
        <row r="45">
          <cell r="A45" t="str">
            <v>AB029Q3</v>
          </cell>
          <cell r="B45" t="str">
            <v>Whitney Khameye</v>
          </cell>
          <cell r="E45" t="str">
            <v>LG</v>
          </cell>
        </row>
        <row r="46">
          <cell r="A46" t="str">
            <v>LG21891</v>
          </cell>
          <cell r="B46" t="str">
            <v>Wendy  Omondi</v>
          </cell>
          <cell r="E46" t="str">
            <v>LG</v>
          </cell>
        </row>
        <row r="47">
          <cell r="A47" t="str">
            <v>BB18899</v>
          </cell>
          <cell r="B47" t="str">
            <v>Washington Odiwuor Otieno</v>
          </cell>
          <cell r="E47" t="str">
            <v>UB</v>
          </cell>
        </row>
        <row r="48">
          <cell r="A48" t="str">
            <v>LG18899</v>
          </cell>
          <cell r="B48" t="str">
            <v>Washington Odiwuor Otieno</v>
          </cell>
          <cell r="E48" t="str">
            <v>LG</v>
          </cell>
        </row>
        <row r="49">
          <cell r="A49" t="str">
            <v>AB011H4</v>
          </cell>
          <cell r="B49" t="str">
            <v>Warui Nicholas Mwaniki</v>
          </cell>
          <cell r="E49" t="str">
            <v>LG</v>
          </cell>
        </row>
        <row r="50">
          <cell r="A50" t="str">
            <v>AB01723</v>
          </cell>
          <cell r="B50" t="str">
            <v>Wanjala Joseph Munialo</v>
          </cell>
          <cell r="E50" t="str">
            <v>UB</v>
          </cell>
        </row>
        <row r="51">
          <cell r="A51" t="str">
            <v>MKL0354</v>
          </cell>
          <cell r="B51" t="str">
            <v>Wanja, Joyce Murugi</v>
          </cell>
          <cell r="E51" t="str">
            <v>ALAK</v>
          </cell>
        </row>
        <row r="52">
          <cell r="A52" t="str">
            <v>AB006DM</v>
          </cell>
          <cell r="B52" t="str">
            <v>Wambua Stella Ndanu</v>
          </cell>
          <cell r="E52" t="str">
            <v>LG</v>
          </cell>
        </row>
        <row r="53">
          <cell r="A53" t="str">
            <v>BB21546</v>
          </cell>
          <cell r="B53" t="str">
            <v>Walter Mathenge</v>
          </cell>
          <cell r="E53" t="str">
            <v>UB</v>
          </cell>
        </row>
        <row r="54">
          <cell r="A54" t="str">
            <v>AB01720</v>
          </cell>
          <cell r="B54" t="str">
            <v>Walter Khamadi</v>
          </cell>
          <cell r="E54" t="str">
            <v>UB</v>
          </cell>
        </row>
        <row r="55">
          <cell r="A55" t="str">
            <v>AB02287</v>
          </cell>
          <cell r="B55" t="str">
            <v>Wallace Opiayo</v>
          </cell>
          <cell r="E55" t="str">
            <v>LG</v>
          </cell>
        </row>
        <row r="56">
          <cell r="A56" t="str">
            <v>LG24853</v>
          </cell>
          <cell r="B56" t="str">
            <v>Vivian Kemunto</v>
          </cell>
          <cell r="E56" t="str">
            <v>LG</v>
          </cell>
        </row>
        <row r="57">
          <cell r="A57" t="str">
            <v>LG25237</v>
          </cell>
          <cell r="B57" t="str">
            <v xml:space="preserve">Virginia Mbithe Wambua </v>
          </cell>
          <cell r="E57" t="str">
            <v>LG</v>
          </cell>
        </row>
        <row r="58">
          <cell r="A58" t="str">
            <v>LG25269</v>
          </cell>
          <cell r="B58" t="str">
            <v>Violet Abebe</v>
          </cell>
          <cell r="E58" t="str">
            <v>LG</v>
          </cell>
        </row>
        <row r="59">
          <cell r="A59" t="str">
            <v>AB019ZF</v>
          </cell>
          <cell r="B59" t="str">
            <v>Viola Grace Apondi Otiende</v>
          </cell>
          <cell r="E59" t="str">
            <v>LG</v>
          </cell>
        </row>
        <row r="60">
          <cell r="A60" t="str">
            <v>LG24609</v>
          </cell>
          <cell r="B60" t="str">
            <v>Vincent Otieno Okello</v>
          </cell>
          <cell r="E60" t="str">
            <v>LG</v>
          </cell>
        </row>
        <row r="61">
          <cell r="A61" t="str">
            <v>AB025OT</v>
          </cell>
          <cell r="B61" t="str">
            <v xml:space="preserve">Vincent Ojwang  Ochieng </v>
          </cell>
          <cell r="E61" t="str">
            <v>LG</v>
          </cell>
        </row>
        <row r="62">
          <cell r="A62" t="str">
            <v>AB020BC</v>
          </cell>
          <cell r="B62" t="str">
            <v>Vincent Nyaribo</v>
          </cell>
          <cell r="E62" t="str">
            <v>LG</v>
          </cell>
        </row>
        <row r="63">
          <cell r="A63" t="str">
            <v>LG25092</v>
          </cell>
          <cell r="B63" t="str">
            <v>VINCENT KINGIMA ONDARI</v>
          </cell>
          <cell r="E63" t="str">
            <v>LG</v>
          </cell>
        </row>
        <row r="64">
          <cell r="A64" t="str">
            <v>BB24306</v>
          </cell>
          <cell r="B64" t="str">
            <v>Vilma Mutoka</v>
          </cell>
          <cell r="E64" t="str">
            <v>UB</v>
          </cell>
        </row>
        <row r="65">
          <cell r="A65" t="str">
            <v>LG24306</v>
          </cell>
          <cell r="B65" t="str">
            <v>Vilma Motuka</v>
          </cell>
          <cell r="E65" t="str">
            <v>LG</v>
          </cell>
        </row>
        <row r="66">
          <cell r="A66" t="str">
            <v>LG24310</v>
          </cell>
          <cell r="B66" t="str">
            <v>Victoria Wangui Njiru</v>
          </cell>
          <cell r="E66" t="str">
            <v>LG</v>
          </cell>
        </row>
        <row r="67">
          <cell r="A67" t="str">
            <v>AB024XB</v>
          </cell>
          <cell r="B67" t="str">
            <v>Victoria Nyamumi</v>
          </cell>
          <cell r="E67" t="str">
            <v>LG</v>
          </cell>
        </row>
        <row r="68">
          <cell r="A68" t="str">
            <v>BB14467</v>
          </cell>
          <cell r="B68" t="str">
            <v>Victoria Kavinya Mule</v>
          </cell>
          <cell r="E68" t="str">
            <v>UB</v>
          </cell>
        </row>
        <row r="69">
          <cell r="A69" t="str">
            <v>AB019QQ</v>
          </cell>
          <cell r="B69" t="str">
            <v>Victor Waema</v>
          </cell>
          <cell r="E69" t="str">
            <v>LG</v>
          </cell>
        </row>
        <row r="70">
          <cell r="A70" t="str">
            <v>AB019XK</v>
          </cell>
          <cell r="B70" t="str">
            <v>Victor Omoit</v>
          </cell>
          <cell r="E70" t="str">
            <v>LG</v>
          </cell>
        </row>
        <row r="71">
          <cell r="A71" t="str">
            <v>LG18408</v>
          </cell>
          <cell r="B71" t="str">
            <v>Victor Mutinda Mumo</v>
          </cell>
          <cell r="E71" t="str">
            <v>LG</v>
          </cell>
        </row>
        <row r="72">
          <cell r="A72" t="str">
            <v>AB021KV</v>
          </cell>
          <cell r="B72" t="str">
            <v>Victor Korir</v>
          </cell>
          <cell r="E72" t="str">
            <v>LG</v>
          </cell>
        </row>
        <row r="73">
          <cell r="A73" t="str">
            <v>BB18645</v>
          </cell>
          <cell r="B73" t="str">
            <v>Victor Kipkirui</v>
          </cell>
          <cell r="E73" t="str">
            <v>LG</v>
          </cell>
        </row>
        <row r="74">
          <cell r="A74" t="str">
            <v>BB07426</v>
          </cell>
          <cell r="B74" t="str">
            <v>Victor Cyrill Kottonya</v>
          </cell>
          <cell r="E74" t="str">
            <v>UB</v>
          </cell>
        </row>
        <row r="75">
          <cell r="A75" t="str">
            <v>BB19957</v>
          </cell>
          <cell r="B75" t="str">
            <v>Victor Ameyo Omukala</v>
          </cell>
          <cell r="E75" t="str">
            <v>UB</v>
          </cell>
        </row>
        <row r="76">
          <cell r="A76" t="str">
            <v>LG22289</v>
          </cell>
          <cell r="B76" t="str">
            <v>Vicent Kipngetich Yego</v>
          </cell>
          <cell r="E76" t="str">
            <v>LG</v>
          </cell>
        </row>
        <row r="77">
          <cell r="A77" t="str">
            <v>LG24258</v>
          </cell>
          <cell r="B77" t="str">
            <v>Veronica Wairimu Kimani</v>
          </cell>
          <cell r="E77" t="str">
            <v>LG</v>
          </cell>
        </row>
        <row r="78">
          <cell r="A78" t="str">
            <v>LG17066</v>
          </cell>
          <cell r="B78" t="str">
            <v>Veronica Mwende Ikandi</v>
          </cell>
          <cell r="E78" t="str">
            <v>LG</v>
          </cell>
        </row>
        <row r="79">
          <cell r="A79" t="str">
            <v>LG24396</v>
          </cell>
          <cell r="B79" t="str">
            <v>Veronica Mwende Ikandi</v>
          </cell>
          <cell r="E79" t="str">
            <v>LG</v>
          </cell>
        </row>
        <row r="80">
          <cell r="A80" t="str">
            <v>AB026Q4</v>
          </cell>
          <cell r="B80" t="str">
            <v>Veronica Masae</v>
          </cell>
          <cell r="E80" t="str">
            <v>LG</v>
          </cell>
        </row>
        <row r="81">
          <cell r="A81" t="str">
            <v>AB027ZE</v>
          </cell>
          <cell r="B81" t="str">
            <v>Verolyne Odero</v>
          </cell>
          <cell r="E81" t="str">
            <v>LG</v>
          </cell>
        </row>
        <row r="82">
          <cell r="A82" t="str">
            <v>LG25453</v>
          </cell>
          <cell r="B82" t="str">
            <v>Verah Chelimo Chongwony</v>
          </cell>
          <cell r="E82" t="str">
            <v>LG</v>
          </cell>
        </row>
        <row r="83">
          <cell r="A83" t="str">
            <v>BB21153</v>
          </cell>
          <cell r="B83" t="str">
            <v>Veonna Magara</v>
          </cell>
          <cell r="E83" t="str">
            <v>RM</v>
          </cell>
        </row>
        <row r="84">
          <cell r="A84" t="str">
            <v>LG24908</v>
          </cell>
          <cell r="B84" t="str">
            <v>Velah Murengu</v>
          </cell>
          <cell r="E84" t="str">
            <v>LG</v>
          </cell>
        </row>
        <row r="85">
          <cell r="A85" t="str">
            <v>AB027KO</v>
          </cell>
          <cell r="B85" t="str">
            <v>Varsity Tarus</v>
          </cell>
          <cell r="E85" t="str">
            <v>LG</v>
          </cell>
        </row>
        <row r="86">
          <cell r="A86" t="str">
            <v>BB23542</v>
          </cell>
          <cell r="B86" t="str">
            <v>Valentine Waweru</v>
          </cell>
          <cell r="E86" t="str">
            <v>LG</v>
          </cell>
        </row>
        <row r="87">
          <cell r="A87" t="str">
            <v>ABVM540</v>
          </cell>
          <cell r="B87" t="str">
            <v>Valentine Musyoka</v>
          </cell>
          <cell r="E87" t="str">
            <v>ALAK</v>
          </cell>
        </row>
        <row r="88">
          <cell r="A88" t="str">
            <v>BB07609</v>
          </cell>
          <cell r="B88" t="str">
            <v>Valentine Mola</v>
          </cell>
          <cell r="E88" t="str">
            <v>UB</v>
          </cell>
        </row>
        <row r="89">
          <cell r="A89" t="str">
            <v>AB019VP</v>
          </cell>
          <cell r="B89" t="str">
            <v>Valentine Manyange</v>
          </cell>
          <cell r="E89" t="str">
            <v>LG</v>
          </cell>
        </row>
        <row r="90">
          <cell r="A90" t="str">
            <v>LG25086</v>
          </cell>
          <cell r="B90" t="str">
            <v>Tracy Chebet</v>
          </cell>
          <cell r="E90" t="str">
            <v>LG</v>
          </cell>
        </row>
        <row r="91">
          <cell r="A91" t="str">
            <v>BB17452</v>
          </cell>
          <cell r="B91" t="str">
            <v>Tony  Mati</v>
          </cell>
          <cell r="E91" t="str">
            <v>UB</v>
          </cell>
        </row>
        <row r="92">
          <cell r="A92" t="str">
            <v>LG22547</v>
          </cell>
          <cell r="B92" t="str">
            <v>Tonny Okoth</v>
          </cell>
          <cell r="E92" t="str">
            <v>LG</v>
          </cell>
        </row>
        <row r="93">
          <cell r="A93" t="str">
            <v>LG24536</v>
          </cell>
          <cell r="B93" t="str">
            <v xml:space="preserve">Tom Stanley Aduda </v>
          </cell>
          <cell r="E93" t="str">
            <v>LG</v>
          </cell>
        </row>
        <row r="94">
          <cell r="A94" t="str">
            <v>LG12716</v>
          </cell>
          <cell r="B94" t="str">
            <v>Tom Liech Onunga</v>
          </cell>
          <cell r="E94" t="str">
            <v>LG</v>
          </cell>
        </row>
        <row r="95">
          <cell r="A95" t="str">
            <v>LG24207</v>
          </cell>
          <cell r="B95" t="str">
            <v>Tinega Kennedy Okumu</v>
          </cell>
          <cell r="E95" t="str">
            <v>LG</v>
          </cell>
        </row>
        <row r="96">
          <cell r="A96" t="str">
            <v>AB011NK</v>
          </cell>
          <cell r="B96" t="str">
            <v>Timothy Mutembei Kiogora</v>
          </cell>
          <cell r="E96" t="str">
            <v>LG</v>
          </cell>
        </row>
        <row r="97">
          <cell r="A97" t="str">
            <v>LG12657</v>
          </cell>
          <cell r="B97" t="str">
            <v>Timothy Mumo Mutambuki</v>
          </cell>
          <cell r="E97" t="str">
            <v>LG</v>
          </cell>
        </row>
        <row r="98">
          <cell r="A98" t="str">
            <v>LG24292</v>
          </cell>
          <cell r="B98" t="str">
            <v>Timothy Mugambi Njue</v>
          </cell>
          <cell r="E98" t="str">
            <v>LG</v>
          </cell>
        </row>
        <row r="99">
          <cell r="A99" t="str">
            <v>AB02067</v>
          </cell>
          <cell r="B99" t="str">
            <v>Thomas Ochieng</v>
          </cell>
          <cell r="E99" t="str">
            <v>LG</v>
          </cell>
        </row>
        <row r="100">
          <cell r="A100" t="str">
            <v>LG17204</v>
          </cell>
          <cell r="B100" t="str">
            <v>Thomas Mugonzya Mutambuki</v>
          </cell>
          <cell r="E100" t="str">
            <v>LG</v>
          </cell>
        </row>
        <row r="101">
          <cell r="A101" t="str">
            <v>AB019H6</v>
          </cell>
          <cell r="B101" t="str">
            <v>Thomas Kirop</v>
          </cell>
          <cell r="E101" t="str">
            <v>LG</v>
          </cell>
        </row>
        <row r="102">
          <cell r="A102" t="str">
            <v>AB017WL</v>
          </cell>
          <cell r="B102" t="str">
            <v>Thomas Barasa Wachiya</v>
          </cell>
          <cell r="E102" t="str">
            <v>LG</v>
          </cell>
        </row>
        <row r="103">
          <cell r="A103" t="str">
            <v>LG11562</v>
          </cell>
          <cell r="B103" t="str">
            <v>Theresiah Kamene Mumo</v>
          </cell>
          <cell r="E103" t="str">
            <v>LG</v>
          </cell>
        </row>
        <row r="104">
          <cell r="A104" t="str">
            <v>LG22355</v>
          </cell>
          <cell r="B104" t="str">
            <v>Theresa Mogotu Nyang'wara</v>
          </cell>
          <cell r="E104" t="str">
            <v>LG</v>
          </cell>
        </row>
        <row r="105">
          <cell r="A105" t="str">
            <v>LG22290</v>
          </cell>
          <cell r="B105" t="str">
            <v>Thadeus Nyakundi Moindi</v>
          </cell>
          <cell r="E105" t="str">
            <v>LG</v>
          </cell>
        </row>
        <row r="106">
          <cell r="A106" t="str">
            <v>LG15847</v>
          </cell>
          <cell r="B106" t="str">
            <v>Thadeus Gwaro Oreko</v>
          </cell>
          <cell r="E106" t="str">
            <v>LG</v>
          </cell>
        </row>
        <row r="107">
          <cell r="A107" t="str">
            <v>AB019VG</v>
          </cell>
          <cell r="B107" t="str">
            <v>Tevin Musili</v>
          </cell>
          <cell r="E107" t="str">
            <v>LG</v>
          </cell>
        </row>
        <row r="108">
          <cell r="A108" t="str">
            <v>LG25071</v>
          </cell>
          <cell r="B108" t="str">
            <v>Terry Nyawira Njeru</v>
          </cell>
          <cell r="E108" t="str">
            <v>LG</v>
          </cell>
        </row>
        <row r="109">
          <cell r="A109" t="str">
            <v>BB11245</v>
          </cell>
          <cell r="B109" t="str">
            <v>Teresia Wanjiru Gichia</v>
          </cell>
          <cell r="E109" t="str">
            <v>UB</v>
          </cell>
        </row>
        <row r="110">
          <cell r="A110" t="str">
            <v>LG19069</v>
          </cell>
          <cell r="B110" t="str">
            <v>Teresia Odhiambo</v>
          </cell>
          <cell r="E110" t="str">
            <v>UB</v>
          </cell>
        </row>
        <row r="111">
          <cell r="A111" t="str">
            <v>LG20297</v>
          </cell>
          <cell r="B111" t="str">
            <v>Teresah Wangari Gituku</v>
          </cell>
          <cell r="E111" t="str">
            <v>LG</v>
          </cell>
        </row>
        <row r="112">
          <cell r="A112" t="str">
            <v>LG06721</v>
          </cell>
          <cell r="B112" t="str">
            <v>Teresa Nanjala Masinde</v>
          </cell>
          <cell r="E112" t="str">
            <v>LG</v>
          </cell>
        </row>
        <row r="113">
          <cell r="A113" t="str">
            <v>AB011JM</v>
          </cell>
          <cell r="B113" t="str">
            <v>Teresa Muthoni Maina</v>
          </cell>
          <cell r="E113" t="str">
            <v>ALAK</v>
          </cell>
        </row>
        <row r="114">
          <cell r="A114" t="str">
            <v>AB021M4</v>
          </cell>
          <cell r="B114" t="str">
            <v>Teresa Gitonga</v>
          </cell>
          <cell r="E114" t="str">
            <v>LG</v>
          </cell>
        </row>
        <row r="115">
          <cell r="A115" t="str">
            <v>AB025OU</v>
          </cell>
          <cell r="B115" t="str">
            <v xml:space="preserve">Telvin Kuru Munge </v>
          </cell>
          <cell r="E115" t="str">
            <v>LG</v>
          </cell>
        </row>
        <row r="116">
          <cell r="A116" t="str">
            <v>AB0171T</v>
          </cell>
          <cell r="B116" t="str">
            <v>Teddy Oduor</v>
          </cell>
          <cell r="E116" t="str">
            <v>LG</v>
          </cell>
        </row>
        <row r="117">
          <cell r="A117" t="str">
            <v>LG21685</v>
          </cell>
          <cell r="B117" t="str">
            <v>Teddy Mwawasi Mwazuna</v>
          </cell>
          <cell r="E117" t="str">
            <v>LG</v>
          </cell>
        </row>
        <row r="118">
          <cell r="A118" t="str">
            <v>AB018DP</v>
          </cell>
          <cell r="B118" t="str">
            <v>Tabitha Wangeci Kahanya</v>
          </cell>
          <cell r="E118" t="str">
            <v>LG</v>
          </cell>
        </row>
        <row r="119">
          <cell r="A119" t="str">
            <v>LG24551</v>
          </cell>
          <cell r="B119" t="str">
            <v xml:space="preserve">Tabitha Wambui Gachau </v>
          </cell>
          <cell r="E119" t="str">
            <v>LG</v>
          </cell>
        </row>
        <row r="120">
          <cell r="A120" t="str">
            <v>LG12303</v>
          </cell>
          <cell r="B120" t="str">
            <v>Tabitha Waithera Gitau</v>
          </cell>
          <cell r="E120" t="str">
            <v>LG</v>
          </cell>
        </row>
        <row r="121">
          <cell r="A121" t="str">
            <v>AB019GB</v>
          </cell>
          <cell r="B121" t="str">
            <v>Tabitha Ndolo</v>
          </cell>
          <cell r="E121" t="str">
            <v>LG</v>
          </cell>
        </row>
        <row r="122">
          <cell r="A122" t="str">
            <v>LG23479</v>
          </cell>
          <cell r="B122" t="str">
            <v>Tabitha Mwende Kingoo</v>
          </cell>
          <cell r="E122" t="str">
            <v>LG</v>
          </cell>
        </row>
        <row r="123">
          <cell r="A123" t="str">
            <v>11018</v>
          </cell>
          <cell r="B123" t="str">
            <v>Sylvia Wangui Karuku</v>
          </cell>
          <cell r="E123" t="str">
            <v>ALAK</v>
          </cell>
        </row>
        <row r="124">
          <cell r="A124" t="str">
            <v>BB06873</v>
          </cell>
          <cell r="B124" t="str">
            <v xml:space="preserve">Sylvia Kiplagat </v>
          </cell>
          <cell r="E124" t="str">
            <v>LG</v>
          </cell>
        </row>
        <row r="125">
          <cell r="A125" t="str">
            <v>AB025CM</v>
          </cell>
          <cell r="B125" t="str">
            <v>Sylvia Khakasa</v>
          </cell>
          <cell r="E125" t="str">
            <v>LG</v>
          </cell>
        </row>
        <row r="126">
          <cell r="A126" t="str">
            <v>AB0249O</v>
          </cell>
          <cell r="B126" t="str">
            <v>Sylvia Chebii</v>
          </cell>
          <cell r="E126" t="str">
            <v>LG</v>
          </cell>
        </row>
        <row r="127">
          <cell r="A127" t="str">
            <v>AB02490</v>
          </cell>
          <cell r="B127" t="str">
            <v>Sylvia Chebii</v>
          </cell>
          <cell r="E127" t="str">
            <v>LG</v>
          </cell>
        </row>
        <row r="128">
          <cell r="A128" t="str">
            <v>AB019LQ</v>
          </cell>
          <cell r="B128" t="str">
            <v>Sylvia Alumasi</v>
          </cell>
          <cell r="E128" t="str">
            <v>LG</v>
          </cell>
        </row>
        <row r="129">
          <cell r="A129" t="str">
            <v>AB023JI</v>
          </cell>
          <cell r="B129" t="str">
            <v>Sylvester Okoth</v>
          </cell>
          <cell r="E129" t="str">
            <v>LG</v>
          </cell>
        </row>
        <row r="130">
          <cell r="A130" t="str">
            <v>LG24617</v>
          </cell>
          <cell r="B130" t="str">
            <v>Susan Wanjiru Njeru</v>
          </cell>
          <cell r="E130" t="str">
            <v>LG</v>
          </cell>
        </row>
        <row r="131">
          <cell r="A131" t="str">
            <v>LG24210</v>
          </cell>
          <cell r="B131" t="str">
            <v>Susan Wambuga Chenjema</v>
          </cell>
          <cell r="E131" t="str">
            <v>LG</v>
          </cell>
        </row>
        <row r="132">
          <cell r="A132" t="str">
            <v>LG19483</v>
          </cell>
          <cell r="B132" t="str">
            <v>Susan Nyawira Maina</v>
          </cell>
          <cell r="E132" t="str">
            <v>LG</v>
          </cell>
        </row>
        <row r="133">
          <cell r="A133" t="str">
            <v>BB07501</v>
          </cell>
          <cell r="B133" t="str">
            <v>Susan Njoki Ngararu</v>
          </cell>
          <cell r="E133" t="str">
            <v>UB</v>
          </cell>
        </row>
        <row r="134">
          <cell r="A134" t="str">
            <v>AB017VS</v>
          </cell>
          <cell r="B134" t="str">
            <v>Susan Kayika</v>
          </cell>
          <cell r="E134" t="str">
            <v>LG</v>
          </cell>
        </row>
        <row r="135">
          <cell r="A135" t="str">
            <v>AB01559</v>
          </cell>
          <cell r="B135" t="str">
            <v>Susan Karimi</v>
          </cell>
          <cell r="E135" t="str">
            <v>LG</v>
          </cell>
        </row>
        <row r="136">
          <cell r="A136" t="str">
            <v>BBABSK755</v>
          </cell>
          <cell r="B136" t="str">
            <v>Susan Kagenyo</v>
          </cell>
          <cell r="E136" t="str">
            <v>UB</v>
          </cell>
        </row>
        <row r="137">
          <cell r="A137" t="str">
            <v>BB07209</v>
          </cell>
          <cell r="B137" t="str">
            <v>Susan Essy Agollah Onyango</v>
          </cell>
          <cell r="E137" t="str">
            <v>RM</v>
          </cell>
        </row>
        <row r="138">
          <cell r="A138" t="str">
            <v>AB026VB</v>
          </cell>
          <cell r="B138" t="str">
            <v>Steven Oyemba</v>
          </cell>
          <cell r="E138" t="str">
            <v>LG</v>
          </cell>
        </row>
        <row r="139">
          <cell r="A139" t="str">
            <v>LG23420</v>
          </cell>
          <cell r="B139" t="str">
            <v>Steven  Odamna</v>
          </cell>
          <cell r="E139" t="str">
            <v>LG</v>
          </cell>
        </row>
        <row r="140">
          <cell r="A140" t="str">
            <v>AB02691</v>
          </cell>
          <cell r="B140" t="str">
            <v>Stephenn Mugo</v>
          </cell>
          <cell r="E140" t="str">
            <v>UB</v>
          </cell>
        </row>
        <row r="141">
          <cell r="A141" t="str">
            <v>LG18891</v>
          </cell>
          <cell r="B141" t="str">
            <v>Stephen Onyango Wambedha</v>
          </cell>
          <cell r="E141" t="str">
            <v>LG</v>
          </cell>
        </row>
        <row r="142">
          <cell r="A142" t="str">
            <v>LG17722</v>
          </cell>
          <cell r="B142" t="str">
            <v>Stephen Mwaniki Gitari</v>
          </cell>
          <cell r="E142" t="str">
            <v>LG</v>
          </cell>
        </row>
        <row r="143">
          <cell r="A143" t="str">
            <v>LG19257</v>
          </cell>
          <cell r="B143" t="str">
            <v>Stephen Malone Kimeu</v>
          </cell>
          <cell r="E143" t="str">
            <v>LG</v>
          </cell>
        </row>
        <row r="144">
          <cell r="A144" t="str">
            <v>LG25460</v>
          </cell>
          <cell r="B144" t="str">
            <v>Stephen Kiproptich Koech</v>
          </cell>
          <cell r="E144" t="str">
            <v>LG</v>
          </cell>
        </row>
        <row r="145">
          <cell r="A145" t="str">
            <v>AB0280H</v>
          </cell>
          <cell r="B145" t="str">
            <v>Stephen Kinuthia Maina</v>
          </cell>
          <cell r="E145" t="str">
            <v>LG</v>
          </cell>
        </row>
        <row r="146">
          <cell r="A146" t="str">
            <v>AB011NA</v>
          </cell>
          <cell r="B146" t="str">
            <v>Stephen Kinuthia Kamau</v>
          </cell>
          <cell r="E146" t="str">
            <v>LG</v>
          </cell>
        </row>
        <row r="147">
          <cell r="A147" t="str">
            <v>HISA0041</v>
          </cell>
          <cell r="B147" t="str">
            <v>Agnes Wachuka Waruingi</v>
          </cell>
          <cell r="E147" t="str">
            <v>ALAK</v>
          </cell>
        </row>
        <row r="148">
          <cell r="A148" t="str">
            <v>HISA0054</v>
          </cell>
          <cell r="B148" t="str">
            <v>Amos Chege Karanja</v>
          </cell>
          <cell r="E148" t="str">
            <v>ALAK</v>
          </cell>
        </row>
        <row r="149">
          <cell r="A149" t="str">
            <v>HISA0027</v>
          </cell>
          <cell r="B149" t="str">
            <v>Carolyne Njoki Muhoro</v>
          </cell>
          <cell r="E149" t="str">
            <v>ALAK</v>
          </cell>
        </row>
        <row r="150">
          <cell r="A150" t="str">
            <v>HISA0067</v>
          </cell>
          <cell r="B150" t="str">
            <v>Catherine Koli Mutua</v>
          </cell>
          <cell r="E150" t="str">
            <v>ALAK</v>
          </cell>
        </row>
        <row r="151">
          <cell r="A151" t="str">
            <v>HISA0002</v>
          </cell>
          <cell r="B151" t="str">
            <v>Jacky Muiga</v>
          </cell>
          <cell r="E151" t="str">
            <v>ALAK</v>
          </cell>
        </row>
        <row r="152">
          <cell r="A152" t="str">
            <v>HISA0069</v>
          </cell>
          <cell r="B152" t="str">
            <v>James Giathi Karugu</v>
          </cell>
          <cell r="E152" t="str">
            <v>ALAK</v>
          </cell>
        </row>
        <row r="153">
          <cell r="A153" t="str">
            <v>HISA0003</v>
          </cell>
          <cell r="B153" t="str">
            <v>Joseph Munyao Manyala</v>
          </cell>
          <cell r="E153" t="str">
            <v>ALAK</v>
          </cell>
        </row>
        <row r="154">
          <cell r="A154" t="str">
            <v>HISA0011</v>
          </cell>
          <cell r="B154" t="str">
            <v>Julia Kamau</v>
          </cell>
          <cell r="E154" t="str">
            <v>ALAK</v>
          </cell>
        </row>
        <row r="155">
          <cell r="A155" t="str">
            <v>HISA0060</v>
          </cell>
          <cell r="B155" t="str">
            <v>Lovelyn Atwiine</v>
          </cell>
          <cell r="E155" t="str">
            <v>ALAK</v>
          </cell>
        </row>
        <row r="156">
          <cell r="A156" t="str">
            <v>HISA0020</v>
          </cell>
          <cell r="B156" t="str">
            <v>Maureen Ichaura</v>
          </cell>
          <cell r="E156" t="str">
            <v>ALAK</v>
          </cell>
        </row>
        <row r="157">
          <cell r="A157" t="str">
            <v>HISA0039</v>
          </cell>
          <cell r="B157" t="str">
            <v>Robinson Nduati Kimani</v>
          </cell>
          <cell r="E157" t="str">
            <v>ALAK</v>
          </cell>
        </row>
        <row r="158">
          <cell r="A158" t="str">
            <v>HISA0018</v>
          </cell>
          <cell r="B158" t="str">
            <v>Sammy Gikiri</v>
          </cell>
          <cell r="E158" t="str">
            <v>ALAK</v>
          </cell>
        </row>
        <row r="159">
          <cell r="A159" t="str">
            <v>HISA0016</v>
          </cell>
          <cell r="B159" t="str">
            <v>Victor Nyamunga</v>
          </cell>
          <cell r="E159" t="str">
            <v>ALAK</v>
          </cell>
        </row>
        <row r="160">
          <cell r="A160" t="str">
            <v>HISA0045</v>
          </cell>
          <cell r="B160" t="str">
            <v>Winnie Wanjiku Kiragu</v>
          </cell>
          <cell r="E160" t="str">
            <v>ALAK</v>
          </cell>
        </row>
        <row r="161">
          <cell r="A161" t="str">
            <v>HISA0001</v>
          </cell>
          <cell r="B161" t="str">
            <v>Alfred Mathu</v>
          </cell>
          <cell r="E161" t="str">
            <v>ALAK</v>
          </cell>
        </row>
        <row r="162">
          <cell r="A162" t="str">
            <v>HISA0047</v>
          </cell>
          <cell r="B162" t="str">
            <v>Caroline Ng'ang'a</v>
          </cell>
          <cell r="E162" t="str">
            <v>ALAK</v>
          </cell>
        </row>
        <row r="163">
          <cell r="A163" t="str">
            <v>HISA0007</v>
          </cell>
          <cell r="B163" t="str">
            <v>Consolata Wandia Maina</v>
          </cell>
          <cell r="E163" t="str">
            <v>ALAK</v>
          </cell>
        </row>
        <row r="164">
          <cell r="A164" t="str">
            <v>HISA0076</v>
          </cell>
          <cell r="B164" t="str">
            <v>Fouzia Nicole Rashid</v>
          </cell>
          <cell r="E164" t="str">
            <v>ALAK</v>
          </cell>
        </row>
        <row r="165">
          <cell r="A165" t="str">
            <v>HISA0076</v>
          </cell>
          <cell r="B165" t="str">
            <v>Grace Wahome</v>
          </cell>
          <cell r="E165" t="str">
            <v>ALAK</v>
          </cell>
        </row>
        <row r="166">
          <cell r="A166" t="str">
            <v>HISA0086</v>
          </cell>
          <cell r="B166" t="str">
            <v>Margaret Wangui Mbugua</v>
          </cell>
          <cell r="E166" t="str">
            <v>ALAK</v>
          </cell>
        </row>
        <row r="167">
          <cell r="A167" t="str">
            <v>HISA0040</v>
          </cell>
          <cell r="B167" t="str">
            <v>Martin Kamande</v>
          </cell>
          <cell r="E167" t="str">
            <v>ALAK</v>
          </cell>
        </row>
        <row r="168">
          <cell r="A168" t="str">
            <v>HISA0052</v>
          </cell>
          <cell r="B168" t="str">
            <v>Pauline Mkanjumwa Maza</v>
          </cell>
          <cell r="E168" t="str">
            <v>ALAK</v>
          </cell>
        </row>
        <row r="169">
          <cell r="A169" t="str">
            <v>HISA0096</v>
          </cell>
          <cell r="B169" t="str">
            <v>Peris Wakanyi Kamau</v>
          </cell>
          <cell r="E169" t="str">
            <v>ALAK</v>
          </cell>
        </row>
        <row r="170">
          <cell r="A170" t="str">
            <v>HISA0028</v>
          </cell>
          <cell r="B170" t="str">
            <v>Rhoda Nyaanga Wanjuki</v>
          </cell>
          <cell r="E170" t="str">
            <v>ALAK</v>
          </cell>
        </row>
        <row r="171">
          <cell r="A171" t="str">
            <v>HISA0033</v>
          </cell>
          <cell r="B171" t="str">
            <v>Susan Omondi</v>
          </cell>
          <cell r="E171" t="str">
            <v>ALAK</v>
          </cell>
        </row>
        <row r="172">
          <cell r="A172" t="str">
            <v>HISA0080</v>
          </cell>
          <cell r="B172" t="str">
            <v>Sylvia Mutitu Njagi</v>
          </cell>
          <cell r="E172" t="str">
            <v>ALAK</v>
          </cell>
        </row>
        <row r="173">
          <cell r="A173" t="str">
            <v>HISA0061</v>
          </cell>
          <cell r="B173" t="str">
            <v>Virginia Wambui Mbugua</v>
          </cell>
          <cell r="E173" t="str">
            <v>ALAK</v>
          </cell>
        </row>
        <row r="174">
          <cell r="A174" t="str">
            <v>HISA0012</v>
          </cell>
          <cell r="B174" t="str">
            <v>Vivian Mlati</v>
          </cell>
          <cell r="E174" t="str">
            <v>ALAK</v>
          </cell>
        </row>
        <row r="175">
          <cell r="A175" t="str">
            <v>HISA0025</v>
          </cell>
          <cell r="B175" t="str">
            <v>Wainaina Joseph Kiarie</v>
          </cell>
          <cell r="E175" t="str">
            <v>ALAK</v>
          </cell>
        </row>
        <row r="176">
          <cell r="A176" t="str">
            <v>BB21875</v>
          </cell>
          <cell r="B176" t="str">
            <v>Stephen Kaluku</v>
          </cell>
          <cell r="E176" t="str">
            <v>UB</v>
          </cell>
        </row>
        <row r="177">
          <cell r="A177" t="str">
            <v>BB04523</v>
          </cell>
          <cell r="B177" t="str">
            <v>Stephen Kabucho</v>
          </cell>
          <cell r="E177" t="str">
            <v>UB</v>
          </cell>
        </row>
        <row r="178">
          <cell r="A178" t="str">
            <v>BB11791</v>
          </cell>
          <cell r="B178" t="str">
            <v>Stephen Bundi Stanley</v>
          </cell>
          <cell r="E178" t="str">
            <v>RM</v>
          </cell>
        </row>
        <row r="179">
          <cell r="A179" t="str">
            <v>LG21875</v>
          </cell>
          <cell r="B179" t="str">
            <v>Stephen  Kaluku</v>
          </cell>
          <cell r="E179" t="str">
            <v>LG</v>
          </cell>
        </row>
        <row r="180">
          <cell r="A180" t="str">
            <v>AB006D2</v>
          </cell>
          <cell r="B180" t="str">
            <v xml:space="preserve">Stella Wambua </v>
          </cell>
          <cell r="E180" t="str">
            <v>LG</v>
          </cell>
        </row>
        <row r="181">
          <cell r="A181" t="str">
            <v>AB025OL</v>
          </cell>
          <cell r="B181" t="str">
            <v>Stella Nafula Wanyonyi</v>
          </cell>
          <cell r="E181" t="str">
            <v>LG</v>
          </cell>
        </row>
        <row r="182">
          <cell r="A182" t="str">
            <v>LG11076</v>
          </cell>
          <cell r="B182" t="str">
            <v>Stella Kagwiria Muriuki</v>
          </cell>
          <cell r="E182" t="str">
            <v>LG</v>
          </cell>
        </row>
        <row r="183">
          <cell r="A183" t="str">
            <v>LG21285</v>
          </cell>
          <cell r="B183" t="str">
            <v>Stanley KIBUI Gacheru</v>
          </cell>
          <cell r="E183" t="str">
            <v>LG</v>
          </cell>
        </row>
        <row r="184">
          <cell r="A184" t="str">
            <v>LG23271</v>
          </cell>
          <cell r="B184" t="str">
            <v>Stanley Gikundi Ntorukiri</v>
          </cell>
          <cell r="E184" t="str">
            <v>LG</v>
          </cell>
        </row>
        <row r="185">
          <cell r="A185" t="str">
            <v>LG24560</v>
          </cell>
          <cell r="B185" t="str">
            <v>Stacy Njeri Njinu</v>
          </cell>
          <cell r="E185" t="str">
            <v>LG</v>
          </cell>
        </row>
        <row r="186">
          <cell r="A186" t="str">
            <v>AB019G9</v>
          </cell>
          <cell r="B186" t="str">
            <v>Stacey Mako</v>
          </cell>
          <cell r="E186" t="str">
            <v>LG</v>
          </cell>
        </row>
        <row r="187">
          <cell r="A187" t="str">
            <v>AB01969</v>
          </cell>
          <cell r="B187" t="str">
            <v>Stacey Esendi Mako</v>
          </cell>
          <cell r="E187" t="str">
            <v>LG</v>
          </cell>
        </row>
        <row r="188">
          <cell r="A188" t="str">
            <v>AB022F0</v>
          </cell>
          <cell r="B188" t="str">
            <v>Sophie Muthamia</v>
          </cell>
          <cell r="E188" t="str">
            <v>LG</v>
          </cell>
        </row>
        <row r="189">
          <cell r="A189" t="str">
            <v>AB019FM</v>
          </cell>
          <cell r="B189" t="str">
            <v>Sophia Ogutu</v>
          </cell>
          <cell r="E189" t="str">
            <v>UB</v>
          </cell>
        </row>
        <row r="190">
          <cell r="A190" t="str">
            <v>LG20209</v>
          </cell>
          <cell r="B190" t="str">
            <v>Solomon Mulei Kavata</v>
          </cell>
          <cell r="E190" t="str">
            <v>LG</v>
          </cell>
        </row>
        <row r="191">
          <cell r="A191" t="str">
            <v xml:space="preserve">BB06885 </v>
          </cell>
          <cell r="B191" t="str">
            <v>Simon Njoroge</v>
          </cell>
          <cell r="E191" t="str">
            <v>LG</v>
          </cell>
        </row>
        <row r="192">
          <cell r="A192">
            <v>13041</v>
          </cell>
          <cell r="B192" t="str">
            <v xml:space="preserve">Simon Ngui </v>
          </cell>
          <cell r="E192" t="str">
            <v>ALAK</v>
          </cell>
        </row>
        <row r="193">
          <cell r="A193" t="str">
            <v>BB11090</v>
          </cell>
          <cell r="B193" t="str">
            <v xml:space="preserve">Simon Mwau </v>
          </cell>
          <cell r="E193" t="str">
            <v>LG</v>
          </cell>
        </row>
        <row r="194">
          <cell r="A194" t="str">
            <v>13041</v>
          </cell>
          <cell r="B194" t="str">
            <v>Simon Mulinge Ngui</v>
          </cell>
          <cell r="E194" t="str">
            <v>ALAK</v>
          </cell>
        </row>
        <row r="195">
          <cell r="A195" t="str">
            <v>BB06885</v>
          </cell>
          <cell r="B195" t="str">
            <v>Simon Karanja Njoroge</v>
          </cell>
          <cell r="E195" t="str">
            <v>UB</v>
          </cell>
        </row>
        <row r="196">
          <cell r="A196" t="str">
            <v>BB21166</v>
          </cell>
          <cell r="B196" t="str">
            <v>Silas Wanjala Oloo</v>
          </cell>
          <cell r="E196" t="str">
            <v>UB</v>
          </cell>
        </row>
        <row r="197">
          <cell r="A197" t="str">
            <v>LG24533</v>
          </cell>
          <cell r="B197" t="str">
            <v>Silas Kiprotich Tanui</v>
          </cell>
          <cell r="E197" t="str">
            <v>LG</v>
          </cell>
        </row>
        <row r="198">
          <cell r="A198" t="str">
            <v>LG25552</v>
          </cell>
          <cell r="B198" t="str">
            <v>Silas Kiprotich Chirchir</v>
          </cell>
          <cell r="E198" t="str">
            <v>LG</v>
          </cell>
        </row>
        <row r="199">
          <cell r="A199" t="str">
            <v>LG25592</v>
          </cell>
          <cell r="B199" t="str">
            <v>Silas Chirchir</v>
          </cell>
          <cell r="E199" t="str">
            <v>LG</v>
          </cell>
        </row>
        <row r="200">
          <cell r="A200" t="str">
            <v>LG20696</v>
          </cell>
          <cell r="B200" t="str">
            <v>Sifa Mwanguwa Kidong'u</v>
          </cell>
          <cell r="E200" t="str">
            <v>LG</v>
          </cell>
        </row>
        <row r="201">
          <cell r="A201" t="str">
            <v>AB025S</v>
          </cell>
          <cell r="B201" t="str">
            <v>sidney Onindo Wandago</v>
          </cell>
          <cell r="E201" t="str">
            <v>LG</v>
          </cell>
        </row>
        <row r="202">
          <cell r="A202" t="str">
            <v>LG24849</v>
          </cell>
          <cell r="B202" t="str">
            <v xml:space="preserve">SHIRLIYINE AKINYI </v>
          </cell>
          <cell r="E202" t="str">
            <v>LG</v>
          </cell>
        </row>
        <row r="203">
          <cell r="A203" t="str">
            <v>LG18008</v>
          </cell>
          <cell r="B203" t="str">
            <v>Shirley Phelyster Omware</v>
          </cell>
          <cell r="E203" t="str">
            <v>LG</v>
          </cell>
        </row>
        <row r="204">
          <cell r="A204" t="str">
            <v>LG25056</v>
          </cell>
          <cell r="B204" t="str">
            <v>Shirley Jepkosgei Rotich</v>
          </cell>
          <cell r="E204" t="str">
            <v>LG</v>
          </cell>
        </row>
        <row r="205">
          <cell r="A205" t="str">
            <v>LG25057</v>
          </cell>
          <cell r="B205" t="str">
            <v xml:space="preserve">Sherice Nyevu Thoya </v>
          </cell>
          <cell r="E205" t="str">
            <v>LG</v>
          </cell>
        </row>
        <row r="206">
          <cell r="A206" t="str">
            <v>AB011JP</v>
          </cell>
          <cell r="B206" t="str">
            <v>Sheila Ndegwa</v>
          </cell>
          <cell r="E206" t="str">
            <v>LG</v>
          </cell>
        </row>
        <row r="207">
          <cell r="A207" t="str">
            <v>AB018LO</v>
          </cell>
          <cell r="B207" t="str">
            <v>Sheila Adhiambo</v>
          </cell>
          <cell r="E207" t="str">
            <v>ALAK</v>
          </cell>
        </row>
        <row r="208">
          <cell r="A208" t="str">
            <v>LG13522</v>
          </cell>
          <cell r="B208" t="str">
            <v>Sharron Atieno Mathews</v>
          </cell>
          <cell r="E208" t="str">
            <v>LG</v>
          </cell>
        </row>
        <row r="209">
          <cell r="A209" t="str">
            <v>AB020E2</v>
          </cell>
          <cell r="B209" t="str">
            <v>Sharon Waturi Ndirangu</v>
          </cell>
          <cell r="E209" t="str">
            <v>LG</v>
          </cell>
        </row>
        <row r="210">
          <cell r="A210" t="str">
            <v>AB026UP</v>
          </cell>
          <cell r="B210" t="str">
            <v>Sharon Wathiri</v>
          </cell>
          <cell r="E210" t="str">
            <v>LG</v>
          </cell>
        </row>
        <row r="211">
          <cell r="A211" t="str">
            <v>LG24757</v>
          </cell>
          <cell r="B211" t="str">
            <v>Sharon Nyamaera</v>
          </cell>
          <cell r="E211" t="str">
            <v>LG</v>
          </cell>
        </row>
        <row r="212">
          <cell r="A212" t="str">
            <v>AB016L1</v>
          </cell>
          <cell r="B212" t="str">
            <v>Sharon Adhiambo</v>
          </cell>
          <cell r="E212" t="str">
            <v>LG</v>
          </cell>
        </row>
        <row r="213">
          <cell r="A213" t="str">
            <v>LG23521</v>
          </cell>
          <cell r="B213" t="str">
            <v>Sharon  Mwanza</v>
          </cell>
          <cell r="E213" t="str">
            <v>LG</v>
          </cell>
        </row>
        <row r="214">
          <cell r="A214" t="str">
            <v>LG25059</v>
          </cell>
          <cell r="B214" t="str">
            <v xml:space="preserve">Sharifa Mohamed Zito </v>
          </cell>
          <cell r="E214" t="str">
            <v>LG</v>
          </cell>
        </row>
        <row r="215">
          <cell r="A215" t="str">
            <v>LG17159</v>
          </cell>
          <cell r="B215" t="str">
            <v>Shamilah Jepkoech Tomno</v>
          </cell>
          <cell r="E215" t="str">
            <v>LG</v>
          </cell>
        </row>
        <row r="216">
          <cell r="A216" t="str">
            <v>LG23015</v>
          </cell>
          <cell r="B216" t="str">
            <v>Shallyne Jerotich Koech</v>
          </cell>
          <cell r="E216" t="str">
            <v>LG</v>
          </cell>
        </row>
        <row r="217">
          <cell r="A217" t="str">
            <v>BB05531</v>
          </cell>
          <cell r="B217" t="str">
            <v>Shadrack Omboga Namba</v>
          </cell>
          <cell r="E217" t="str">
            <v>UB</v>
          </cell>
        </row>
        <row r="218">
          <cell r="A218" t="str">
            <v>BB5531</v>
          </cell>
          <cell r="B218" t="str">
            <v xml:space="preserve">Shadrack Namba </v>
          </cell>
          <cell r="E218" t="str">
            <v>UB</v>
          </cell>
        </row>
        <row r="219">
          <cell r="A219" t="str">
            <v>LG25454</v>
          </cell>
          <cell r="B219" t="str">
            <v>Shadrack Machungu Bunyige</v>
          </cell>
          <cell r="E219" t="str">
            <v>LG</v>
          </cell>
        </row>
        <row r="220">
          <cell r="A220" t="str">
            <v>BB20588</v>
          </cell>
          <cell r="B220" t="str">
            <v>Shaban  Khamis</v>
          </cell>
          <cell r="E220" t="str">
            <v>UB</v>
          </cell>
        </row>
        <row r="221">
          <cell r="A221" t="str">
            <v>AB024TP</v>
          </cell>
          <cell r="B221" t="str">
            <v>Seth Ndirangu</v>
          </cell>
          <cell r="E221" t="str">
            <v>LG</v>
          </cell>
        </row>
        <row r="222">
          <cell r="A222" t="str">
            <v>AB019Z4</v>
          </cell>
          <cell r="B222" t="str">
            <v>Seth Mutiso</v>
          </cell>
          <cell r="E222" t="str">
            <v>LG</v>
          </cell>
        </row>
        <row r="223">
          <cell r="A223" t="str">
            <v>AB0154U</v>
          </cell>
          <cell r="B223" t="str">
            <v xml:space="preserve">Seraphine Mutunga </v>
          </cell>
          <cell r="E223" t="str">
            <v>LG</v>
          </cell>
        </row>
        <row r="224">
          <cell r="A224" t="str">
            <v>BB07959</v>
          </cell>
          <cell r="B224" t="str">
            <v>Serah Muthui</v>
          </cell>
          <cell r="E224" t="str">
            <v>RM</v>
          </cell>
        </row>
        <row r="225">
          <cell r="A225" t="str">
            <v>LG22274</v>
          </cell>
          <cell r="B225" t="str">
            <v>Senitor  Birai</v>
          </cell>
          <cell r="E225" t="str">
            <v>LG</v>
          </cell>
        </row>
        <row r="226">
          <cell r="A226" t="str">
            <v>MKL0587</v>
          </cell>
          <cell r="B226" t="str">
            <v>Sawoyo,Leonard Osinyu Ole Teleyio</v>
          </cell>
          <cell r="E226" t="str">
            <v>ALAK</v>
          </cell>
        </row>
        <row r="227">
          <cell r="A227" t="str">
            <v>BB16525</v>
          </cell>
          <cell r="B227" t="str">
            <v>Saria Norman Dancun</v>
          </cell>
          <cell r="E227" t="str">
            <v>UB</v>
          </cell>
        </row>
        <row r="228">
          <cell r="A228" t="str">
            <v>LG16529</v>
          </cell>
          <cell r="B228" t="str">
            <v>Sarah Wanjiku Wanjohi</v>
          </cell>
          <cell r="E228" t="str">
            <v>LG</v>
          </cell>
        </row>
        <row r="229">
          <cell r="A229" t="str">
            <v>BB25186</v>
          </cell>
          <cell r="B229" t="str">
            <v>Sarah Njuki</v>
          </cell>
          <cell r="E229" t="str">
            <v>LG</v>
          </cell>
        </row>
        <row r="230">
          <cell r="A230" t="str">
            <v>BB19546</v>
          </cell>
          <cell r="B230" t="str">
            <v>Sarah Ndaisi Kimeu</v>
          </cell>
          <cell r="E230" t="str">
            <v>UB</v>
          </cell>
        </row>
        <row r="231">
          <cell r="A231" t="str">
            <v>LG24398</v>
          </cell>
          <cell r="B231" t="str">
            <v>Sarah Aluoch Ochola</v>
          </cell>
          <cell r="E231" t="str">
            <v>LG</v>
          </cell>
        </row>
        <row r="232">
          <cell r="A232" t="str">
            <v>LG21884</v>
          </cell>
          <cell r="B232" t="str">
            <v>Sarah  Kanjigi</v>
          </cell>
          <cell r="E232" t="str">
            <v>LG</v>
          </cell>
        </row>
        <row r="233">
          <cell r="A233" t="str">
            <v>LG18052</v>
          </cell>
          <cell r="B233" t="str">
            <v>Sarah  Chebet</v>
          </cell>
          <cell r="E233" t="str">
            <v>LG</v>
          </cell>
        </row>
        <row r="234">
          <cell r="A234" t="str">
            <v>BB06114</v>
          </cell>
          <cell r="B234" t="str">
            <v>Sandra Wanza Mbuli</v>
          </cell>
          <cell r="E234" t="str">
            <v>RM</v>
          </cell>
        </row>
        <row r="235">
          <cell r="A235" t="str">
            <v>MKL0633</v>
          </cell>
          <cell r="B235" t="str">
            <v>Samwel, Lucy Kathure</v>
          </cell>
          <cell r="E235" t="str">
            <v>LG</v>
          </cell>
        </row>
        <row r="236">
          <cell r="A236" t="str">
            <v>LG23334</v>
          </cell>
          <cell r="B236" t="str">
            <v>Samuel Wango Githura</v>
          </cell>
          <cell r="E236" t="str">
            <v>LG</v>
          </cell>
        </row>
        <row r="237">
          <cell r="A237" t="str">
            <v>LG23242</v>
          </cell>
          <cell r="B237" t="str">
            <v>Samuel Ndungu Mwangi</v>
          </cell>
          <cell r="E237" t="str">
            <v>LG</v>
          </cell>
        </row>
        <row r="238">
          <cell r="A238" t="str">
            <v>BB23242</v>
          </cell>
          <cell r="B238" t="str">
            <v>Samuel Ndungu Mwangi</v>
          </cell>
          <cell r="E238" t="str">
            <v>LG</v>
          </cell>
        </row>
        <row r="239">
          <cell r="A239" t="str">
            <v>AB025OV</v>
          </cell>
          <cell r="B239" t="str">
            <v>Samuel Mwendwa Maingi</v>
          </cell>
          <cell r="E239" t="str">
            <v>LG</v>
          </cell>
        </row>
        <row r="240">
          <cell r="A240" t="str">
            <v>ABSMBJA</v>
          </cell>
          <cell r="B240" t="str">
            <v>Samuel Munyiri</v>
          </cell>
          <cell r="E240" t="str">
            <v>UB</v>
          </cell>
        </row>
        <row r="241">
          <cell r="A241" t="str">
            <v>LG24325</v>
          </cell>
          <cell r="B241" t="str">
            <v>Samuel Kimondiu Kitavi</v>
          </cell>
          <cell r="E241" t="str">
            <v>LG</v>
          </cell>
        </row>
        <row r="242">
          <cell r="A242" t="str">
            <v>5184</v>
          </cell>
          <cell r="B242" t="str">
            <v>Samuel Hope Mwanga</v>
          </cell>
          <cell r="E242" t="str">
            <v>ALAK</v>
          </cell>
        </row>
        <row r="243">
          <cell r="A243" t="str">
            <v>AB02058</v>
          </cell>
          <cell r="B243" t="str">
            <v>Samuel Gitau</v>
          </cell>
          <cell r="E243" t="str">
            <v>LG</v>
          </cell>
        </row>
        <row r="244">
          <cell r="A244" t="str">
            <v>AB0228W</v>
          </cell>
          <cell r="B244" t="str">
            <v>Samson Safari Gohu</v>
          </cell>
          <cell r="E244" t="str">
            <v>LG</v>
          </cell>
        </row>
        <row r="245">
          <cell r="A245" t="str">
            <v>BB09421</v>
          </cell>
          <cell r="B245" t="str">
            <v>Samson Ogaro Ongeri</v>
          </cell>
          <cell r="E245" t="str">
            <v>RM</v>
          </cell>
        </row>
        <row r="246">
          <cell r="A246" t="str">
            <v>BB17518</v>
          </cell>
          <cell r="B246" t="str">
            <v>Samson Mwathi</v>
          </cell>
          <cell r="E246" t="str">
            <v>LG</v>
          </cell>
        </row>
        <row r="247">
          <cell r="A247" t="str">
            <v>AB01726</v>
          </cell>
          <cell r="B247" t="str">
            <v>Sammy Ambesha</v>
          </cell>
          <cell r="E247" t="str">
            <v>LG</v>
          </cell>
        </row>
        <row r="248">
          <cell r="A248" t="str">
            <v>LG24923</v>
          </cell>
          <cell r="B248" t="str">
            <v>Safia Abdullahi Dubat</v>
          </cell>
          <cell r="E248" t="str">
            <v>LG</v>
          </cell>
        </row>
        <row r="249">
          <cell r="A249" t="str">
            <v>LG14798</v>
          </cell>
          <cell r="B249" t="str">
            <v>Sabina Achieng Kunga</v>
          </cell>
          <cell r="E249" t="str">
            <v>LG</v>
          </cell>
        </row>
        <row r="250">
          <cell r="A250" t="str">
            <v>LG19316</v>
          </cell>
          <cell r="B250" t="str">
            <v>Ruth Wanja Maina</v>
          </cell>
          <cell r="E250" t="str">
            <v>LG</v>
          </cell>
        </row>
        <row r="251">
          <cell r="A251" t="str">
            <v>LG17571</v>
          </cell>
          <cell r="B251" t="str">
            <v>Ruth Wambani Kimunguyi</v>
          </cell>
          <cell r="E251" t="str">
            <v>LG</v>
          </cell>
        </row>
        <row r="252">
          <cell r="A252" t="str">
            <v>LG23332</v>
          </cell>
          <cell r="B252" t="str">
            <v>Ruth Nduta Wanjohi</v>
          </cell>
          <cell r="E252" t="str">
            <v>LG</v>
          </cell>
        </row>
        <row r="253">
          <cell r="A253" t="str">
            <v>AB023AO</v>
          </cell>
          <cell r="B253" t="str">
            <v>Ruth Nderitu</v>
          </cell>
          <cell r="E253" t="str">
            <v>LG</v>
          </cell>
        </row>
        <row r="254">
          <cell r="A254" t="str">
            <v>AB019LC</v>
          </cell>
          <cell r="B254" t="str">
            <v>Ruth Nasipwoni Mukuusi</v>
          </cell>
          <cell r="E254" t="str">
            <v>LG</v>
          </cell>
        </row>
        <row r="255">
          <cell r="A255" t="str">
            <v>LG24397</v>
          </cell>
          <cell r="B255" t="str">
            <v>Ruth Muthoni Ngeru</v>
          </cell>
          <cell r="E255" t="str">
            <v>LG</v>
          </cell>
        </row>
        <row r="256">
          <cell r="A256" t="str">
            <v>LG15382</v>
          </cell>
          <cell r="B256" t="str">
            <v>Ruth Mutheu Mulua</v>
          </cell>
          <cell r="E256" t="str">
            <v>LG</v>
          </cell>
        </row>
        <row r="257">
          <cell r="A257" t="str">
            <v>AB019QY</v>
          </cell>
          <cell r="B257" t="str">
            <v>Ruth Kihumbi</v>
          </cell>
          <cell r="E257" t="str">
            <v>LG</v>
          </cell>
        </row>
        <row r="258">
          <cell r="A258" t="str">
            <v>BB14971</v>
          </cell>
          <cell r="B258" t="str">
            <v>Ruth Chirchir</v>
          </cell>
          <cell r="E258" t="str">
            <v>UB</v>
          </cell>
        </row>
        <row r="259">
          <cell r="A259" t="str">
            <v>AB0263E</v>
          </cell>
          <cell r="B259" t="str">
            <v>Ruth Ajowi</v>
          </cell>
          <cell r="E259" t="str">
            <v>LG</v>
          </cell>
        </row>
        <row r="260">
          <cell r="A260" t="str">
            <v>LG15770</v>
          </cell>
          <cell r="B260" t="str">
            <v>Rosemary Wanjeri Karwe</v>
          </cell>
          <cell r="E260" t="str">
            <v>LG</v>
          </cell>
        </row>
        <row r="261">
          <cell r="A261" t="str">
            <v>LG25090</v>
          </cell>
          <cell r="B261" t="str">
            <v>Rosemary Adongo Arrogo</v>
          </cell>
          <cell r="E261" t="str">
            <v>LG</v>
          </cell>
        </row>
        <row r="262">
          <cell r="A262" t="str">
            <v>BB06293</v>
          </cell>
          <cell r="B262" t="str">
            <v>Roselyne Aseyo Agade</v>
          </cell>
          <cell r="E262" t="str">
            <v>UB</v>
          </cell>
        </row>
        <row r="263">
          <cell r="A263" t="str">
            <v>LG23432</v>
          </cell>
          <cell r="B263" t="str">
            <v>Roselyne  Mwangi</v>
          </cell>
          <cell r="E263" t="str">
            <v>LG</v>
          </cell>
        </row>
        <row r="264">
          <cell r="A264" t="str">
            <v>BM04787</v>
          </cell>
          <cell r="B264" t="str">
            <v>Roseline Ochola</v>
          </cell>
          <cell r="E264" t="str">
            <v>LG</v>
          </cell>
        </row>
        <row r="265">
          <cell r="A265" t="str">
            <v>ABRO128</v>
          </cell>
          <cell r="B265" t="str">
            <v>Roseline Ochola</v>
          </cell>
          <cell r="E265" t="str">
            <v>LG</v>
          </cell>
        </row>
        <row r="266">
          <cell r="A266" t="str">
            <v>LG06411</v>
          </cell>
          <cell r="B266" t="str">
            <v>Roseline Anyango Othigo</v>
          </cell>
          <cell r="E266" t="str">
            <v>LG</v>
          </cell>
        </row>
        <row r="267">
          <cell r="A267" t="str">
            <v>LG09524</v>
          </cell>
          <cell r="B267" t="str">
            <v>Rose Wanyonyi</v>
          </cell>
          <cell r="E267" t="str">
            <v>LG</v>
          </cell>
        </row>
        <row r="268">
          <cell r="A268" t="str">
            <v>AB025OO</v>
          </cell>
          <cell r="B268" t="str">
            <v>Rose Wangui Gakobo</v>
          </cell>
          <cell r="E268" t="str">
            <v>LG</v>
          </cell>
        </row>
        <row r="269">
          <cell r="A269" t="str">
            <v>LG09524</v>
          </cell>
          <cell r="B269" t="str">
            <v>Rose Mwikali Wanyonyi</v>
          </cell>
          <cell r="E269" t="str">
            <v>LG</v>
          </cell>
        </row>
        <row r="270">
          <cell r="A270" t="str">
            <v>AB0297W</v>
          </cell>
          <cell r="B270" t="str">
            <v>Rose Muthee</v>
          </cell>
          <cell r="E270" t="str">
            <v>UB</v>
          </cell>
        </row>
        <row r="271">
          <cell r="A271" t="str">
            <v>LG20186</v>
          </cell>
          <cell r="B271" t="str">
            <v>Rose Mumbi Muinde</v>
          </cell>
          <cell r="E271" t="str">
            <v>LG</v>
          </cell>
        </row>
        <row r="272">
          <cell r="A272" t="str">
            <v>BB22553</v>
          </cell>
          <cell r="B272" t="str">
            <v>Rose Mogotu Osano</v>
          </cell>
          <cell r="E272" t="str">
            <v>UB</v>
          </cell>
        </row>
        <row r="273">
          <cell r="A273" t="str">
            <v>LG17002</v>
          </cell>
          <cell r="B273" t="str">
            <v>Rose Mbatha Nzeki</v>
          </cell>
          <cell r="E273" t="str">
            <v>LG</v>
          </cell>
        </row>
        <row r="274">
          <cell r="A274" t="str">
            <v>MKL0602</v>
          </cell>
          <cell r="B274" t="str">
            <v>Rono, Eric Kibet</v>
          </cell>
          <cell r="E274" t="str">
            <v>ALAK</v>
          </cell>
        </row>
        <row r="275">
          <cell r="A275" t="str">
            <v>LG21111</v>
          </cell>
          <cell r="B275" t="str">
            <v>Ronald JEREMIAH Nabwera</v>
          </cell>
          <cell r="E275" t="str">
            <v>LG</v>
          </cell>
        </row>
        <row r="276">
          <cell r="A276" t="str">
            <v>ABRO159</v>
          </cell>
          <cell r="B276" t="str">
            <v>Rogers Tony  Odhiambo otieno</v>
          </cell>
          <cell r="E276" t="str">
            <v>LG</v>
          </cell>
        </row>
        <row r="277">
          <cell r="A277" t="str">
            <v>LG24587</v>
          </cell>
          <cell r="B277" t="str">
            <v>Rodgers Otieno</v>
          </cell>
          <cell r="E277" t="str">
            <v>LG</v>
          </cell>
        </row>
        <row r="278">
          <cell r="A278" t="str">
            <v>AB017VF</v>
          </cell>
          <cell r="B278" t="str">
            <v>Rodah Mutie</v>
          </cell>
          <cell r="E278" t="str">
            <v>LG</v>
          </cell>
        </row>
        <row r="279">
          <cell r="A279" t="str">
            <v>LG24646</v>
          </cell>
          <cell r="B279" t="str">
            <v>Robly Kiptoo Cheruiyot</v>
          </cell>
          <cell r="E279" t="str">
            <v>LG</v>
          </cell>
        </row>
        <row r="280">
          <cell r="A280" t="str">
            <v>AB011NZ</v>
          </cell>
          <cell r="B280" t="str">
            <v>Robinson Mutahi</v>
          </cell>
          <cell r="E280" t="str">
            <v>LG</v>
          </cell>
        </row>
        <row r="281">
          <cell r="A281" t="str">
            <v>LG18064</v>
          </cell>
          <cell r="B281" t="str">
            <v>Robinson Kiprop Kirwa</v>
          </cell>
          <cell r="E281" t="str">
            <v>LG</v>
          </cell>
        </row>
        <row r="282">
          <cell r="A282" t="str">
            <v>BB11890</v>
          </cell>
          <cell r="B282" t="str">
            <v>Robina N Onyinkwa</v>
          </cell>
          <cell r="E282" t="str">
            <v>UB</v>
          </cell>
        </row>
        <row r="283">
          <cell r="A283" t="str">
            <v>AB019HX</v>
          </cell>
          <cell r="B283" t="str">
            <v>Robert Simiyu Makokha</v>
          </cell>
          <cell r="E283" t="str">
            <v>LG</v>
          </cell>
        </row>
        <row r="284">
          <cell r="A284" t="str">
            <v>LG20210</v>
          </cell>
          <cell r="B284" t="str">
            <v>Robert Macharia Ndungu</v>
          </cell>
          <cell r="E284" t="str">
            <v>LG</v>
          </cell>
        </row>
        <row r="285">
          <cell r="A285" t="str">
            <v>LG19283</v>
          </cell>
          <cell r="B285" t="str">
            <v>Robert  Amuravu</v>
          </cell>
          <cell r="E285" t="str">
            <v>LG</v>
          </cell>
        </row>
        <row r="286">
          <cell r="A286" t="str">
            <v>LG18588</v>
          </cell>
          <cell r="B286" t="str">
            <v>Rita  Njeri</v>
          </cell>
          <cell r="E286" t="str">
            <v>LG</v>
          </cell>
        </row>
        <row r="287">
          <cell r="A287" t="str">
            <v>BB25128</v>
          </cell>
          <cell r="B287" t="str">
            <v xml:space="preserve">Rishit Chudasama </v>
          </cell>
          <cell r="E287" t="str">
            <v>RM</v>
          </cell>
        </row>
        <row r="288">
          <cell r="A288" t="str">
            <v>LG25606</v>
          </cell>
          <cell r="B288" t="str">
            <v xml:space="preserve">Rhoda Wekesa </v>
          </cell>
          <cell r="E288" t="str">
            <v>LG</v>
          </cell>
        </row>
        <row r="289">
          <cell r="A289" t="str">
            <v>LG21683</v>
          </cell>
          <cell r="B289" t="str">
            <v>Reuben Warui Ngugi</v>
          </cell>
          <cell r="E289" t="str">
            <v>LG</v>
          </cell>
        </row>
        <row r="290">
          <cell r="A290" t="str">
            <v>BB06577</v>
          </cell>
          <cell r="B290" t="str">
            <v>Reuben Langat</v>
          </cell>
          <cell r="E290" t="str">
            <v>UB</v>
          </cell>
        </row>
        <row r="291">
          <cell r="A291" t="str">
            <v>AB026P5</v>
          </cell>
          <cell r="B291" t="str">
            <v>Reuben Kuria Kimani</v>
          </cell>
          <cell r="E291" t="str">
            <v>LG</v>
          </cell>
        </row>
        <row r="292">
          <cell r="A292" t="str">
            <v>LG24528</v>
          </cell>
          <cell r="B292" t="str">
            <v>Rehema Wanjala</v>
          </cell>
          <cell r="E292" t="str">
            <v>LG</v>
          </cell>
        </row>
        <row r="293">
          <cell r="A293" t="str">
            <v>LG23299</v>
          </cell>
          <cell r="B293" t="str">
            <v>Rebecca Kinyagho Mwairuwa</v>
          </cell>
          <cell r="E293" t="str">
            <v>LG</v>
          </cell>
        </row>
        <row r="294">
          <cell r="A294" t="str">
            <v>AB024OX</v>
          </cell>
          <cell r="B294" t="str">
            <v>Reagan Odhiambo</v>
          </cell>
          <cell r="E294" t="str">
            <v>LG</v>
          </cell>
        </row>
        <row r="295">
          <cell r="A295" t="str">
            <v>LG24578</v>
          </cell>
          <cell r="B295" t="str">
            <v>Rawlings Okwaro Muyela</v>
          </cell>
          <cell r="E295" t="str">
            <v>LG</v>
          </cell>
        </row>
        <row r="296">
          <cell r="A296" t="str">
            <v>LG21819</v>
          </cell>
          <cell r="B296" t="str">
            <v>Rashid  Hussein</v>
          </cell>
          <cell r="E296" t="str">
            <v>LG</v>
          </cell>
        </row>
        <row r="297">
          <cell r="A297" t="str">
            <v>LG18853</v>
          </cell>
          <cell r="B297" t="str">
            <v>Raphael Ronald Nyagwencha Mose</v>
          </cell>
          <cell r="E297" t="str">
            <v>LG</v>
          </cell>
        </row>
        <row r="298">
          <cell r="A298" t="str">
            <v>LG24863</v>
          </cell>
          <cell r="B298" t="str">
            <v xml:space="preserve">Ramla Abdirashid Mohamed </v>
          </cell>
          <cell r="E298" t="str">
            <v>LG</v>
          </cell>
        </row>
        <row r="299">
          <cell r="A299" t="str">
            <v>AB026BW</v>
          </cell>
          <cell r="B299" t="str">
            <v>Rahab Kimani</v>
          </cell>
          <cell r="E299" t="str">
            <v>LG</v>
          </cell>
        </row>
        <row r="300">
          <cell r="A300" t="str">
            <v>AB0202S</v>
          </cell>
          <cell r="B300" t="str">
            <v>Rahab Gichure</v>
          </cell>
          <cell r="E300" t="str">
            <v>LG</v>
          </cell>
        </row>
        <row r="301">
          <cell r="A301" t="str">
            <v>ABRMAEU</v>
          </cell>
          <cell r="B301" t="str">
            <v>Rahab Gathoni</v>
          </cell>
          <cell r="E301" t="str">
            <v>LG</v>
          </cell>
        </row>
        <row r="302">
          <cell r="A302" t="str">
            <v>LG23305</v>
          </cell>
          <cell r="B302" t="str">
            <v>Rael  Jepchumba</v>
          </cell>
          <cell r="E302" t="str">
            <v>LG</v>
          </cell>
        </row>
        <row r="303">
          <cell r="A303" t="str">
            <v>ABRJ270</v>
          </cell>
          <cell r="B303" t="str">
            <v>Rael  Jepchumba</v>
          </cell>
          <cell r="E303" t="str">
            <v>LG</v>
          </cell>
        </row>
        <row r="304">
          <cell r="A304" t="str">
            <v>LG25087</v>
          </cell>
          <cell r="B304" t="str">
            <v xml:space="preserve">Rachel Wanjiru Nduati </v>
          </cell>
          <cell r="E304" t="str">
            <v>LG</v>
          </cell>
        </row>
        <row r="305">
          <cell r="A305" t="str">
            <v>AB020JF</v>
          </cell>
          <cell r="B305" t="str">
            <v>Rachel Seba Kibusio</v>
          </cell>
          <cell r="E305" t="str">
            <v>LG</v>
          </cell>
        </row>
        <row r="306">
          <cell r="A306" t="str">
            <v>LG15269</v>
          </cell>
          <cell r="B306" t="str">
            <v>Rachel Muthoni Mwangi</v>
          </cell>
          <cell r="E306" t="str">
            <v>LG</v>
          </cell>
        </row>
        <row r="307">
          <cell r="A307" t="str">
            <v>BB15269</v>
          </cell>
          <cell r="B307" t="str">
            <v>Rachel Muthoni Mwangi</v>
          </cell>
          <cell r="E307" t="str">
            <v>UB</v>
          </cell>
        </row>
        <row r="308">
          <cell r="A308" t="str">
            <v>LG24257</v>
          </cell>
          <cell r="B308" t="str">
            <v xml:space="preserve">Rachael Wanjiru Njeri </v>
          </cell>
          <cell r="E308" t="str">
            <v>LG</v>
          </cell>
        </row>
        <row r="309">
          <cell r="A309" t="str">
            <v>AB019QX</v>
          </cell>
          <cell r="B309" t="str">
            <v>Rachael Nduulu</v>
          </cell>
          <cell r="E309" t="str">
            <v>LG</v>
          </cell>
        </row>
        <row r="310">
          <cell r="A310" t="str">
            <v>BB04628</v>
          </cell>
          <cell r="B310" t="str">
            <v>Rachael Kibii Tarus</v>
          </cell>
          <cell r="E310" t="str">
            <v>LG</v>
          </cell>
        </row>
        <row r="311">
          <cell r="A311" t="str">
            <v>LG22373</v>
          </cell>
          <cell r="B311" t="str">
            <v>Rachael  Muthama</v>
          </cell>
          <cell r="E311" t="str">
            <v>LG</v>
          </cell>
        </row>
        <row r="312">
          <cell r="A312" t="str">
            <v>BB05613</v>
          </cell>
          <cell r="B312" t="str">
            <v>Purity Wanjiru Mwangi</v>
          </cell>
          <cell r="E312" t="str">
            <v>RM</v>
          </cell>
        </row>
        <row r="313">
          <cell r="A313" t="str">
            <v>BB13476</v>
          </cell>
          <cell r="B313" t="str">
            <v>Purity Wamuyu Kiama</v>
          </cell>
          <cell r="E313" t="str">
            <v>UB</v>
          </cell>
        </row>
        <row r="314">
          <cell r="A314" t="str">
            <v>AB017WH</v>
          </cell>
          <cell r="B314" t="str">
            <v>Purity Nkrote Muthomi</v>
          </cell>
          <cell r="E314" t="str">
            <v>LG</v>
          </cell>
        </row>
        <row r="315">
          <cell r="A315" t="str">
            <v>BB14763</v>
          </cell>
          <cell r="B315" t="str">
            <v>Purity Nkirote Muthuri</v>
          </cell>
          <cell r="E315" t="str">
            <v>UB</v>
          </cell>
        </row>
        <row r="316">
          <cell r="A316" t="str">
            <v>LG23116</v>
          </cell>
          <cell r="B316" t="str">
            <v>Purity Njoki Karani</v>
          </cell>
          <cell r="E316" t="str">
            <v>LG</v>
          </cell>
        </row>
        <row r="317">
          <cell r="A317" t="str">
            <v>AB019MI</v>
          </cell>
          <cell r="B317" t="str">
            <v>Purity Musili</v>
          </cell>
          <cell r="E317" t="str">
            <v>LG</v>
          </cell>
        </row>
        <row r="318">
          <cell r="A318" t="str">
            <v>AB017WO</v>
          </cell>
          <cell r="B318" t="str">
            <v>Prudence Mwendwa</v>
          </cell>
          <cell r="E318" t="str">
            <v>LG</v>
          </cell>
        </row>
        <row r="319">
          <cell r="A319" t="str">
            <v>AB018G7</v>
          </cell>
          <cell r="B319" t="str">
            <v>Priscilla Kimiri</v>
          </cell>
          <cell r="E319" t="str">
            <v>LG</v>
          </cell>
        </row>
        <row r="320">
          <cell r="A320" t="str">
            <v>LG20818</v>
          </cell>
          <cell r="B320" t="str">
            <v>Prisca WAIRIMU Nyokabi</v>
          </cell>
          <cell r="E320" t="str">
            <v>LG</v>
          </cell>
        </row>
        <row r="321">
          <cell r="A321" t="str">
            <v>LG20495</v>
          </cell>
          <cell r="B321" t="str">
            <v>Prisca Tamala Imbiaka</v>
          </cell>
          <cell r="E321" t="str">
            <v>LG</v>
          </cell>
        </row>
        <row r="322">
          <cell r="A322" t="str">
            <v>LG11904</v>
          </cell>
          <cell r="B322" t="str">
            <v>Praxedis Khayechia Mutsami</v>
          </cell>
          <cell r="E322" t="str">
            <v>LG</v>
          </cell>
        </row>
        <row r="323">
          <cell r="A323" t="str">
            <v>LG14476</v>
          </cell>
          <cell r="B323" t="str">
            <v>Phyllis Moraa Moseti</v>
          </cell>
          <cell r="E323" t="str">
            <v>LG</v>
          </cell>
        </row>
        <row r="324">
          <cell r="A324" t="str">
            <v>LG24595</v>
          </cell>
          <cell r="B324" t="str">
            <v>Phoebe Karimi Gitonga</v>
          </cell>
          <cell r="E324" t="str">
            <v>LG</v>
          </cell>
        </row>
        <row r="325">
          <cell r="A325" t="str">
            <v>LG12163</v>
          </cell>
          <cell r="B325" t="str">
            <v>Philip Otieno Ochieng</v>
          </cell>
          <cell r="E325" t="str">
            <v>LG</v>
          </cell>
        </row>
        <row r="326">
          <cell r="A326" t="str">
            <v>AB023JB</v>
          </cell>
          <cell r="B326" t="str">
            <v>Philip Mbokomu</v>
          </cell>
          <cell r="E326" t="str">
            <v>LG</v>
          </cell>
        </row>
        <row r="327">
          <cell r="A327" t="str">
            <v>AB020Z3</v>
          </cell>
          <cell r="B327" t="str">
            <v>Philip Koech</v>
          </cell>
          <cell r="E327" t="str">
            <v>LG</v>
          </cell>
        </row>
        <row r="328">
          <cell r="A328" t="str">
            <v>LG22322</v>
          </cell>
          <cell r="B328" t="str">
            <v>Phenny  Ouma</v>
          </cell>
          <cell r="E328" t="str">
            <v>LG</v>
          </cell>
        </row>
        <row r="329">
          <cell r="A329" t="str">
            <v>LG25046</v>
          </cell>
          <cell r="B329" t="str">
            <v xml:space="preserve">Petronila Awuor Opondo </v>
          </cell>
          <cell r="E329" t="str">
            <v>LG</v>
          </cell>
        </row>
        <row r="330">
          <cell r="A330" t="str">
            <v>LG18228</v>
          </cell>
          <cell r="B330" t="str">
            <v>Petronila Abakalwa Atila</v>
          </cell>
          <cell r="E330" t="str">
            <v>LG</v>
          </cell>
        </row>
        <row r="331">
          <cell r="A331" t="str">
            <v>MKL0547</v>
          </cell>
          <cell r="B331" t="str">
            <v>Peter, Jackson Muthoka</v>
          </cell>
          <cell r="E331" t="str">
            <v>ALAK</v>
          </cell>
        </row>
        <row r="332">
          <cell r="A332" t="str">
            <v>LG15297</v>
          </cell>
          <cell r="B332" t="str">
            <v>Peter Thuo Karemi</v>
          </cell>
          <cell r="E332" t="str">
            <v>LG</v>
          </cell>
        </row>
        <row r="333">
          <cell r="A333" t="str">
            <v>LG06696</v>
          </cell>
          <cell r="B333" t="str">
            <v xml:space="preserve">Peter Ochieng </v>
          </cell>
          <cell r="E333" t="str">
            <v>LG</v>
          </cell>
        </row>
        <row r="334">
          <cell r="A334" t="str">
            <v>ABPMAMV</v>
          </cell>
          <cell r="B334" t="str">
            <v>Peter Ngui Musee</v>
          </cell>
          <cell r="E334" t="str">
            <v>LG</v>
          </cell>
        </row>
        <row r="335">
          <cell r="A335" t="str">
            <v>LG25235</v>
          </cell>
          <cell r="B335" t="str">
            <v xml:space="preserve">Peter Mwololo Kimolo </v>
          </cell>
          <cell r="E335" t="str">
            <v>LG</v>
          </cell>
        </row>
        <row r="336">
          <cell r="A336" t="str">
            <v>LG24529</v>
          </cell>
          <cell r="B336" t="str">
            <v>Peter Mwaura Kiarie</v>
          </cell>
          <cell r="E336" t="str">
            <v>LG</v>
          </cell>
        </row>
        <row r="337">
          <cell r="A337" t="str">
            <v>AB0203S</v>
          </cell>
          <cell r="B337" t="str">
            <v>Peter Mburu Muniu</v>
          </cell>
          <cell r="E337" t="str">
            <v>UB</v>
          </cell>
        </row>
        <row r="338">
          <cell r="A338" t="str">
            <v>ABPMAMU</v>
          </cell>
          <cell r="B338" t="str">
            <v>Peter Mburu</v>
          </cell>
          <cell r="E338" t="str">
            <v>LG</v>
          </cell>
        </row>
        <row r="339">
          <cell r="A339" t="str">
            <v>LG13009</v>
          </cell>
          <cell r="B339" t="str">
            <v>Peter Maina Kariuki</v>
          </cell>
          <cell r="E339" t="str">
            <v>LG</v>
          </cell>
        </row>
        <row r="340">
          <cell r="A340" t="str">
            <v>AB019HN</v>
          </cell>
          <cell r="B340" t="str">
            <v>Peter Kwena</v>
          </cell>
          <cell r="E340" t="str">
            <v>LG</v>
          </cell>
        </row>
        <row r="341">
          <cell r="A341" t="str">
            <v>LG17700</v>
          </cell>
          <cell r="B341" t="str">
            <v>Peter Kiogora Muthuri</v>
          </cell>
          <cell r="E341" t="str">
            <v>LG</v>
          </cell>
        </row>
        <row r="342">
          <cell r="A342" t="str">
            <v>LG18499</v>
          </cell>
          <cell r="B342" t="str">
            <v>Peter Karenya Njeri</v>
          </cell>
          <cell r="E342" t="str">
            <v>LG</v>
          </cell>
        </row>
        <row r="343">
          <cell r="A343" t="str">
            <v>LG18449</v>
          </cell>
          <cell r="B343" t="str">
            <v>Peter Karenge Njeri</v>
          </cell>
          <cell r="E343" t="str">
            <v>LG</v>
          </cell>
        </row>
        <row r="344">
          <cell r="A344" t="str">
            <v>BB15502</v>
          </cell>
          <cell r="B344" t="str">
            <v>Peter Karanja Wangai</v>
          </cell>
          <cell r="E344" t="str">
            <v>UB</v>
          </cell>
        </row>
        <row r="345">
          <cell r="A345" t="str">
            <v>LG23423</v>
          </cell>
          <cell r="B345" t="str">
            <v>Peter Kago Mburu</v>
          </cell>
          <cell r="E345" t="str">
            <v>LG</v>
          </cell>
        </row>
        <row r="346">
          <cell r="A346" t="str">
            <v>BB06200</v>
          </cell>
          <cell r="B346" t="str">
            <v>Peter Endoveliah Bosse</v>
          </cell>
          <cell r="E346" t="str">
            <v>UB</v>
          </cell>
        </row>
        <row r="347">
          <cell r="A347" t="str">
            <v>AB0250W</v>
          </cell>
          <cell r="B347" t="str">
            <v>Perpetua Wambui Mwangi</v>
          </cell>
          <cell r="E347" t="str">
            <v>LG</v>
          </cell>
        </row>
        <row r="348">
          <cell r="A348" t="str">
            <v>AB025OW</v>
          </cell>
          <cell r="B348" t="str">
            <v>Perpetua Wambui Mwangi</v>
          </cell>
          <cell r="E348" t="str">
            <v>LG</v>
          </cell>
        </row>
        <row r="349">
          <cell r="A349" t="str">
            <v>LG17213</v>
          </cell>
          <cell r="B349" t="str">
            <v>Peris Waitherero Muriuki</v>
          </cell>
          <cell r="E349" t="str">
            <v>LG</v>
          </cell>
        </row>
        <row r="350">
          <cell r="A350" t="str">
            <v>LG19843</v>
          </cell>
          <cell r="B350" t="str">
            <v>Peris Wairimu Muhia</v>
          </cell>
          <cell r="E350" t="str">
            <v>LG</v>
          </cell>
        </row>
        <row r="351">
          <cell r="A351" t="str">
            <v>LG23294</v>
          </cell>
          <cell r="B351" t="str">
            <v>Peris Simbe Anusu</v>
          </cell>
          <cell r="E351" t="str">
            <v>LG</v>
          </cell>
        </row>
        <row r="352">
          <cell r="A352" t="str">
            <v>BB17213</v>
          </cell>
          <cell r="B352" t="str">
            <v>Peris Muriuki</v>
          </cell>
          <cell r="E352" t="str">
            <v>LG</v>
          </cell>
        </row>
        <row r="353">
          <cell r="A353" t="str">
            <v>AB021N4</v>
          </cell>
          <cell r="B353" t="str">
            <v>Penninah Chege</v>
          </cell>
          <cell r="E353" t="str">
            <v>LG</v>
          </cell>
        </row>
        <row r="354">
          <cell r="A354" t="str">
            <v>BB19812</v>
          </cell>
          <cell r="B354" t="str">
            <v>Penninah Auma Pamba</v>
          </cell>
          <cell r="E354" t="str">
            <v>UB</v>
          </cell>
        </row>
        <row r="355">
          <cell r="A355" t="str">
            <v>LG16802</v>
          </cell>
          <cell r="B355" t="str">
            <v xml:space="preserve">Peninah Wanjiru Kamau </v>
          </cell>
          <cell r="E355" t="str">
            <v>LG</v>
          </cell>
        </row>
        <row r="356">
          <cell r="A356" t="str">
            <v>LG24249</v>
          </cell>
          <cell r="B356" t="str">
            <v>Peninah Murimi</v>
          </cell>
          <cell r="E356" t="str">
            <v>LG</v>
          </cell>
        </row>
        <row r="357">
          <cell r="A357" t="str">
            <v>AB019QW</v>
          </cell>
          <cell r="B357" t="str">
            <v>Peninah Mbithi</v>
          </cell>
          <cell r="E357" t="str">
            <v>LG</v>
          </cell>
        </row>
        <row r="358">
          <cell r="A358" t="str">
            <v>LG24296</v>
          </cell>
          <cell r="B358" t="str">
            <v>Peninah Gathigia Murimi</v>
          </cell>
          <cell r="E358" t="str">
            <v>LG</v>
          </cell>
        </row>
        <row r="359">
          <cell r="A359" t="str">
            <v>AB020NA</v>
          </cell>
          <cell r="B359" t="str">
            <v>Pauline Wamugunda</v>
          </cell>
          <cell r="E359" t="str">
            <v>UB</v>
          </cell>
        </row>
        <row r="360">
          <cell r="A360" t="str">
            <v>AB027C0</v>
          </cell>
          <cell r="B360" t="str">
            <v>Pauline Wairimu</v>
          </cell>
          <cell r="E360" t="str">
            <v>LG</v>
          </cell>
        </row>
        <row r="361">
          <cell r="A361" t="str">
            <v>AB027CO</v>
          </cell>
          <cell r="B361" t="str">
            <v>Pauline Ngina</v>
          </cell>
          <cell r="E361" t="str">
            <v>LG</v>
          </cell>
        </row>
        <row r="362">
          <cell r="A362" t="str">
            <v>LG23297</v>
          </cell>
          <cell r="B362" t="str">
            <v>Pauline Mueni Mutua</v>
          </cell>
          <cell r="E362" t="str">
            <v>LG</v>
          </cell>
        </row>
        <row r="363">
          <cell r="A363" t="str">
            <v>BB23297</v>
          </cell>
          <cell r="B363" t="str">
            <v>Pauline Mueni Mutua</v>
          </cell>
          <cell r="E363" t="str">
            <v>LG</v>
          </cell>
        </row>
        <row r="364">
          <cell r="A364" t="str">
            <v>AB02979</v>
          </cell>
          <cell r="B364" t="str">
            <v>Pauline Maina</v>
          </cell>
          <cell r="E364" t="str">
            <v>UB</v>
          </cell>
        </row>
        <row r="365">
          <cell r="A365" t="str">
            <v>LG19907</v>
          </cell>
          <cell r="B365" t="str">
            <v>Pauline kerubo Nyabuga</v>
          </cell>
          <cell r="E365" t="str">
            <v>LG</v>
          </cell>
        </row>
        <row r="366">
          <cell r="A366" t="str">
            <v>LG20100</v>
          </cell>
          <cell r="B366" t="str">
            <v>Pauline Kanini Muvya</v>
          </cell>
          <cell r="E366" t="str">
            <v>LG</v>
          </cell>
        </row>
        <row r="367">
          <cell r="A367" t="str">
            <v>BB06527</v>
          </cell>
          <cell r="B367" t="str">
            <v>Pauline Gathoni Mburu</v>
          </cell>
          <cell r="E367" t="str">
            <v>UB</v>
          </cell>
        </row>
        <row r="368">
          <cell r="A368" t="str">
            <v>AB019IF</v>
          </cell>
          <cell r="B368" t="str">
            <v>Paul Orwa</v>
          </cell>
          <cell r="E368" t="str">
            <v>LG</v>
          </cell>
        </row>
        <row r="369">
          <cell r="A369" t="str">
            <v>AB019VW</v>
          </cell>
          <cell r="B369" t="str">
            <v>Paul Olela</v>
          </cell>
          <cell r="E369" t="str">
            <v>LG</v>
          </cell>
        </row>
        <row r="370">
          <cell r="A370" t="str">
            <v>BB9546</v>
          </cell>
          <cell r="B370" t="str">
            <v>Paul Ogutu</v>
          </cell>
          <cell r="E370" t="str">
            <v>LG</v>
          </cell>
        </row>
        <row r="371">
          <cell r="A371" t="str">
            <v>LG13001</v>
          </cell>
          <cell r="B371" t="str">
            <v>Paul Oduma Oduge</v>
          </cell>
          <cell r="E371" t="str">
            <v>LG</v>
          </cell>
        </row>
        <row r="372">
          <cell r="A372" t="str">
            <v>LG24584</v>
          </cell>
          <cell r="B372" t="str">
            <v>Paul Odhiambo Oketch</v>
          </cell>
          <cell r="E372" t="str">
            <v>LG</v>
          </cell>
        </row>
        <row r="373">
          <cell r="A373" t="str">
            <v>LG23128</v>
          </cell>
          <cell r="B373" t="str">
            <v>Paul Mbugua Thini</v>
          </cell>
          <cell r="E373" t="str">
            <v>LG</v>
          </cell>
        </row>
        <row r="374">
          <cell r="A374" t="str">
            <v>BB05849</v>
          </cell>
          <cell r="B374" t="str">
            <v>Paul Mabeya Nyamari</v>
          </cell>
          <cell r="E374" t="str">
            <v>UB</v>
          </cell>
        </row>
        <row r="375">
          <cell r="A375" t="str">
            <v xml:space="preserve">ABPK281 </v>
          </cell>
          <cell r="B375" t="str">
            <v>Paul Kithuka</v>
          </cell>
          <cell r="E375" t="str">
            <v>ALAK</v>
          </cell>
        </row>
        <row r="376">
          <cell r="A376" t="str">
            <v>LG22099</v>
          </cell>
          <cell r="B376" t="str">
            <v>Paul Kioko Kioko</v>
          </cell>
          <cell r="E376" t="str">
            <v>LG</v>
          </cell>
        </row>
        <row r="377">
          <cell r="A377" t="str">
            <v>LG12361</v>
          </cell>
          <cell r="B377" t="str">
            <v>Paul Karanja Kamuhu</v>
          </cell>
          <cell r="E377" t="str">
            <v>LG</v>
          </cell>
        </row>
        <row r="378">
          <cell r="A378" t="str">
            <v>AB019RC</v>
          </cell>
          <cell r="B378" t="str">
            <v>Paul Kamuta</v>
          </cell>
          <cell r="E378" t="str">
            <v>UB</v>
          </cell>
        </row>
        <row r="379">
          <cell r="A379" t="str">
            <v>LG24417</v>
          </cell>
          <cell r="B379" t="str">
            <v>Paul Gikonyo Kagwima</v>
          </cell>
          <cell r="E379" t="str">
            <v>LG</v>
          </cell>
        </row>
        <row r="380">
          <cell r="A380" t="str">
            <v>LG19491</v>
          </cell>
          <cell r="B380" t="str">
            <v>Paul Gichangi Gachoki</v>
          </cell>
          <cell r="E380" t="str">
            <v>LG</v>
          </cell>
        </row>
        <row r="381">
          <cell r="A381" t="str">
            <v>LG24850</v>
          </cell>
          <cell r="B381" t="str">
            <v>PAUL GACHOKI KAGIRI</v>
          </cell>
          <cell r="E381" t="str">
            <v>LG</v>
          </cell>
        </row>
        <row r="382">
          <cell r="A382" t="str">
            <v>AB027I4</v>
          </cell>
          <cell r="B382" t="str">
            <v>Paul Endeki </v>
          </cell>
          <cell r="E382" t="str">
            <v>LG</v>
          </cell>
        </row>
        <row r="383">
          <cell r="A383" t="str">
            <v>AB025PL</v>
          </cell>
          <cell r="B383" t="str">
            <v>Paul Adagi</v>
          </cell>
          <cell r="E383" t="str">
            <v>LG</v>
          </cell>
        </row>
        <row r="384">
          <cell r="A384" t="str">
            <v>LG15609</v>
          </cell>
          <cell r="B384" t="str">
            <v>Paul  Odhiambo</v>
          </cell>
          <cell r="E384" t="str">
            <v>LG</v>
          </cell>
        </row>
        <row r="385">
          <cell r="A385" t="str">
            <v>LG25058</v>
          </cell>
          <cell r="B385" t="str">
            <v xml:space="preserve">Patrick Sikuku Andera </v>
          </cell>
          <cell r="E385" t="str">
            <v>LG</v>
          </cell>
        </row>
        <row r="386">
          <cell r="A386" t="str">
            <v>LG16726</v>
          </cell>
          <cell r="B386" t="str">
            <v>Patrick Mwololo Peter</v>
          </cell>
          <cell r="E386" t="str">
            <v>LG</v>
          </cell>
        </row>
        <row r="387">
          <cell r="A387" t="str">
            <v>LG24608</v>
          </cell>
          <cell r="B387" t="str">
            <v>Patrick Mutunga Mutia</v>
          </cell>
          <cell r="E387" t="str">
            <v>LG</v>
          </cell>
        </row>
        <row r="388">
          <cell r="A388" t="str">
            <v>LG24886</v>
          </cell>
          <cell r="B388" t="str">
            <v xml:space="preserve">Patrick Musyoki David </v>
          </cell>
          <cell r="E388" t="str">
            <v>LG</v>
          </cell>
        </row>
        <row r="389">
          <cell r="A389" t="str">
            <v>AB020E0</v>
          </cell>
          <cell r="B389" t="str">
            <v>Patrick Malombe</v>
          </cell>
          <cell r="E389" t="str">
            <v>LG</v>
          </cell>
        </row>
        <row r="390">
          <cell r="A390" t="str">
            <v>AB019NY</v>
          </cell>
          <cell r="B390" t="str">
            <v>Patrick Githire Wanja</v>
          </cell>
          <cell r="E390" t="str">
            <v>LG</v>
          </cell>
        </row>
        <row r="391">
          <cell r="A391" t="str">
            <v>BB07673</v>
          </cell>
          <cell r="B391" t="str">
            <v>Patrick Gathecha Karanja</v>
          </cell>
          <cell r="E391" t="str">
            <v>UB</v>
          </cell>
        </row>
        <row r="392">
          <cell r="A392" t="str">
            <v>HISA0009</v>
          </cell>
          <cell r="B392" t="str">
            <v>PATRICIA MWANZIA</v>
          </cell>
          <cell r="E392" t="str">
            <v>ALAK</v>
          </cell>
        </row>
        <row r="393">
          <cell r="A393" t="str">
            <v>AB019IE</v>
          </cell>
          <cell r="B393" t="str">
            <v>Patricia Mongina Manyinsa</v>
          </cell>
          <cell r="E393" t="str">
            <v>LG</v>
          </cell>
        </row>
        <row r="394">
          <cell r="A394" t="str">
            <v>BM03589</v>
          </cell>
          <cell r="B394" t="str">
            <v>Patricia Mburu</v>
          </cell>
          <cell r="E394" t="str">
            <v>LG</v>
          </cell>
        </row>
        <row r="395">
          <cell r="A395" t="str">
            <v>AB019IE</v>
          </cell>
          <cell r="B395" t="str">
            <v>Patricia Manyinsa</v>
          </cell>
          <cell r="E395" t="str">
            <v>LG</v>
          </cell>
        </row>
        <row r="396">
          <cell r="A396" t="str">
            <v>BB07121</v>
          </cell>
          <cell r="B396" t="str">
            <v>Pamela Akoth Otumba</v>
          </cell>
          <cell r="E396" t="str">
            <v>UB</v>
          </cell>
        </row>
        <row r="397">
          <cell r="A397" t="str">
            <v>LG23426</v>
          </cell>
          <cell r="B397" t="str">
            <v>Owuor Domnic Ojing</v>
          </cell>
          <cell r="E397" t="str">
            <v>LG</v>
          </cell>
        </row>
        <row r="398">
          <cell r="A398" t="str">
            <v>LG25030</v>
          </cell>
          <cell r="B398" t="str">
            <v xml:space="preserve">Otieno Odhiambo Julius </v>
          </cell>
          <cell r="E398" t="str">
            <v>LG</v>
          </cell>
        </row>
        <row r="399">
          <cell r="A399" t="str">
            <v>LG25096</v>
          </cell>
          <cell r="B399" t="str">
            <v>Otieno David Owuor</v>
          </cell>
          <cell r="E399" t="str">
            <v>LG</v>
          </cell>
        </row>
        <row r="400">
          <cell r="A400" t="str">
            <v>AB023B9</v>
          </cell>
          <cell r="B400" t="str">
            <v>Oscar Owino</v>
          </cell>
          <cell r="E400" t="str">
            <v>LG</v>
          </cell>
        </row>
        <row r="401">
          <cell r="A401" t="str">
            <v>LG24324</v>
          </cell>
          <cell r="B401" t="str">
            <v>Osborn Mwendwa Maleka</v>
          </cell>
          <cell r="E401" t="str">
            <v>LG</v>
          </cell>
        </row>
        <row r="402">
          <cell r="A402" t="str">
            <v>LG15773</v>
          </cell>
          <cell r="B402" t="str">
            <v>Osborn Moindi Nyaribo</v>
          </cell>
          <cell r="E402" t="str">
            <v>LG</v>
          </cell>
        </row>
        <row r="403">
          <cell r="A403" t="str">
            <v>BB18454</v>
          </cell>
          <cell r="B403" t="str">
            <v>Ooko John Evance</v>
          </cell>
          <cell r="E403" t="str">
            <v>LG</v>
          </cell>
        </row>
        <row r="404">
          <cell r="A404" t="str">
            <v>LG24340</v>
          </cell>
          <cell r="B404" t="str">
            <v xml:space="preserve">Onyango Geoffrey </v>
          </cell>
          <cell r="E404" t="str">
            <v>LG</v>
          </cell>
        </row>
        <row r="405">
          <cell r="A405" t="str">
            <v>AB011FS</v>
          </cell>
          <cell r="B405" t="str">
            <v>Hillary Owiti</v>
          </cell>
          <cell r="E405" t="str">
            <v>ALAK</v>
          </cell>
        </row>
        <row r="406">
          <cell r="A406" t="str">
            <v>LG19347</v>
          </cell>
          <cell r="B406" t="str">
            <v>Omariba Nyariba Caleb</v>
          </cell>
          <cell r="E406" t="str">
            <v>LG</v>
          </cell>
        </row>
        <row r="407">
          <cell r="A407" t="str">
            <v>BB09438</v>
          </cell>
          <cell r="B407" t="str">
            <v>Omar Katambo</v>
          </cell>
          <cell r="E407" t="str">
            <v>LG</v>
          </cell>
        </row>
        <row r="408">
          <cell r="A408" t="str">
            <v>ABM02N6</v>
          </cell>
          <cell r="B408" t="str">
            <v>Omalla Molly</v>
          </cell>
          <cell r="E408" t="str">
            <v>LG</v>
          </cell>
        </row>
        <row r="409">
          <cell r="A409" t="str">
            <v>LG22858</v>
          </cell>
          <cell r="B409" t="str">
            <v>Oliver Kipruto Kimitei</v>
          </cell>
          <cell r="E409" t="str">
            <v>LG</v>
          </cell>
        </row>
        <row r="410">
          <cell r="A410" t="str">
            <v>LG21629</v>
          </cell>
          <cell r="B410" t="str">
            <v>Ogweno Samuel Odhiambo</v>
          </cell>
          <cell r="E410" t="str">
            <v>LG</v>
          </cell>
        </row>
        <row r="411">
          <cell r="A411" t="str">
            <v>AB011H9</v>
          </cell>
          <cell r="B411" t="str">
            <v>Ogada Victor Odhiambo</v>
          </cell>
          <cell r="E411" t="str">
            <v>LG</v>
          </cell>
        </row>
        <row r="412">
          <cell r="A412" t="str">
            <v>AB01911</v>
          </cell>
          <cell r="B412" t="str">
            <v>Odhiambo Daisy Odhiambo</v>
          </cell>
          <cell r="E412" t="str">
            <v>LG</v>
          </cell>
        </row>
        <row r="413">
          <cell r="A413" t="str">
            <v>AB019PC</v>
          </cell>
          <cell r="B413" t="str">
            <v>Norah Terah</v>
          </cell>
          <cell r="E413" t="str">
            <v>LG</v>
          </cell>
        </row>
        <row r="414">
          <cell r="A414" t="str">
            <v>LG25062</v>
          </cell>
          <cell r="B414" t="str">
            <v xml:space="preserve">Noline Akinyi Nyakure </v>
          </cell>
          <cell r="E414" t="str">
            <v>LG</v>
          </cell>
        </row>
        <row r="415">
          <cell r="A415" t="str">
            <v>ABNC339</v>
          </cell>
          <cell r="B415" t="str">
            <v>Noella Cheboi</v>
          </cell>
          <cell r="E415" t="str">
            <v>LG</v>
          </cell>
        </row>
        <row r="416">
          <cell r="A416" t="str">
            <v>AB022TH</v>
          </cell>
          <cell r="B416" t="str">
            <v>Nobert Wandera</v>
          </cell>
          <cell r="E416" t="str">
            <v>LG</v>
          </cell>
        </row>
        <row r="417">
          <cell r="A417" t="str">
            <v>MKL0485</v>
          </cell>
          <cell r="B417" t="str">
            <v>Njeru, Fredrick Mwangi</v>
          </cell>
          <cell r="E417" t="str">
            <v>ALAK</v>
          </cell>
        </row>
        <row r="418">
          <cell r="A418" t="str">
            <v>ABNR362</v>
          </cell>
          <cell r="B418" t="str">
            <v>Nina Kifani</v>
          </cell>
          <cell r="E418" t="str">
            <v>ALAK</v>
          </cell>
        </row>
        <row r="419">
          <cell r="A419" t="str">
            <v>LG19784</v>
          </cell>
          <cell r="B419" t="str">
            <v>Nictor Efeza Kabwoya</v>
          </cell>
          <cell r="E419" t="str">
            <v>LG</v>
          </cell>
        </row>
        <row r="420">
          <cell r="A420" t="str">
            <v>AB018GH</v>
          </cell>
          <cell r="B420" t="str">
            <v>Nicodemus Soma</v>
          </cell>
          <cell r="E420" t="str">
            <v>LG</v>
          </cell>
        </row>
        <row r="421">
          <cell r="A421" t="str">
            <v>AB019HC</v>
          </cell>
          <cell r="B421" t="str">
            <v>Nick Osumba</v>
          </cell>
          <cell r="E421" t="str">
            <v>LG</v>
          </cell>
        </row>
        <row r="422">
          <cell r="A422" t="str">
            <v>G04514399</v>
          </cell>
          <cell r="B422" t="str">
            <v>Nicholas Wangari Karanja</v>
          </cell>
          <cell r="E422" t="str">
            <v>LG</v>
          </cell>
        </row>
        <row r="423">
          <cell r="A423" t="str">
            <v>AB03108</v>
          </cell>
          <cell r="B423" t="str">
            <v>Nicholas Wangari</v>
          </cell>
          <cell r="E423" t="str">
            <v>ALAK</v>
          </cell>
        </row>
        <row r="424">
          <cell r="A424" t="str">
            <v>LG21591</v>
          </cell>
          <cell r="B424" t="str">
            <v>Nicholas Tinga Joseph</v>
          </cell>
          <cell r="E424" t="str">
            <v>LG</v>
          </cell>
        </row>
        <row r="425">
          <cell r="A425" t="str">
            <v>LG24527</v>
          </cell>
          <cell r="B425" t="str">
            <v>Nicholas Okonyo</v>
          </cell>
          <cell r="E425" t="str">
            <v>LG</v>
          </cell>
        </row>
        <row r="426">
          <cell r="A426" t="str">
            <v>LG10762</v>
          </cell>
          <cell r="B426" t="str">
            <v>Nicholas Mutua Musau</v>
          </cell>
          <cell r="E426" t="str">
            <v>LG</v>
          </cell>
        </row>
        <row r="427">
          <cell r="A427" t="str">
            <v>AB019GI</v>
          </cell>
          <cell r="B427" t="str">
            <v>Nicholas Muema</v>
          </cell>
          <cell r="E427" t="str">
            <v>LG</v>
          </cell>
        </row>
        <row r="428">
          <cell r="A428" t="str">
            <v>LG06290</v>
          </cell>
          <cell r="B428" t="str">
            <v>Nicholas John Senge Nicholas</v>
          </cell>
          <cell r="E428" t="str">
            <v>LG</v>
          </cell>
        </row>
        <row r="429">
          <cell r="A429" t="str">
            <v>LG24312</v>
          </cell>
          <cell r="B429" t="str">
            <v>Ngetich Laineki Brian</v>
          </cell>
          <cell r="E429" t="str">
            <v>LG</v>
          </cell>
        </row>
        <row r="430">
          <cell r="A430" t="str">
            <v>LG24596</v>
          </cell>
          <cell r="B430" t="str">
            <v>Nelson Amoni Onyach</v>
          </cell>
          <cell r="E430" t="str">
            <v>LG</v>
          </cell>
        </row>
        <row r="431">
          <cell r="A431" t="str">
            <v>AB019KA</v>
          </cell>
          <cell r="B431" t="str">
            <v>Nelly Machiuka</v>
          </cell>
          <cell r="E431" t="str">
            <v>LG</v>
          </cell>
        </row>
        <row r="432">
          <cell r="A432" t="str">
            <v>LG21607</v>
          </cell>
          <cell r="B432" t="str">
            <v>Neema Atieno Opere</v>
          </cell>
          <cell r="E432" t="str">
            <v>LG</v>
          </cell>
        </row>
        <row r="433">
          <cell r="A433" t="str">
            <v>AB0296U</v>
          </cell>
          <cell r="B433" t="str">
            <v>Ndomi Momanyi</v>
          </cell>
          <cell r="E433" t="str">
            <v>LG</v>
          </cell>
        </row>
        <row r="434">
          <cell r="A434" t="str">
            <v>MKL0305</v>
          </cell>
          <cell r="B434" t="str">
            <v>Nderitu, Grace Njeri</v>
          </cell>
          <cell r="E434" t="str">
            <v>ALAK</v>
          </cell>
        </row>
        <row r="435">
          <cell r="A435" t="str">
            <v>9300</v>
          </cell>
          <cell r="B435" t="str">
            <v>Naomi Wangui Nganga</v>
          </cell>
          <cell r="E435" t="str">
            <v>ALAK</v>
          </cell>
        </row>
        <row r="436">
          <cell r="A436" t="str">
            <v>LG20229</v>
          </cell>
          <cell r="B436" t="str">
            <v>Naomi Muthoni Mwangi</v>
          </cell>
          <cell r="E436" t="str">
            <v>LG</v>
          </cell>
        </row>
        <row r="437">
          <cell r="A437" t="str">
            <v>LG24914</v>
          </cell>
          <cell r="B437" t="str">
            <v xml:space="preserve">Naomi Mutheu Nguli </v>
          </cell>
          <cell r="E437" t="str">
            <v>LG</v>
          </cell>
        </row>
        <row r="438">
          <cell r="A438" t="str">
            <v>AB020B6</v>
          </cell>
          <cell r="B438" t="str">
            <v>Nanyanga Auma</v>
          </cell>
          <cell r="E438" t="str">
            <v>LG</v>
          </cell>
        </row>
        <row r="439">
          <cell r="A439" t="str">
            <v>AB018ET</v>
          </cell>
          <cell r="B439" t="str">
            <v>Nancy Wangui Wanjiru</v>
          </cell>
          <cell r="E439" t="str">
            <v>LG</v>
          </cell>
        </row>
        <row r="440">
          <cell r="A440" t="str">
            <v>BB12353</v>
          </cell>
          <cell r="B440" t="str">
            <v xml:space="preserve">Nancy Wambui </v>
          </cell>
          <cell r="E440" t="str">
            <v>LG</v>
          </cell>
        </row>
        <row r="441">
          <cell r="A441" t="str">
            <v>LG18861</v>
          </cell>
          <cell r="B441" t="str">
            <v>Nancy Waithera Mugwe</v>
          </cell>
          <cell r="E441" t="str">
            <v>LG</v>
          </cell>
        </row>
        <row r="442">
          <cell r="A442" t="str">
            <v>AB011JS</v>
          </cell>
          <cell r="B442" t="str">
            <v>Nancy Muteru</v>
          </cell>
          <cell r="E442" t="str">
            <v>LG</v>
          </cell>
        </row>
        <row r="443">
          <cell r="A443" t="str">
            <v>BB18861</v>
          </cell>
          <cell r="B443" t="str">
            <v>Nancy Mugwe</v>
          </cell>
          <cell r="E443" t="str">
            <v>LG</v>
          </cell>
        </row>
        <row r="444">
          <cell r="A444" t="str">
            <v>LG19116</v>
          </cell>
          <cell r="B444" t="str">
            <v>Nancy Lizzy Omusula</v>
          </cell>
          <cell r="E444" t="str">
            <v>LG</v>
          </cell>
        </row>
        <row r="445">
          <cell r="A445" t="str">
            <v>LG12997</v>
          </cell>
          <cell r="B445" t="str">
            <v>Nancy Koki Mulobi</v>
          </cell>
          <cell r="E445" t="str">
            <v>LG</v>
          </cell>
        </row>
        <row r="446">
          <cell r="A446" t="str">
            <v>BB14510</v>
          </cell>
          <cell r="B446" t="str">
            <v xml:space="preserve">Nancy Kaburu </v>
          </cell>
          <cell r="E446" t="str">
            <v>UB</v>
          </cell>
        </row>
        <row r="447">
          <cell r="A447" t="str">
            <v>LG24419</v>
          </cell>
          <cell r="B447" t="str">
            <v>Nancy Jepchumba Kibiwott</v>
          </cell>
          <cell r="E447" t="str">
            <v>LG</v>
          </cell>
        </row>
        <row r="448">
          <cell r="A448" t="str">
            <v>LG15537</v>
          </cell>
          <cell r="B448" t="str">
            <v>Nancy Chepkoech Ronoh</v>
          </cell>
          <cell r="E448" t="str">
            <v>LG</v>
          </cell>
        </row>
        <row r="449">
          <cell r="A449" t="str">
            <v>AB011FX</v>
          </cell>
          <cell r="B449" t="str">
            <v>Nancy Chari Mwanyawa</v>
          </cell>
          <cell r="E449" t="str">
            <v>LG</v>
          </cell>
        </row>
        <row r="450">
          <cell r="A450" t="str">
            <v>LG20331</v>
          </cell>
          <cell r="B450" t="str">
            <v>Nancy  Njeru</v>
          </cell>
          <cell r="E450" t="str">
            <v>LG</v>
          </cell>
        </row>
        <row r="451">
          <cell r="A451" t="str">
            <v>LG23321</v>
          </cell>
          <cell r="B451" t="str">
            <v>Nancy  Jelangat</v>
          </cell>
          <cell r="E451" t="str">
            <v>LG</v>
          </cell>
        </row>
        <row r="452">
          <cell r="A452" t="str">
            <v>BB06684</v>
          </cell>
          <cell r="B452" t="str">
            <v>Naftal Kasenge</v>
          </cell>
          <cell r="E452" t="str">
            <v>LG</v>
          </cell>
        </row>
        <row r="453">
          <cell r="A453" t="str">
            <v>AB0171S</v>
          </cell>
          <cell r="B453" t="str">
            <v>Mwende Musyimi</v>
          </cell>
          <cell r="E453" t="str">
            <v>LG</v>
          </cell>
        </row>
        <row r="454">
          <cell r="A454" t="str">
            <v>AB011JL</v>
          </cell>
          <cell r="B454" t="str">
            <v>Mwangi Nancy Wanjira</v>
          </cell>
          <cell r="E454" t="str">
            <v>LG</v>
          </cell>
        </row>
        <row r="455">
          <cell r="A455" t="str">
            <v>MKL0193</v>
          </cell>
          <cell r="B455" t="str">
            <v>Mwande, Mweke Vincent</v>
          </cell>
          <cell r="E455" t="str">
            <v>ALAK</v>
          </cell>
        </row>
        <row r="456">
          <cell r="A456" t="str">
            <v>LG15171</v>
          </cell>
          <cell r="B456" t="str">
            <v>Mwanaisha Said Changoma</v>
          </cell>
          <cell r="E456" t="str">
            <v>LG</v>
          </cell>
        </row>
        <row r="457">
          <cell r="A457" t="str">
            <v>LG15774</v>
          </cell>
          <cell r="B457" t="str">
            <v>Mwanaisha Jepchumba Bakari</v>
          </cell>
          <cell r="E457" t="str">
            <v>LG</v>
          </cell>
        </row>
        <row r="458">
          <cell r="A458" t="str">
            <v>BB15171</v>
          </cell>
          <cell r="B458" t="str">
            <v>Mwanaisha Changoma</v>
          </cell>
          <cell r="E458" t="str">
            <v>UB</v>
          </cell>
        </row>
        <row r="459">
          <cell r="A459" t="str">
            <v>AB029TE</v>
          </cell>
          <cell r="B459" t="str">
            <v>Mwanaidi Mwandugu</v>
          </cell>
          <cell r="E459" t="str">
            <v>LG</v>
          </cell>
        </row>
        <row r="460">
          <cell r="A460" t="str">
            <v>BB17202</v>
          </cell>
          <cell r="B460" t="str">
            <v>Mutwiwa Mutunga Harrison</v>
          </cell>
          <cell r="E460" t="str">
            <v>UB</v>
          </cell>
        </row>
        <row r="461">
          <cell r="A461" t="str">
            <v>MKL0635</v>
          </cell>
          <cell r="B461" t="str">
            <v>Mutuku, Emmanuel Kisela</v>
          </cell>
          <cell r="E461" t="str">
            <v>ALAK</v>
          </cell>
        </row>
        <row r="462">
          <cell r="A462" t="str">
            <v>AB0173A</v>
          </cell>
          <cell r="B462" t="str">
            <v>Mutai Ngeno</v>
          </cell>
          <cell r="E462" t="str">
            <v>LG</v>
          </cell>
        </row>
        <row r="463">
          <cell r="A463" t="str">
            <v>AB019VL</v>
          </cell>
          <cell r="B463" t="str">
            <v>Musyoki Kithuka</v>
          </cell>
          <cell r="E463" t="str">
            <v>LG</v>
          </cell>
        </row>
        <row r="464">
          <cell r="A464" t="str">
            <v>LG17619</v>
          </cell>
          <cell r="B464" t="str">
            <v>Musa  Areman</v>
          </cell>
          <cell r="E464" t="str">
            <v>LG</v>
          </cell>
        </row>
        <row r="465">
          <cell r="A465" t="str">
            <v>LG19888</v>
          </cell>
          <cell r="B465" t="str">
            <v>Murithi Karugi Mutegi</v>
          </cell>
          <cell r="E465" t="str">
            <v>LG</v>
          </cell>
        </row>
        <row r="466">
          <cell r="A466" t="str">
            <v>AB011K6</v>
          </cell>
          <cell r="B466" t="str">
            <v xml:space="preserve">Munga Pauline </v>
          </cell>
          <cell r="E466" t="str">
            <v>LG</v>
          </cell>
        </row>
        <row r="467">
          <cell r="A467" t="str">
            <v>LG19684</v>
          </cell>
          <cell r="B467" t="str">
            <v>Mundati Winnie</v>
          </cell>
          <cell r="E467" t="str">
            <v>LG</v>
          </cell>
        </row>
        <row r="468">
          <cell r="A468" t="str">
            <v>BB19051</v>
          </cell>
          <cell r="B468" t="str">
            <v>Mukami Njuguna</v>
          </cell>
          <cell r="E468" t="str">
            <v>LG</v>
          </cell>
        </row>
        <row r="469">
          <cell r="A469" t="str">
            <v>LG19051</v>
          </cell>
          <cell r="B469" t="str">
            <v>Mukami Lucy Njuguna</v>
          </cell>
          <cell r="E469" t="str">
            <v>LG</v>
          </cell>
        </row>
        <row r="470">
          <cell r="A470" t="str">
            <v>LG24241</v>
          </cell>
          <cell r="B470" t="str">
            <v>Mourice Paul Adhiambo Raryaeh</v>
          </cell>
          <cell r="E470" t="str">
            <v>LG</v>
          </cell>
        </row>
        <row r="471">
          <cell r="A471" t="str">
            <v>LG24314</v>
          </cell>
          <cell r="B471" t="str">
            <v>Moureen Ogola</v>
          </cell>
          <cell r="E471" t="str">
            <v>LG</v>
          </cell>
        </row>
        <row r="472">
          <cell r="A472" t="str">
            <v>LG23282</v>
          </cell>
          <cell r="B472" t="str">
            <v>Moses Njoroge Ndungu</v>
          </cell>
          <cell r="E472" t="str">
            <v>LG</v>
          </cell>
        </row>
        <row r="473">
          <cell r="A473" t="str">
            <v>LG21099</v>
          </cell>
          <cell r="B473" t="str">
            <v>Moses MUREITHI Wachira</v>
          </cell>
          <cell r="E473" t="str">
            <v>LG</v>
          </cell>
        </row>
        <row r="474">
          <cell r="A474" t="str">
            <v>AB019R2</v>
          </cell>
          <cell r="B474" t="str">
            <v>Moses Kipkurui</v>
          </cell>
          <cell r="E474" t="str">
            <v>LG</v>
          </cell>
        </row>
        <row r="475">
          <cell r="A475" t="str">
            <v>BB11955</v>
          </cell>
          <cell r="B475" t="str">
            <v>Moses Chepchieng</v>
          </cell>
          <cell r="E475" t="str">
            <v>LG</v>
          </cell>
        </row>
        <row r="476">
          <cell r="A476" t="str">
            <v>AB025PG</v>
          </cell>
          <cell r="B476" t="str">
            <v>Moses Ambwaya Odemba</v>
          </cell>
          <cell r="E476" t="str">
            <v>LG</v>
          </cell>
        </row>
        <row r="477">
          <cell r="A477" t="str">
            <v>BB21244</v>
          </cell>
          <cell r="B477" t="str">
            <v>Moses  Mwaura</v>
          </cell>
          <cell r="E477" t="str">
            <v>UB</v>
          </cell>
        </row>
        <row r="478">
          <cell r="A478" t="str">
            <v>LG7630</v>
          </cell>
          <cell r="B478" t="str">
            <v>Morris Mutwiri</v>
          </cell>
          <cell r="E478" t="str">
            <v>LG</v>
          </cell>
        </row>
        <row r="479">
          <cell r="A479" t="str">
            <v>AB016KU</v>
          </cell>
          <cell r="B479" t="str">
            <v>Monicah Mwangi</v>
          </cell>
          <cell r="E479" t="str">
            <v>LG</v>
          </cell>
        </row>
        <row r="480">
          <cell r="A480" t="str">
            <v>BB09640</v>
          </cell>
          <cell r="B480" t="str">
            <v>Monica Wairimu Kariuki</v>
          </cell>
          <cell r="E480" t="str">
            <v>RM</v>
          </cell>
        </row>
        <row r="481">
          <cell r="A481" t="str">
            <v>BB21016</v>
          </cell>
          <cell r="B481" t="str">
            <v>Monica Maiyo</v>
          </cell>
          <cell r="E481" t="str">
            <v>UB</v>
          </cell>
        </row>
        <row r="482">
          <cell r="A482" t="str">
            <v>AB026VA</v>
          </cell>
          <cell r="B482" t="str">
            <v>Molly Wakio Njogu</v>
          </cell>
          <cell r="E482" t="str">
            <v>LG</v>
          </cell>
        </row>
        <row r="483">
          <cell r="A483" t="str">
            <v>ABMO276</v>
          </cell>
          <cell r="B483" t="str">
            <v>Molly Omala</v>
          </cell>
          <cell r="E483" t="str">
            <v>LG</v>
          </cell>
        </row>
        <row r="484">
          <cell r="A484" t="str">
            <v>BB16968</v>
          </cell>
          <cell r="B484" t="str">
            <v>Mohamed Ibrahim Maalimu</v>
          </cell>
          <cell r="E484" t="str">
            <v>UB</v>
          </cell>
        </row>
        <row r="485">
          <cell r="A485" t="str">
            <v>LG24891</v>
          </cell>
          <cell r="B485" t="str">
            <v xml:space="preserve">Mohamed Ahmed Abdullahi </v>
          </cell>
          <cell r="E485" t="str">
            <v>LG</v>
          </cell>
        </row>
        <row r="486">
          <cell r="A486" t="str">
            <v>BB18046</v>
          </cell>
          <cell r="B486" t="str">
            <v>Moffat Mabula Nzingu</v>
          </cell>
          <cell r="E486" t="str">
            <v>UB</v>
          </cell>
        </row>
        <row r="487">
          <cell r="A487" t="str">
            <v>LG25093</v>
          </cell>
          <cell r="B487" t="str">
            <v>Moenga Henry Gwaro</v>
          </cell>
          <cell r="E487" t="str">
            <v>LG</v>
          </cell>
        </row>
        <row r="488">
          <cell r="A488" t="str">
            <v>AB011JK</v>
          </cell>
          <cell r="B488" t="str">
            <v>Mobegi Job</v>
          </cell>
          <cell r="E488" t="str">
            <v>LG</v>
          </cell>
        </row>
        <row r="489">
          <cell r="A489" t="str">
            <v>AB011NI</v>
          </cell>
          <cell r="B489" t="str">
            <v>Mithika Mercy Kawira</v>
          </cell>
          <cell r="E489" t="str">
            <v>LG</v>
          </cell>
        </row>
        <row r="490">
          <cell r="A490" t="str">
            <v>AB019W4</v>
          </cell>
          <cell r="B490" t="str">
            <v>Mitchell Kae</v>
          </cell>
          <cell r="E490" t="str">
            <v>LG</v>
          </cell>
        </row>
        <row r="491">
          <cell r="A491" t="str">
            <v>BB14969</v>
          </cell>
          <cell r="B491" t="str">
            <v>Mirriam Ndindi Mutuku</v>
          </cell>
          <cell r="E491" t="str">
            <v>UB</v>
          </cell>
        </row>
        <row r="492">
          <cell r="A492" t="str">
            <v>BB09542</v>
          </cell>
          <cell r="B492" t="str">
            <v>Miriam Wanjiru Sironik</v>
          </cell>
          <cell r="E492" t="str">
            <v>RM</v>
          </cell>
        </row>
        <row r="493">
          <cell r="A493" t="str">
            <v>LG18635</v>
          </cell>
          <cell r="B493" t="str">
            <v xml:space="preserve">Miriam Ngugi </v>
          </cell>
          <cell r="E493" t="str">
            <v>LG</v>
          </cell>
        </row>
        <row r="494">
          <cell r="A494" t="str">
            <v>LG25171</v>
          </cell>
          <cell r="B494" t="str">
            <v>Miriam Nasimiyu</v>
          </cell>
          <cell r="E494" t="str">
            <v>LG</v>
          </cell>
        </row>
        <row r="495">
          <cell r="A495" t="str">
            <v>AB0271Y</v>
          </cell>
          <cell r="B495" t="str">
            <v>Miriam Muthina Mutisya</v>
          </cell>
          <cell r="E495" t="str">
            <v>LG</v>
          </cell>
        </row>
        <row r="496">
          <cell r="A496" t="str">
            <v>LG19089</v>
          </cell>
          <cell r="B496" t="str">
            <v>Miriam Mueni Mutungi</v>
          </cell>
          <cell r="E496" t="str">
            <v>LG</v>
          </cell>
        </row>
        <row r="497">
          <cell r="A497" t="str">
            <v>LG23376</v>
          </cell>
          <cell r="B497" t="str">
            <v>Miriam Moraa Orina</v>
          </cell>
          <cell r="E497" t="str">
            <v>LG</v>
          </cell>
        </row>
        <row r="498">
          <cell r="A498" t="str">
            <v>LG25240</v>
          </cell>
          <cell r="B498" t="str">
            <v>Millicent Nyambutu Karua</v>
          </cell>
          <cell r="E498" t="str">
            <v>LG</v>
          </cell>
        </row>
        <row r="499">
          <cell r="A499" t="str">
            <v>BB3787</v>
          </cell>
          <cell r="B499" t="str">
            <v xml:space="preserve">Millicent Chege </v>
          </cell>
          <cell r="E499" t="str">
            <v>UB</v>
          </cell>
        </row>
        <row r="500">
          <cell r="A500" t="str">
            <v>LG21090</v>
          </cell>
          <cell r="B500" t="str">
            <v>Millicent ANYANGO Ogwayo</v>
          </cell>
          <cell r="E500" t="str">
            <v>LG</v>
          </cell>
        </row>
        <row r="501">
          <cell r="A501" t="str">
            <v>LG18649</v>
          </cell>
          <cell r="B501" t="str">
            <v>Millicent Achieng Okeyo</v>
          </cell>
          <cell r="E501" t="str">
            <v>LG</v>
          </cell>
        </row>
        <row r="502">
          <cell r="A502" t="str">
            <v>BB18176</v>
          </cell>
          <cell r="B502" t="str">
            <v xml:space="preserve">Mildred Otieno </v>
          </cell>
          <cell r="E502" t="str">
            <v>LG</v>
          </cell>
        </row>
        <row r="503">
          <cell r="A503" t="str">
            <v>LG18176</v>
          </cell>
          <cell r="B503" t="str">
            <v>Mildred Leah Otieno</v>
          </cell>
          <cell r="E503" t="str">
            <v>LG</v>
          </cell>
        </row>
        <row r="504">
          <cell r="A504" t="str">
            <v>BB06461</v>
          </cell>
          <cell r="B504" t="str">
            <v>Mildred Bitengo Omwebu</v>
          </cell>
          <cell r="E504" t="str">
            <v>UB</v>
          </cell>
        </row>
        <row r="505">
          <cell r="A505" t="str">
            <v>LG18298</v>
          </cell>
          <cell r="B505" t="str">
            <v>Milcah Wairimu Kimotho</v>
          </cell>
          <cell r="E505" t="str">
            <v>LG</v>
          </cell>
        </row>
        <row r="506">
          <cell r="A506" t="str">
            <v>LG25055</v>
          </cell>
          <cell r="B506" t="str">
            <v xml:space="preserve">Milcah Nyambura Kimani </v>
          </cell>
          <cell r="E506" t="str">
            <v>LG</v>
          </cell>
        </row>
        <row r="507">
          <cell r="A507" t="str">
            <v>LG23328</v>
          </cell>
          <cell r="B507" t="str">
            <v>Milcah Mueni Ngolo</v>
          </cell>
          <cell r="E507" t="str">
            <v>LG</v>
          </cell>
        </row>
        <row r="508">
          <cell r="A508" t="str">
            <v>AB024L8</v>
          </cell>
          <cell r="B508" t="str">
            <v>Michael Nyonje</v>
          </cell>
          <cell r="E508" t="str">
            <v>LG</v>
          </cell>
        </row>
        <row r="509">
          <cell r="A509" t="str">
            <v>BB09242</v>
          </cell>
          <cell r="B509" t="str">
            <v>Michael Ndonj</v>
          </cell>
          <cell r="E509" t="str">
            <v>UB</v>
          </cell>
        </row>
        <row r="510">
          <cell r="A510" t="str">
            <v>AB0289A</v>
          </cell>
          <cell r="B510" t="str">
            <v>Michael Mureithi</v>
          </cell>
          <cell r="E510" t="str">
            <v>LG</v>
          </cell>
        </row>
        <row r="511">
          <cell r="A511" t="str">
            <v>LG24399</v>
          </cell>
          <cell r="B511" t="str">
            <v>Michael Mulinge Nzyoki</v>
          </cell>
          <cell r="E511" t="str">
            <v>LG</v>
          </cell>
        </row>
        <row r="512">
          <cell r="A512" t="str">
            <v>BB17066</v>
          </cell>
          <cell r="B512" t="str">
            <v>Michael Makau Mutua</v>
          </cell>
          <cell r="E512" t="str">
            <v>UB</v>
          </cell>
        </row>
        <row r="513">
          <cell r="A513" t="str">
            <v>LG20320</v>
          </cell>
          <cell r="B513" t="str">
            <v>Michael Kariuki Kuria</v>
          </cell>
          <cell r="E513" t="str">
            <v>LG</v>
          </cell>
        </row>
        <row r="514">
          <cell r="A514" t="str">
            <v>ABMKA2A</v>
          </cell>
          <cell r="B514" t="str">
            <v>Michael Kamulu</v>
          </cell>
          <cell r="E514" t="str">
            <v>LG</v>
          </cell>
        </row>
        <row r="515">
          <cell r="A515" t="str">
            <v>BB11787</v>
          </cell>
          <cell r="B515" t="str">
            <v>Mguya Kevin</v>
          </cell>
          <cell r="E515" t="str">
            <v>UB</v>
          </cell>
        </row>
        <row r="516">
          <cell r="A516" t="str">
            <v>LG15794</v>
          </cell>
          <cell r="B516" t="str">
            <v>Meshack Otieno Ogenga</v>
          </cell>
          <cell r="E516" t="str">
            <v>LG</v>
          </cell>
        </row>
        <row r="517">
          <cell r="A517" t="str">
            <v>AB0210I</v>
          </cell>
          <cell r="B517" t="str">
            <v>Meshack Keliaro</v>
          </cell>
          <cell r="E517" t="str">
            <v>LG</v>
          </cell>
        </row>
        <row r="518">
          <cell r="A518" t="str">
            <v>AB018DR</v>
          </cell>
          <cell r="B518" t="str">
            <v>Meshack Ademba Martin</v>
          </cell>
          <cell r="E518" t="str">
            <v>LG</v>
          </cell>
        </row>
        <row r="519">
          <cell r="A519" t="str">
            <v>LG13507</v>
          </cell>
          <cell r="B519" t="str">
            <v>Meroline Anyango Abade</v>
          </cell>
          <cell r="E519" t="str">
            <v>LG</v>
          </cell>
        </row>
        <row r="520">
          <cell r="A520" t="str">
            <v>LG25265</v>
          </cell>
          <cell r="B520" t="str">
            <v>Mercyline Otundo</v>
          </cell>
          <cell r="E520" t="str">
            <v>LG</v>
          </cell>
        </row>
        <row r="521">
          <cell r="A521" t="str">
            <v>ABMO333</v>
          </cell>
          <cell r="B521" t="str">
            <v>Mercyline Otundo</v>
          </cell>
          <cell r="E521" t="str">
            <v>LG</v>
          </cell>
        </row>
        <row r="522">
          <cell r="A522" t="str">
            <v>AB025OY</v>
          </cell>
          <cell r="B522" t="str">
            <v>Mercy Wambui Mburu</v>
          </cell>
          <cell r="E522" t="str">
            <v>LG</v>
          </cell>
        </row>
        <row r="523">
          <cell r="A523" t="str">
            <v>LG25229</v>
          </cell>
          <cell r="B523" t="str">
            <v>Mercy Vivian Oyando</v>
          </cell>
          <cell r="E523" t="str">
            <v>LG</v>
          </cell>
        </row>
        <row r="524">
          <cell r="A524" t="str">
            <v>AB017W5</v>
          </cell>
          <cell r="B524" t="str">
            <v>Mercy Uvyu</v>
          </cell>
          <cell r="E524" t="str">
            <v>LG</v>
          </cell>
        </row>
        <row r="525">
          <cell r="A525" t="str">
            <v>LG25299</v>
          </cell>
          <cell r="B525" t="str">
            <v xml:space="preserve">Mercy Oyando </v>
          </cell>
          <cell r="E525" t="str">
            <v>LG</v>
          </cell>
        </row>
        <row r="526">
          <cell r="A526" t="str">
            <v>BB06679</v>
          </cell>
          <cell r="B526" t="str">
            <v>Mercy Nzisa Muteti</v>
          </cell>
          <cell r="E526" t="str">
            <v>UB</v>
          </cell>
        </row>
        <row r="527">
          <cell r="A527" t="str">
            <v>BB07928</v>
          </cell>
          <cell r="B527" t="str">
            <v>Mercy Nyang'Endo Gachomba</v>
          </cell>
          <cell r="E527" t="str">
            <v>UB</v>
          </cell>
        </row>
        <row r="528">
          <cell r="A528" t="str">
            <v>11828</v>
          </cell>
          <cell r="B528" t="str">
            <v>Mercy Njalale</v>
          </cell>
          <cell r="E528" t="str">
            <v>LG</v>
          </cell>
        </row>
        <row r="529">
          <cell r="A529" t="str">
            <v>BB11854</v>
          </cell>
          <cell r="B529" t="str">
            <v>Mercy Mutheu Mutuku</v>
          </cell>
          <cell r="E529" t="str">
            <v>UB</v>
          </cell>
        </row>
        <row r="530">
          <cell r="A530" t="str">
            <v>LG24546</v>
          </cell>
          <cell r="B530" t="str">
            <v xml:space="preserve">Mercy Mutheu Jacinta </v>
          </cell>
          <cell r="E530" t="str">
            <v>LG</v>
          </cell>
        </row>
        <row r="531">
          <cell r="A531" t="str">
            <v>LG24867</v>
          </cell>
          <cell r="B531" t="str">
            <v>Mercy Mutahi</v>
          </cell>
          <cell r="E531" t="str">
            <v>LG</v>
          </cell>
        </row>
        <row r="532">
          <cell r="A532" t="str">
            <v>LG21604</v>
          </cell>
          <cell r="B532" t="str">
            <v>Mercy Mumbe Munyoki</v>
          </cell>
          <cell r="E532" t="str">
            <v>LG</v>
          </cell>
        </row>
        <row r="533">
          <cell r="A533" t="str">
            <v>AB0250Y</v>
          </cell>
          <cell r="B533" t="str">
            <v>Mercy Mburu</v>
          </cell>
          <cell r="E533" t="str">
            <v>LG</v>
          </cell>
        </row>
        <row r="534">
          <cell r="A534" t="str">
            <v>AB026TF</v>
          </cell>
          <cell r="B534" t="str">
            <v>Mercy Makokha</v>
          </cell>
          <cell r="E534" t="str">
            <v>LG</v>
          </cell>
        </row>
        <row r="535">
          <cell r="A535" t="str">
            <v>11824</v>
          </cell>
          <cell r="B535" t="str">
            <v>Mercy Kithinji</v>
          </cell>
          <cell r="E535" t="str">
            <v>ALAK</v>
          </cell>
        </row>
        <row r="536">
          <cell r="A536" t="str">
            <v>AB011NT</v>
          </cell>
          <cell r="B536" t="str">
            <v xml:space="preserve">Mercy Kawira </v>
          </cell>
          <cell r="E536" t="str">
            <v>LG</v>
          </cell>
        </row>
        <row r="537">
          <cell r="A537" t="str">
            <v>ABMC776</v>
          </cell>
          <cell r="B537" t="str">
            <v>Mercy Cherotich</v>
          </cell>
          <cell r="E537" t="str">
            <v>LG</v>
          </cell>
        </row>
        <row r="538">
          <cell r="A538" t="str">
            <v>LG19662</v>
          </cell>
          <cell r="B538" t="str">
            <v>Mercy Atieno Omondi Ondu</v>
          </cell>
          <cell r="E538" t="str">
            <v>LG</v>
          </cell>
        </row>
        <row r="539">
          <cell r="A539" t="str">
            <v>LG23049</v>
          </cell>
          <cell r="B539" t="str">
            <v>Mercy Akinyi Ooko</v>
          </cell>
          <cell r="E539" t="str">
            <v>LG</v>
          </cell>
        </row>
        <row r="540">
          <cell r="A540" t="str">
            <v>AB02638</v>
          </cell>
          <cell r="B540" t="str">
            <v>Mercy Aida Kirui</v>
          </cell>
          <cell r="E540" t="str">
            <v>LG</v>
          </cell>
        </row>
        <row r="541">
          <cell r="A541" t="str">
            <v>ABMO328</v>
          </cell>
          <cell r="B541" t="str">
            <v>Mercy Adongo Ong'anda</v>
          </cell>
          <cell r="E541" t="str">
            <v>ALAK</v>
          </cell>
        </row>
        <row r="542">
          <cell r="A542" t="str">
            <v>LG21421</v>
          </cell>
          <cell r="B542" t="str">
            <v>Mercy  Mwenesi</v>
          </cell>
          <cell r="E542" t="str">
            <v>LG</v>
          </cell>
        </row>
        <row r="543">
          <cell r="A543" t="str">
            <v>AB011JQ</v>
          </cell>
          <cell r="B543" t="str">
            <v>Mengesa John</v>
          </cell>
          <cell r="E543" t="str">
            <v>LG</v>
          </cell>
        </row>
        <row r="544">
          <cell r="A544" t="str">
            <v>LG22374</v>
          </cell>
          <cell r="B544" t="str">
            <v>Melvin bradley omondi</v>
          </cell>
          <cell r="E544" t="str">
            <v>LG</v>
          </cell>
        </row>
        <row r="545">
          <cell r="A545" t="str">
            <v>LG23019</v>
          </cell>
          <cell r="B545" t="str">
            <v>Melody Magoama Kibegwa</v>
          </cell>
          <cell r="E545" t="str">
            <v>LG</v>
          </cell>
        </row>
        <row r="546">
          <cell r="A546" t="str">
            <v>LG23494</v>
          </cell>
          <cell r="B546" t="str">
            <v>Melodine Ntinyari Kinyua</v>
          </cell>
          <cell r="E546" t="str">
            <v>LG</v>
          </cell>
        </row>
        <row r="547">
          <cell r="A547" t="str">
            <v>AB023Y6</v>
          </cell>
          <cell r="B547" t="str">
            <v>Mbinya Musyoka Tabitha</v>
          </cell>
          <cell r="E547" t="str">
            <v>LG</v>
          </cell>
        </row>
        <row r="548">
          <cell r="A548" t="str">
            <v>AB019GK</v>
          </cell>
          <cell r="B548" t="str">
            <v>Mbaki King'oo</v>
          </cell>
          <cell r="E548" t="str">
            <v>LG</v>
          </cell>
        </row>
        <row r="549">
          <cell r="A549" t="str">
            <v>LG25051</v>
          </cell>
          <cell r="B549" t="str">
            <v>MAXWELL NGUGI MBAU</v>
          </cell>
          <cell r="E549" t="str">
            <v>LG</v>
          </cell>
        </row>
        <row r="550">
          <cell r="A550" t="str">
            <v>LG24038</v>
          </cell>
          <cell r="B550" t="str">
            <v>Maxwel Ojwang Odhiambo</v>
          </cell>
          <cell r="E550" t="str">
            <v>LG</v>
          </cell>
        </row>
        <row r="551">
          <cell r="A551" t="str">
            <v>AB025D5</v>
          </cell>
          <cell r="B551" t="str">
            <v>Maurine Owino</v>
          </cell>
          <cell r="E551" t="str">
            <v>LG</v>
          </cell>
        </row>
        <row r="552">
          <cell r="A552" t="str">
            <v>LG22546</v>
          </cell>
          <cell r="B552" t="str">
            <v>Maurine Akoth Opiyo</v>
          </cell>
          <cell r="E552" t="str">
            <v>LG</v>
          </cell>
        </row>
        <row r="553">
          <cell r="A553" t="str">
            <v>LG16610</v>
          </cell>
          <cell r="B553" t="str">
            <v>Maureene Atieno Musolo</v>
          </cell>
          <cell r="E553" t="str">
            <v>LG</v>
          </cell>
        </row>
        <row r="554">
          <cell r="A554" t="str">
            <v>LG19342</v>
          </cell>
          <cell r="B554" t="str">
            <v>Maureen Wanjiru Muchiri</v>
          </cell>
          <cell r="E554" t="str">
            <v>LG</v>
          </cell>
        </row>
        <row r="555">
          <cell r="A555" t="str">
            <v>13095</v>
          </cell>
          <cell r="B555" t="str">
            <v>Maureen Paiti Lolgisoi</v>
          </cell>
          <cell r="E555" t="str">
            <v>ALAK</v>
          </cell>
        </row>
        <row r="556">
          <cell r="A556" t="str">
            <v>AB023DQ</v>
          </cell>
          <cell r="B556" t="str">
            <v>Maureen Nkirote Gatobu</v>
          </cell>
          <cell r="E556" t="str">
            <v>LG</v>
          </cell>
        </row>
        <row r="557">
          <cell r="A557" t="str">
            <v>BB19342</v>
          </cell>
          <cell r="B557" t="str">
            <v>Maureen Muchiri</v>
          </cell>
          <cell r="E557" t="str">
            <v>LG</v>
          </cell>
        </row>
        <row r="558">
          <cell r="A558" t="str">
            <v>LG19469</v>
          </cell>
          <cell r="B558" t="str">
            <v>Maureen Kwamboka Nyabuto</v>
          </cell>
          <cell r="E558" t="str">
            <v>LG</v>
          </cell>
        </row>
        <row r="559">
          <cell r="A559" t="str">
            <v>HISA0020</v>
          </cell>
          <cell r="B559" t="str">
            <v>Maureen Ichauri</v>
          </cell>
          <cell r="E559" t="str">
            <v>ALAK</v>
          </cell>
        </row>
        <row r="560">
          <cell r="A560" t="str">
            <v>BB20768</v>
          </cell>
          <cell r="B560" t="str">
            <v>Maureen Asimwa Ngala</v>
          </cell>
          <cell r="E560" t="str">
            <v>UB</v>
          </cell>
        </row>
        <row r="561">
          <cell r="A561" t="str">
            <v>ABMO242</v>
          </cell>
          <cell r="B561" t="str">
            <v>Maureen Achieng Owino</v>
          </cell>
          <cell r="E561" t="str">
            <v>LG</v>
          </cell>
        </row>
        <row r="562">
          <cell r="A562" t="str">
            <v>LG22183</v>
          </cell>
          <cell r="B562" t="str">
            <v>Masenge Onchari Anthony</v>
          </cell>
          <cell r="E562" t="str">
            <v>LG</v>
          </cell>
        </row>
        <row r="563">
          <cell r="A563" t="str">
            <v>AB023IA</v>
          </cell>
          <cell r="B563" t="str">
            <v>Maryline Kirwok</v>
          </cell>
          <cell r="E563" t="str">
            <v>LG</v>
          </cell>
        </row>
        <row r="564">
          <cell r="A564" t="str">
            <v>BB07733</v>
          </cell>
          <cell r="B564" t="str">
            <v xml:space="preserve">Marygoretti Mbuge </v>
          </cell>
          <cell r="E564" t="str">
            <v>LG</v>
          </cell>
        </row>
        <row r="565">
          <cell r="A565" t="str">
            <v>LG25238</v>
          </cell>
          <cell r="B565" t="str">
            <v>Maryanne Naomi Adewa</v>
          </cell>
          <cell r="E565" t="str">
            <v>LG</v>
          </cell>
        </row>
        <row r="566">
          <cell r="A566" t="str">
            <v>LG19872</v>
          </cell>
          <cell r="B566" t="str">
            <v>Mary Wanjiru Gathi</v>
          </cell>
          <cell r="E566" t="str">
            <v>LG</v>
          </cell>
        </row>
        <row r="567">
          <cell r="A567" t="str">
            <v>LG24912</v>
          </cell>
          <cell r="B567" t="str">
            <v>Mary Wanjiku Kuria</v>
          </cell>
          <cell r="E567" t="str">
            <v>LG</v>
          </cell>
        </row>
        <row r="568">
          <cell r="A568" t="str">
            <v>AB021LM</v>
          </cell>
          <cell r="B568" t="str">
            <v>Mary Wanjiku Hunja</v>
          </cell>
          <cell r="E568" t="str">
            <v>UB</v>
          </cell>
        </row>
        <row r="569">
          <cell r="A569" t="str">
            <v>AB025MC</v>
          </cell>
          <cell r="B569" t="str">
            <v>Mary Wanjeri Maina</v>
          </cell>
          <cell r="E569" t="str">
            <v>LG</v>
          </cell>
        </row>
        <row r="570">
          <cell r="A570" t="str">
            <v>LG23422</v>
          </cell>
          <cell r="B570" t="str">
            <v>Mary Wangui Njoki</v>
          </cell>
          <cell r="E570" t="str">
            <v>LG</v>
          </cell>
        </row>
        <row r="571">
          <cell r="A571" t="str">
            <v>BB07777</v>
          </cell>
          <cell r="B571" t="str">
            <v xml:space="preserve">Mary Waithera Gachuhi </v>
          </cell>
          <cell r="E571" t="str">
            <v>RM</v>
          </cell>
        </row>
        <row r="572">
          <cell r="A572" t="str">
            <v>AB018GG</v>
          </cell>
          <cell r="B572" t="str">
            <v xml:space="preserve">Mary Wachira </v>
          </cell>
          <cell r="E572" t="str">
            <v>LG</v>
          </cell>
        </row>
        <row r="573">
          <cell r="A573" t="str">
            <v>BB03854</v>
          </cell>
          <cell r="B573" t="str">
            <v>Mary Wachera Iraki</v>
          </cell>
          <cell r="E573" t="str">
            <v>UB</v>
          </cell>
        </row>
        <row r="574">
          <cell r="A574" t="str">
            <v>BB17339</v>
          </cell>
          <cell r="B574" t="str">
            <v>Mary Nyambura Njuguna</v>
          </cell>
          <cell r="E574" t="str">
            <v>UB</v>
          </cell>
        </row>
        <row r="575">
          <cell r="A575" t="str">
            <v>LG21470</v>
          </cell>
          <cell r="B575" t="str">
            <v>Mary Njeri Njoroge</v>
          </cell>
          <cell r="E575" t="str">
            <v>LG</v>
          </cell>
        </row>
        <row r="576">
          <cell r="A576" t="str">
            <v>LG25061</v>
          </cell>
          <cell r="B576" t="str">
            <v xml:space="preserve">Mary Mulunga Mwachiti </v>
          </cell>
          <cell r="E576" t="str">
            <v>LG</v>
          </cell>
        </row>
        <row r="577">
          <cell r="A577" t="str">
            <v>AB0154Q</v>
          </cell>
          <cell r="B577" t="str">
            <v>Mary Masanju</v>
          </cell>
          <cell r="E577" t="str">
            <v>LG</v>
          </cell>
        </row>
        <row r="578">
          <cell r="A578" t="str">
            <v>LG24558</v>
          </cell>
          <cell r="B578" t="str">
            <v>Mary Karienye</v>
          </cell>
          <cell r="E578" t="str">
            <v>LG</v>
          </cell>
        </row>
        <row r="579">
          <cell r="A579" t="str">
            <v>LG24916</v>
          </cell>
          <cell r="B579" t="str">
            <v xml:space="preserve">Mary Grace Muthoni Waiboci </v>
          </cell>
          <cell r="E579" t="str">
            <v>LG</v>
          </cell>
        </row>
        <row r="580">
          <cell r="A580" t="str">
            <v>LG12826</v>
          </cell>
          <cell r="B580" t="str">
            <v>Mary Chenda Kazungu</v>
          </cell>
          <cell r="E580" t="str">
            <v>LG</v>
          </cell>
        </row>
        <row r="581">
          <cell r="A581" t="str">
            <v>AB027EE</v>
          </cell>
          <cell r="B581" t="str">
            <v>Mary  Muthui</v>
          </cell>
          <cell r="E581" t="str">
            <v>LG</v>
          </cell>
        </row>
        <row r="582">
          <cell r="A582" t="str">
            <v>AB027JN</v>
          </cell>
          <cell r="B582" t="str">
            <v>Marvin Oluoch</v>
          </cell>
          <cell r="E582" t="str">
            <v>LG</v>
          </cell>
        </row>
        <row r="583">
          <cell r="A583" t="str">
            <v>13098</v>
          </cell>
          <cell r="B583" t="str">
            <v>Marvin Nyamari Nyangau</v>
          </cell>
          <cell r="E583" t="str">
            <v>ALAK</v>
          </cell>
        </row>
        <row r="584">
          <cell r="A584" t="str">
            <v>LG13917</v>
          </cell>
          <cell r="B584" t="str">
            <v>Martine Wangila Nato</v>
          </cell>
          <cell r="E584" t="str">
            <v>LG</v>
          </cell>
        </row>
        <row r="585">
          <cell r="A585" t="str">
            <v>BB22627</v>
          </cell>
          <cell r="B585" t="str">
            <v>Martin Simba Isinita</v>
          </cell>
          <cell r="E585" t="str">
            <v>UB</v>
          </cell>
        </row>
        <row r="586">
          <cell r="A586" t="str">
            <v>LG21432</v>
          </cell>
          <cell r="B586" t="str">
            <v>Martin Onyango Mukoko</v>
          </cell>
          <cell r="E586" t="str">
            <v>LG</v>
          </cell>
        </row>
        <row r="587">
          <cell r="A587" t="str">
            <v>LG25447</v>
          </cell>
          <cell r="B587" t="str">
            <v xml:space="preserve">Martin Okoth Konje </v>
          </cell>
          <cell r="E587" t="str">
            <v>LG</v>
          </cell>
        </row>
        <row r="588">
          <cell r="A588" t="str">
            <v>LG24610</v>
          </cell>
          <cell r="B588" t="str">
            <v>Martin Ngugi Mbau</v>
          </cell>
          <cell r="E588" t="str">
            <v>LG</v>
          </cell>
        </row>
        <row r="589">
          <cell r="A589" t="str">
            <v>LG20894</v>
          </cell>
          <cell r="B589" t="str">
            <v>Martin Mwangi Nyiha</v>
          </cell>
          <cell r="E589" t="str">
            <v>LG</v>
          </cell>
        </row>
        <row r="590">
          <cell r="A590" t="str">
            <v>BB21432</v>
          </cell>
          <cell r="B590" t="str">
            <v>Martin Mukoko</v>
          </cell>
          <cell r="E590" t="str">
            <v>LG</v>
          </cell>
        </row>
        <row r="591">
          <cell r="A591" t="str">
            <v>ABO26V9</v>
          </cell>
          <cell r="B591" t="str">
            <v>Martin Maina</v>
          </cell>
          <cell r="E591" t="str">
            <v>LG</v>
          </cell>
        </row>
        <row r="592">
          <cell r="A592" t="str">
            <v>AB026V9</v>
          </cell>
          <cell r="B592" t="str">
            <v>Martin Maina</v>
          </cell>
          <cell r="E592" t="str">
            <v>LG</v>
          </cell>
        </row>
        <row r="593">
          <cell r="A593" t="str">
            <v>AB022SP</v>
          </cell>
          <cell r="B593" t="str">
            <v>Martin Aciita</v>
          </cell>
          <cell r="E593" t="str">
            <v>LG</v>
          </cell>
        </row>
        <row r="594">
          <cell r="A594" t="str">
            <v>LG21880</v>
          </cell>
          <cell r="B594" t="str">
            <v>Martin  Muriithi</v>
          </cell>
          <cell r="E594" t="str">
            <v>LG</v>
          </cell>
        </row>
        <row r="595">
          <cell r="A595" t="str">
            <v>LG25572</v>
          </cell>
          <cell r="B595" t="str">
            <v xml:space="preserve">Martha Wahome </v>
          </cell>
          <cell r="E595" t="str">
            <v>LG</v>
          </cell>
        </row>
        <row r="596">
          <cell r="A596" t="str">
            <v>LG19250</v>
          </cell>
          <cell r="B596" t="str">
            <v>Martha Akeyo Wasonga</v>
          </cell>
          <cell r="E596" t="str">
            <v>LG</v>
          </cell>
        </row>
        <row r="597">
          <cell r="A597" t="str">
            <v>LG25067</v>
          </cell>
          <cell r="B597" t="str">
            <v xml:space="preserve">Mark Mukungu Mutisya </v>
          </cell>
          <cell r="E597" t="str">
            <v>LG</v>
          </cell>
        </row>
        <row r="598">
          <cell r="A598" t="str">
            <v>LG23530</v>
          </cell>
          <cell r="B598" t="str">
            <v>Mark Gichana Omenge</v>
          </cell>
          <cell r="E598" t="str">
            <v>LG</v>
          </cell>
        </row>
        <row r="599">
          <cell r="A599" t="str">
            <v>LG25218</v>
          </cell>
          <cell r="B599" t="str">
            <v xml:space="preserve">Marion Wambui </v>
          </cell>
          <cell r="E599" t="str">
            <v>LG</v>
          </cell>
        </row>
        <row r="600">
          <cell r="A600" t="str">
            <v>AB024GQ</v>
          </cell>
          <cell r="B600" t="str">
            <v>Marion Ojiem</v>
          </cell>
          <cell r="E600" t="str">
            <v>LG</v>
          </cell>
        </row>
        <row r="601">
          <cell r="A601" t="str">
            <v>AB0249Q</v>
          </cell>
          <cell r="B601" t="str">
            <v>Marion Achieng Ojiem</v>
          </cell>
          <cell r="E601" t="str">
            <v>LG</v>
          </cell>
        </row>
        <row r="602">
          <cell r="A602" t="str">
            <v>LG25065</v>
          </cell>
          <cell r="B602" t="str">
            <v xml:space="preserve">Mariam Said Mohamed </v>
          </cell>
          <cell r="E602" t="str">
            <v>LG</v>
          </cell>
        </row>
        <row r="603">
          <cell r="A603" t="str">
            <v>LG25271</v>
          </cell>
          <cell r="B603" t="str">
            <v xml:space="preserve">Mariam Nasimiyu </v>
          </cell>
          <cell r="E603" t="str">
            <v>LG</v>
          </cell>
        </row>
        <row r="604">
          <cell r="A604" t="str">
            <v>LG25060</v>
          </cell>
          <cell r="B604" t="str">
            <v xml:space="preserve">Mariam Juma Kassim </v>
          </cell>
          <cell r="E604" t="str">
            <v>LG</v>
          </cell>
        </row>
        <row r="605">
          <cell r="A605" t="str">
            <v>LG23308</v>
          </cell>
          <cell r="B605" t="str">
            <v>Margret Nzilani Kioko</v>
          </cell>
          <cell r="E605" t="str">
            <v>LG</v>
          </cell>
        </row>
        <row r="606">
          <cell r="A606" t="str">
            <v>LG24861</v>
          </cell>
          <cell r="B606" t="str">
            <v>Margaret Wanjiru Mungai</v>
          </cell>
          <cell r="E606" t="str">
            <v>LG</v>
          </cell>
        </row>
        <row r="607">
          <cell r="A607" t="str">
            <v>LG24760</v>
          </cell>
          <cell r="B607" t="str">
            <v>Margaret Nyanjau Gichuhi</v>
          </cell>
          <cell r="E607" t="str">
            <v>LG</v>
          </cell>
        </row>
        <row r="608">
          <cell r="A608" t="str">
            <v>LG19548</v>
          </cell>
          <cell r="B608" t="str">
            <v>Margaret Nyandzua Lewa</v>
          </cell>
          <cell r="E608" t="str">
            <v>LG</v>
          </cell>
        </row>
        <row r="609">
          <cell r="A609" t="str">
            <v>LG18991</v>
          </cell>
          <cell r="B609" t="str">
            <v>Margaret Nyambura Njuguna</v>
          </cell>
          <cell r="E609" t="str">
            <v>LG</v>
          </cell>
        </row>
        <row r="610">
          <cell r="A610" t="str">
            <v>AB0171V</v>
          </cell>
          <cell r="B610" t="str">
            <v>Margaret Mwaura</v>
          </cell>
          <cell r="E610" t="str">
            <v>LG</v>
          </cell>
        </row>
        <row r="611">
          <cell r="A611" t="str">
            <v>LG24854</v>
          </cell>
          <cell r="B611" t="str">
            <v>Margaret Munini Kyalo</v>
          </cell>
          <cell r="E611" t="str">
            <v>LG</v>
          </cell>
        </row>
        <row r="612">
          <cell r="A612" t="str">
            <v>AB025OM</v>
          </cell>
          <cell r="B612" t="str">
            <v>Margaret Mukami Kiuru</v>
          </cell>
          <cell r="E612" t="str">
            <v>LG</v>
          </cell>
        </row>
        <row r="613">
          <cell r="A613" t="str">
            <v>LG14727</v>
          </cell>
          <cell r="B613" t="str">
            <v>Margaret Moraa Oiriga</v>
          </cell>
          <cell r="E613" t="str">
            <v>LG</v>
          </cell>
        </row>
        <row r="614">
          <cell r="A614" t="str">
            <v>BB19548</v>
          </cell>
          <cell r="B614" t="str">
            <v>Margaret Lewa</v>
          </cell>
          <cell r="E614" t="str">
            <v>UB</v>
          </cell>
        </row>
        <row r="615">
          <cell r="A615" t="str">
            <v>LG15448</v>
          </cell>
          <cell r="B615" t="str">
            <v>Margaret Bosibori Maato</v>
          </cell>
          <cell r="E615" t="str">
            <v>LG</v>
          </cell>
        </row>
        <row r="616">
          <cell r="A616" t="str">
            <v>LG10081</v>
          </cell>
          <cell r="B616" t="str">
            <v>Margaret Atieno Many</v>
          </cell>
          <cell r="E616" t="str">
            <v>LG</v>
          </cell>
        </row>
        <row r="617">
          <cell r="A617" t="str">
            <v>AB019HD</v>
          </cell>
          <cell r="B617" t="str">
            <v>Marcelo Lemi</v>
          </cell>
          <cell r="E617" t="str">
            <v>LG</v>
          </cell>
        </row>
        <row r="618">
          <cell r="A618" t="str">
            <v>LG24556</v>
          </cell>
          <cell r="B618" t="str">
            <v>Marcellah Naswa Mabuka</v>
          </cell>
          <cell r="E618" t="str">
            <v>LG</v>
          </cell>
        </row>
        <row r="619">
          <cell r="A619" t="str">
            <v>MKL0681</v>
          </cell>
          <cell r="B619" t="str">
            <v xml:space="preserve">Mahinda, Kelvin Ndirangu </v>
          </cell>
          <cell r="E619" t="str">
            <v>LG</v>
          </cell>
        </row>
        <row r="620">
          <cell r="A620" t="str">
            <v>LG22574</v>
          </cell>
          <cell r="B620" t="str">
            <v>Mahad Mohammed Abdi</v>
          </cell>
          <cell r="E620" t="str">
            <v>LG</v>
          </cell>
        </row>
        <row r="621">
          <cell r="A621" t="str">
            <v>LG18311</v>
          </cell>
          <cell r="B621" t="str">
            <v>Magdalene Nduta Kabatha</v>
          </cell>
          <cell r="E621" t="str">
            <v>LG</v>
          </cell>
        </row>
        <row r="622">
          <cell r="A622" t="str">
            <v>LG10558</v>
          </cell>
          <cell r="B622" t="str">
            <v>Madeda Mwawana Mwamburi</v>
          </cell>
          <cell r="E622" t="str">
            <v>LG</v>
          </cell>
        </row>
        <row r="623">
          <cell r="A623" t="str">
            <v>LG07986</v>
          </cell>
          <cell r="B623" t="str">
            <v>Mable Mmboga Alusa</v>
          </cell>
          <cell r="E623" t="str">
            <v>LG</v>
          </cell>
        </row>
        <row r="624">
          <cell r="A624" t="str">
            <v>AB019N2</v>
          </cell>
          <cell r="B624" t="str">
            <v>Lynnet Usolo</v>
          </cell>
          <cell r="E624" t="str">
            <v>LG</v>
          </cell>
        </row>
        <row r="625">
          <cell r="A625" t="str">
            <v>LG25258</v>
          </cell>
          <cell r="B625" t="str">
            <v>Lyner Masher Awuor</v>
          </cell>
          <cell r="E625" t="str">
            <v>LG</v>
          </cell>
        </row>
        <row r="626">
          <cell r="A626" t="str">
            <v>AB019HJ</v>
          </cell>
          <cell r="B626" t="str">
            <v>Lynder Masili</v>
          </cell>
          <cell r="E626" t="str">
            <v>LG</v>
          </cell>
        </row>
        <row r="627">
          <cell r="A627" t="str">
            <v>AB011HP</v>
          </cell>
          <cell r="B627" t="str">
            <v>Lyndah Omino</v>
          </cell>
          <cell r="E627" t="str">
            <v>LG</v>
          </cell>
        </row>
        <row r="628">
          <cell r="A628" t="str">
            <v>BB05470</v>
          </cell>
          <cell r="B628" t="str">
            <v>Lyn Okutoyi Imbayi</v>
          </cell>
          <cell r="E628" t="str">
            <v>LG</v>
          </cell>
        </row>
        <row r="629">
          <cell r="A629" t="str">
            <v>LG18599</v>
          </cell>
          <cell r="B629" t="str">
            <v>Lydiah Muthoni Ndungu</v>
          </cell>
          <cell r="E629" t="str">
            <v>LG</v>
          </cell>
        </row>
        <row r="630">
          <cell r="A630" t="str">
            <v>LG20347</v>
          </cell>
          <cell r="B630" t="str">
            <v>Lydiah Atieno Ochola</v>
          </cell>
          <cell r="E630" t="str">
            <v>LG</v>
          </cell>
        </row>
        <row r="631">
          <cell r="A631" t="str">
            <v>LG24302</v>
          </cell>
          <cell r="B631" t="str">
            <v>Lydia Wanjiku Kimotho</v>
          </cell>
          <cell r="E631" t="str">
            <v>LG</v>
          </cell>
        </row>
        <row r="632">
          <cell r="A632" t="str">
            <v>LG25547</v>
          </cell>
          <cell r="B632" t="str">
            <v>Lydia Shibako</v>
          </cell>
          <cell r="E632" t="str">
            <v>LG</v>
          </cell>
        </row>
        <row r="633">
          <cell r="A633" t="str">
            <v>BB05292</v>
          </cell>
          <cell r="B633" t="str">
            <v>Lydia Motari</v>
          </cell>
          <cell r="E633" t="str">
            <v>RM</v>
          </cell>
        </row>
        <row r="634">
          <cell r="A634" t="str">
            <v>LG23266</v>
          </cell>
          <cell r="B634" t="str">
            <v>Luke Muia Malonza</v>
          </cell>
          <cell r="E634" t="str">
            <v>LG</v>
          </cell>
        </row>
        <row r="635">
          <cell r="A635" t="str">
            <v>LG09409</v>
          </cell>
          <cell r="B635" t="str">
            <v>Lucy Wawira Njagi</v>
          </cell>
          <cell r="E635" t="str">
            <v>LG</v>
          </cell>
        </row>
        <row r="636">
          <cell r="A636" t="str">
            <v>LG21447</v>
          </cell>
          <cell r="B636" t="str">
            <v>Lucy Wanjiru Mwaniki</v>
          </cell>
          <cell r="E636" t="str">
            <v>LG</v>
          </cell>
        </row>
        <row r="637">
          <cell r="A637" t="str">
            <v>AB027AB</v>
          </cell>
          <cell r="B637" t="str">
            <v>Lucy Wamwea</v>
          </cell>
          <cell r="E637" t="str">
            <v>LG</v>
          </cell>
        </row>
        <row r="638">
          <cell r="A638" t="str">
            <v>LG25570</v>
          </cell>
          <cell r="B638" t="str">
            <v>Lucy Wamagata</v>
          </cell>
          <cell r="E638" t="str">
            <v>LG</v>
          </cell>
        </row>
        <row r="639">
          <cell r="A639" t="str">
            <v>LG21007</v>
          </cell>
          <cell r="B639" t="str">
            <v>Lucy Mwaniki</v>
          </cell>
          <cell r="E639" t="str">
            <v>LG</v>
          </cell>
        </row>
        <row r="640">
          <cell r="A640" t="str">
            <v>LG22138</v>
          </cell>
          <cell r="B640" t="str">
            <v>Lucy Mwalimo</v>
          </cell>
          <cell r="E640" t="str">
            <v>LG</v>
          </cell>
        </row>
        <row r="641">
          <cell r="A641" t="str">
            <v>LG07923</v>
          </cell>
          <cell r="B641" t="str">
            <v>Lucy Muthoni Njagi</v>
          </cell>
          <cell r="E641" t="str">
            <v>LG</v>
          </cell>
        </row>
        <row r="642">
          <cell r="A642" t="str">
            <v>ABLMAVV</v>
          </cell>
          <cell r="B642" t="str">
            <v>Lucy Egwa Mwalimo</v>
          </cell>
          <cell r="E642" t="str">
            <v>LG</v>
          </cell>
        </row>
        <row r="643">
          <cell r="A643" t="str">
            <v>ABLO119</v>
          </cell>
          <cell r="B643" t="str">
            <v>Lucy Anyango Ogutu</v>
          </cell>
          <cell r="E643" t="str">
            <v>LG</v>
          </cell>
        </row>
        <row r="644">
          <cell r="A644" t="str">
            <v>BB07494</v>
          </cell>
          <cell r="B644" t="str">
            <v>Loyce Ngani Tsuma</v>
          </cell>
          <cell r="E644" t="str">
            <v>RM</v>
          </cell>
        </row>
        <row r="645">
          <cell r="A645" t="str">
            <v>AB006DF</v>
          </cell>
          <cell r="B645" t="str">
            <v>Lorna Kawira Kirimi</v>
          </cell>
          <cell r="E645" t="str">
            <v>LG</v>
          </cell>
        </row>
        <row r="646">
          <cell r="A646" t="str">
            <v>BB11125</v>
          </cell>
          <cell r="B646" t="str">
            <v>Lorna Achieng Olango</v>
          </cell>
          <cell r="E646" t="str">
            <v>UB</v>
          </cell>
        </row>
        <row r="647">
          <cell r="A647" t="str">
            <v>BB06949</v>
          </cell>
          <cell r="B647" t="str">
            <v>Lora Chelangat Cheruiyot</v>
          </cell>
          <cell r="E647" t="str">
            <v>UB</v>
          </cell>
        </row>
        <row r="648">
          <cell r="A648" t="str">
            <v>LGAB006DF</v>
          </cell>
          <cell r="B648" t="str">
            <v>Lonah Kawira Kirimi</v>
          </cell>
          <cell r="E648" t="str">
            <v>LG</v>
          </cell>
        </row>
        <row r="649">
          <cell r="A649" t="str">
            <v>BB11061</v>
          </cell>
          <cell r="B649" t="str">
            <v>Loisy Mugura</v>
          </cell>
          <cell r="E649" t="str">
            <v>LG</v>
          </cell>
        </row>
        <row r="650">
          <cell r="A650" t="str">
            <v>LG13364</v>
          </cell>
          <cell r="B650" t="str">
            <v>Loice Luseka Shiatikha</v>
          </cell>
          <cell r="E650" t="str">
            <v>LG</v>
          </cell>
        </row>
        <row r="651">
          <cell r="A651" t="str">
            <v>LG24869</v>
          </cell>
          <cell r="B651" t="str">
            <v>Loice Jepchirchir</v>
          </cell>
          <cell r="E651" t="str">
            <v>LG</v>
          </cell>
        </row>
        <row r="652">
          <cell r="A652" t="str">
            <v>LG24860</v>
          </cell>
          <cell r="B652" t="str">
            <v>LINET WANGARI</v>
          </cell>
          <cell r="E652" t="str">
            <v>LG</v>
          </cell>
        </row>
        <row r="653">
          <cell r="A653" t="str">
            <v>LG17322</v>
          </cell>
          <cell r="B653" t="str">
            <v>Linet Kwamboka Mumbe</v>
          </cell>
          <cell r="E653" t="str">
            <v>LG</v>
          </cell>
        </row>
        <row r="654">
          <cell r="A654" t="str">
            <v>AB023A3</v>
          </cell>
          <cell r="B654" t="str">
            <v>Lindsey Cheruiyot</v>
          </cell>
          <cell r="E654" t="str">
            <v>LG</v>
          </cell>
        </row>
        <row r="655">
          <cell r="A655" t="str">
            <v>BB06373</v>
          </cell>
          <cell r="B655" t="str">
            <v>Linda Atieno Owuor</v>
          </cell>
          <cell r="E655" t="str">
            <v>UB</v>
          </cell>
        </row>
        <row r="656">
          <cell r="A656" t="str">
            <v>LG22916</v>
          </cell>
          <cell r="B656" t="str">
            <v>Linda Anyango Ndhiwa</v>
          </cell>
          <cell r="E656" t="str">
            <v>LG</v>
          </cell>
        </row>
        <row r="657">
          <cell r="A657" t="str">
            <v>LG13349</v>
          </cell>
          <cell r="B657" t="str">
            <v>Lina Ogara Okute</v>
          </cell>
          <cell r="E657" t="str">
            <v>LG</v>
          </cell>
        </row>
        <row r="658">
          <cell r="A658" t="str">
            <v>LG19665</v>
          </cell>
          <cell r="B658" t="str">
            <v>Lina Consolata Waita</v>
          </cell>
          <cell r="E658" t="str">
            <v>LG</v>
          </cell>
        </row>
        <row r="659">
          <cell r="A659" t="str">
            <v>LG24589</v>
          </cell>
          <cell r="B659" t="str">
            <v>Lillian Mutuku Mumo</v>
          </cell>
          <cell r="E659" t="str">
            <v>LG</v>
          </cell>
        </row>
        <row r="660">
          <cell r="A660" t="str">
            <v>BB17443</v>
          </cell>
          <cell r="B660" t="str">
            <v>Lilian Wambui Kamau</v>
          </cell>
          <cell r="E660" t="str">
            <v>UB</v>
          </cell>
        </row>
        <row r="661">
          <cell r="A661" t="str">
            <v>AB011H1</v>
          </cell>
          <cell r="B661" t="str">
            <v>Lilian Temba Barasa</v>
          </cell>
          <cell r="E661" t="str">
            <v>LG</v>
          </cell>
        </row>
        <row r="662">
          <cell r="A662" t="str">
            <v>AB0171X</v>
          </cell>
          <cell r="B662" t="str">
            <v>Lilian Tabu</v>
          </cell>
          <cell r="E662" t="str">
            <v>LG</v>
          </cell>
        </row>
        <row r="663">
          <cell r="A663" t="str">
            <v>AB019QT</v>
          </cell>
          <cell r="B663" t="str">
            <v>Lilian Njoki Muiruri</v>
          </cell>
          <cell r="E663" t="str">
            <v>LG</v>
          </cell>
        </row>
        <row r="664">
          <cell r="A664" t="str">
            <v>AB0278Q</v>
          </cell>
          <cell r="B664" t="str">
            <v>Lilian Nelima Ngoya</v>
          </cell>
          <cell r="E664" t="str">
            <v>LG</v>
          </cell>
        </row>
        <row r="665">
          <cell r="A665" t="str">
            <v>AB021K3</v>
          </cell>
          <cell r="B665" t="str">
            <v>Lilian Murunga</v>
          </cell>
          <cell r="E665" t="str">
            <v>LG</v>
          </cell>
        </row>
        <row r="666">
          <cell r="A666" t="str">
            <v>AB015ND</v>
          </cell>
          <cell r="B666" t="str">
            <v>Lilian Luseno</v>
          </cell>
          <cell r="E666" t="str">
            <v>LG</v>
          </cell>
        </row>
        <row r="667">
          <cell r="A667" t="str">
            <v>AB018GY</v>
          </cell>
          <cell r="B667" t="str">
            <v>Lilian Kalii Mwongela</v>
          </cell>
          <cell r="E667" t="str">
            <v>LG</v>
          </cell>
        </row>
        <row r="668">
          <cell r="A668" t="str">
            <v>AB019JN</v>
          </cell>
          <cell r="B668" t="str">
            <v>Lilian John</v>
          </cell>
          <cell r="E668" t="str">
            <v>LG</v>
          </cell>
        </row>
        <row r="669">
          <cell r="A669" t="str">
            <v>LG25550</v>
          </cell>
          <cell r="B669" t="str">
            <v>Lilian Jemutai</v>
          </cell>
          <cell r="E669" t="str">
            <v>LG</v>
          </cell>
        </row>
        <row r="670">
          <cell r="A670" t="str">
            <v>AB019IC</v>
          </cell>
          <cell r="B670" t="str">
            <v>Lilian Atieno Otieno</v>
          </cell>
          <cell r="E670" t="str">
            <v>LG</v>
          </cell>
        </row>
        <row r="671">
          <cell r="A671" t="str">
            <v>LG25476</v>
          </cell>
          <cell r="B671" t="str">
            <v>Lilian Atieno</v>
          </cell>
          <cell r="E671" t="str">
            <v>LG</v>
          </cell>
        </row>
        <row r="672">
          <cell r="A672" t="str">
            <v>LG17838</v>
          </cell>
          <cell r="B672" t="str">
            <v>Liboyi Jacobeth Owiso</v>
          </cell>
          <cell r="E672" t="str">
            <v>LG</v>
          </cell>
        </row>
        <row r="673">
          <cell r="A673" t="str">
            <v>AB019KO</v>
          </cell>
          <cell r="B673" t="str">
            <v>Leonidah Ntinyari</v>
          </cell>
          <cell r="E673" t="str">
            <v>LG</v>
          </cell>
        </row>
        <row r="674">
          <cell r="A674" t="str">
            <v>AB0264C</v>
          </cell>
          <cell r="B674" t="str">
            <v>Leonard Njeru</v>
          </cell>
          <cell r="E674" t="str">
            <v>LG</v>
          </cell>
        </row>
        <row r="675">
          <cell r="A675" t="str">
            <v>LG23362</v>
          </cell>
          <cell r="B675" t="str">
            <v>Leonard Nganda Muendo</v>
          </cell>
          <cell r="E675" t="str">
            <v>LG</v>
          </cell>
        </row>
        <row r="676">
          <cell r="A676" t="str">
            <v>LG12819</v>
          </cell>
          <cell r="B676" t="str">
            <v>Leonard Muasa Kimali</v>
          </cell>
          <cell r="E676" t="str">
            <v>LG</v>
          </cell>
        </row>
        <row r="677">
          <cell r="A677" t="str">
            <v>UB22721</v>
          </cell>
          <cell r="B677" t="str">
            <v>Lencer Orore</v>
          </cell>
          <cell r="E677" t="str">
            <v>UB</v>
          </cell>
        </row>
        <row r="678">
          <cell r="A678" t="str">
            <v>LG22721</v>
          </cell>
          <cell r="B678" t="str">
            <v>Lencer Jill Akinyi Orore</v>
          </cell>
          <cell r="E678" t="str">
            <v>LG</v>
          </cell>
        </row>
        <row r="679">
          <cell r="A679" t="str">
            <v>HISA0014</v>
          </cell>
          <cell r="B679" t="str">
            <v>Leesim Insurance Agency</v>
          </cell>
          <cell r="E679" t="str">
            <v>ALAK</v>
          </cell>
        </row>
        <row r="680">
          <cell r="A680" t="str">
            <v>AB0215Q</v>
          </cell>
          <cell r="B680" t="str">
            <v>Leah Wanjiru Gathi</v>
          </cell>
          <cell r="E680" t="str">
            <v>LG</v>
          </cell>
        </row>
        <row r="681">
          <cell r="A681" t="str">
            <v>AB019FQ</v>
          </cell>
          <cell r="B681" t="str">
            <v>Lazarus Kariuki Kioko</v>
          </cell>
          <cell r="E681" t="str">
            <v>LG</v>
          </cell>
        </row>
        <row r="682">
          <cell r="A682" t="str">
            <v>LG24906</v>
          </cell>
          <cell r="B682" t="str">
            <v>Lawrence  Macharia Mwangi</v>
          </cell>
          <cell r="E682" t="str">
            <v>LG</v>
          </cell>
        </row>
        <row r="683">
          <cell r="A683" t="str">
            <v>LG11398</v>
          </cell>
          <cell r="B683" t="str">
            <v>Lawrence Kombo Ambundo</v>
          </cell>
          <cell r="E683" t="str">
            <v>LG</v>
          </cell>
        </row>
        <row r="684">
          <cell r="A684" t="str">
            <v>AB022LI</v>
          </cell>
          <cell r="B684" t="str">
            <v>Lavendah Mambia</v>
          </cell>
          <cell r="E684" t="str">
            <v>LG</v>
          </cell>
        </row>
        <row r="685">
          <cell r="A685" t="str">
            <v>LG25596</v>
          </cell>
          <cell r="B685" t="str">
            <v>Laurelia Busieka Munyeshi</v>
          </cell>
          <cell r="E685" t="str">
            <v>LG</v>
          </cell>
        </row>
        <row r="686">
          <cell r="A686" t="str">
            <v>LG19680</v>
          </cell>
          <cell r="B686" t="str">
            <v>Laura Mositzi Namungu</v>
          </cell>
          <cell r="E686" t="str">
            <v>LG</v>
          </cell>
        </row>
        <row r="687">
          <cell r="A687" t="str">
            <v>LG16606</v>
          </cell>
          <cell r="B687" t="str">
            <v>Lameck Yugi</v>
          </cell>
          <cell r="E687" t="str">
            <v>LG</v>
          </cell>
        </row>
        <row r="688">
          <cell r="A688" t="str">
            <v>AB025OK</v>
          </cell>
          <cell r="B688" t="str">
            <v>Laban Magambo Mwandaa</v>
          </cell>
          <cell r="E688" t="str">
            <v>LG</v>
          </cell>
        </row>
        <row r="689">
          <cell r="A689" t="str">
            <v>LG24363</v>
          </cell>
          <cell r="B689" t="str">
            <v>Koskey Brenda Cheronoh</v>
          </cell>
          <cell r="E689" t="str">
            <v>LG</v>
          </cell>
        </row>
        <row r="690">
          <cell r="A690" t="str">
            <v>AB020OD</v>
          </cell>
          <cell r="B690" t="str">
            <v>Koome Karani Mugambi</v>
          </cell>
          <cell r="E690" t="str">
            <v>LG</v>
          </cell>
        </row>
        <row r="691">
          <cell r="A691" t="str">
            <v>BB03431</v>
          </cell>
          <cell r="B691" t="str">
            <v>Koome Asenath</v>
          </cell>
          <cell r="E691" t="str">
            <v>UB</v>
          </cell>
        </row>
        <row r="692">
          <cell r="A692" t="str">
            <v>MKL0351</v>
          </cell>
          <cell r="B692" t="str">
            <v>Koigi, Grace Wairimu</v>
          </cell>
          <cell r="E692" t="str">
            <v>ALAK</v>
          </cell>
        </row>
        <row r="693">
          <cell r="A693" t="str">
            <v>MKL0272</v>
          </cell>
          <cell r="B693" t="str">
            <v>Kiruri, Joyce Wambui</v>
          </cell>
          <cell r="E693" t="str">
            <v>ALAK</v>
          </cell>
        </row>
        <row r="694">
          <cell r="A694" t="str">
            <v>LG17019</v>
          </cell>
          <cell r="B694" t="str">
            <v>Kiprono  David</v>
          </cell>
          <cell r="E694" t="str">
            <v>LG</v>
          </cell>
        </row>
        <row r="695">
          <cell r="A695" t="str">
            <v>AB020BG</v>
          </cell>
          <cell r="B695" t="str">
            <v>Kipngetich Koskey</v>
          </cell>
          <cell r="E695" t="str">
            <v>LG</v>
          </cell>
        </row>
        <row r="696">
          <cell r="A696" t="str">
            <v>LG19801</v>
          </cell>
          <cell r="B696" t="str">
            <v>Kipngeno  Cheruiyot</v>
          </cell>
          <cell r="E696" t="str">
            <v>LG</v>
          </cell>
        </row>
        <row r="697">
          <cell r="A697" t="str">
            <v>AB0246D</v>
          </cell>
          <cell r="B697" t="str">
            <v>Kipmutai Korir</v>
          </cell>
          <cell r="E697" t="str">
            <v>LG</v>
          </cell>
        </row>
        <row r="698">
          <cell r="A698" t="str">
            <v>LG20968</v>
          </cell>
          <cell r="B698" t="str">
            <v>Kiplangat  Mutai</v>
          </cell>
          <cell r="E698" t="str">
            <v>LG</v>
          </cell>
        </row>
        <row r="699">
          <cell r="A699" t="str">
            <v>LG22391</v>
          </cell>
          <cell r="B699" t="str">
            <v>Kipkulei Kipkazi Wilfred</v>
          </cell>
          <cell r="E699" t="str">
            <v>LG</v>
          </cell>
        </row>
        <row r="700">
          <cell r="A700" t="str">
            <v>BB20661</v>
          </cell>
          <cell r="B700" t="str">
            <v>Kipkorir  Ronald</v>
          </cell>
          <cell r="E700" t="str">
            <v>UB</v>
          </cell>
        </row>
        <row r="701">
          <cell r="A701" t="str">
            <v>LG18645</v>
          </cell>
          <cell r="B701" t="str">
            <v>Kipkirui  Victor</v>
          </cell>
          <cell r="E701" t="str">
            <v>LG</v>
          </cell>
        </row>
        <row r="702">
          <cell r="A702" t="str">
            <v>MKL0201</v>
          </cell>
          <cell r="B702" t="str">
            <v>Kiarie, Agnes Wanjiku</v>
          </cell>
          <cell r="E702" t="str">
            <v>ALAK</v>
          </cell>
        </row>
        <row r="703">
          <cell r="A703" t="str">
            <v>AB01739</v>
          </cell>
          <cell r="B703" t="str">
            <v>Keziah Oluomi</v>
          </cell>
          <cell r="E703" t="str">
            <v>LG</v>
          </cell>
        </row>
        <row r="704">
          <cell r="A704" t="str">
            <v>AB026P7</v>
          </cell>
          <cell r="B704" t="str">
            <v xml:space="preserve">Keziah Nyakio Kinyua </v>
          </cell>
          <cell r="E704" t="str">
            <v>LG</v>
          </cell>
        </row>
        <row r="705">
          <cell r="A705" t="str">
            <v>AB019H2</v>
          </cell>
          <cell r="B705" t="str">
            <v>Keziah Manga</v>
          </cell>
          <cell r="E705" t="str">
            <v>LG</v>
          </cell>
        </row>
        <row r="706">
          <cell r="A706" t="str">
            <v>ZBRG082</v>
          </cell>
          <cell r="B706" t="str">
            <v>Kevin Waswa</v>
          </cell>
          <cell r="E706" t="str">
            <v>ALAK</v>
          </cell>
        </row>
        <row r="707">
          <cell r="A707" t="str">
            <v>ABKO052</v>
          </cell>
          <cell r="B707" t="str">
            <v>Kevin Oruko Odhiambo</v>
          </cell>
          <cell r="E707" t="str">
            <v>LG</v>
          </cell>
        </row>
        <row r="708">
          <cell r="A708" t="str">
            <v>AB02102</v>
          </cell>
          <cell r="B708" t="str">
            <v>Kevin Oirere</v>
          </cell>
          <cell r="E708" t="str">
            <v>LG</v>
          </cell>
        </row>
        <row r="709">
          <cell r="A709" t="str">
            <v>AB021O2</v>
          </cell>
          <cell r="B709" t="str">
            <v>Kevin Oirere</v>
          </cell>
          <cell r="E709" t="str">
            <v>LG</v>
          </cell>
        </row>
        <row r="710">
          <cell r="A710" t="str">
            <v>LG23300</v>
          </cell>
          <cell r="B710" t="str">
            <v>Kevin Ogugu Ombasa</v>
          </cell>
          <cell r="E710" t="str">
            <v>LG</v>
          </cell>
        </row>
        <row r="711">
          <cell r="A711" t="str">
            <v>LG23529</v>
          </cell>
          <cell r="B711" t="str">
            <v>Kevin Odhiambo</v>
          </cell>
          <cell r="E711" t="str">
            <v>LG</v>
          </cell>
        </row>
        <row r="712">
          <cell r="A712" t="str">
            <v>LG24544</v>
          </cell>
          <cell r="B712" t="str">
            <v>Kevin Mwangi Kagiri</v>
          </cell>
          <cell r="E712" t="str">
            <v>LG</v>
          </cell>
        </row>
        <row r="713">
          <cell r="A713" t="str">
            <v>LG25463</v>
          </cell>
          <cell r="B713" t="str">
            <v xml:space="preserve">Kevin Muga </v>
          </cell>
          <cell r="E713" t="str">
            <v>LG</v>
          </cell>
        </row>
        <row r="714">
          <cell r="A714" t="str">
            <v>13111</v>
          </cell>
          <cell r="B714" t="str">
            <v>Kevin Masinde Mbakaya</v>
          </cell>
          <cell r="E714" t="str">
            <v>ALAK</v>
          </cell>
        </row>
        <row r="715">
          <cell r="A715" t="str">
            <v>LG25052</v>
          </cell>
          <cell r="B715" t="str">
            <v xml:space="preserve">Kevin Makokha Waiswa </v>
          </cell>
          <cell r="E715" t="str">
            <v>LG</v>
          </cell>
        </row>
        <row r="716">
          <cell r="A716" t="str">
            <v>BB25147</v>
          </cell>
          <cell r="B716" t="str">
            <v>KEVIN</v>
          </cell>
          <cell r="E716" t="str">
            <v>RM</v>
          </cell>
        </row>
        <row r="717">
          <cell r="A717" t="str">
            <v>LG25053</v>
          </cell>
          <cell r="B717" t="str">
            <v xml:space="preserve">Kerine Akoth Ayiemba </v>
          </cell>
          <cell r="E717" t="str">
            <v>LG</v>
          </cell>
        </row>
        <row r="718">
          <cell r="A718" t="str">
            <v>LG11497</v>
          </cell>
          <cell r="B718" t="str">
            <v>Kentis Nafula Khisa</v>
          </cell>
          <cell r="E718" t="str">
            <v>LG</v>
          </cell>
        </row>
        <row r="719">
          <cell r="A719" t="str">
            <v>HISA0007</v>
          </cell>
          <cell r="B719" t="str">
            <v xml:space="preserve">KENTAB INSURANCE AGENCY </v>
          </cell>
          <cell r="E719" t="str">
            <v>ALAK</v>
          </cell>
        </row>
        <row r="720">
          <cell r="A720" t="str">
            <v>LG21449</v>
          </cell>
          <cell r="B720" t="str">
            <v>Kenneth WILLIES Barasa</v>
          </cell>
          <cell r="E720" t="str">
            <v>LG</v>
          </cell>
        </row>
        <row r="721">
          <cell r="A721" t="str">
            <v>LG23109</v>
          </cell>
          <cell r="B721" t="str">
            <v>Kenneth Njoroge Gichinga</v>
          </cell>
          <cell r="E721" t="str">
            <v>LG</v>
          </cell>
        </row>
        <row r="722">
          <cell r="A722" t="str">
            <v>LG22291</v>
          </cell>
          <cell r="B722" t="str">
            <v>Kenneth Kamau Mwangi</v>
          </cell>
          <cell r="E722" t="str">
            <v>LG</v>
          </cell>
        </row>
        <row r="723">
          <cell r="A723" t="str">
            <v>LG22393</v>
          </cell>
          <cell r="B723" t="str">
            <v>Kenneth Gitonga Mwongera</v>
          </cell>
          <cell r="E723" t="str">
            <v>LG</v>
          </cell>
        </row>
        <row r="724">
          <cell r="A724" t="str">
            <v>AB01557</v>
          </cell>
          <cell r="B724" t="str">
            <v>Kenneth Ayoro</v>
          </cell>
          <cell r="E724" t="str">
            <v>LG</v>
          </cell>
        </row>
        <row r="725">
          <cell r="A725" t="str">
            <v>LG24563</v>
          </cell>
          <cell r="B725" t="str">
            <v>Kennedy Zacharia Nyaribo</v>
          </cell>
          <cell r="E725" t="str">
            <v>LG</v>
          </cell>
        </row>
        <row r="726">
          <cell r="A726" t="str">
            <v>BB15370</v>
          </cell>
          <cell r="B726" t="str">
            <v>Kennedy Yotto</v>
          </cell>
          <cell r="E726" t="str">
            <v>LG</v>
          </cell>
        </row>
        <row r="727">
          <cell r="A727" t="str">
            <v>LG15370</v>
          </cell>
          <cell r="B727" t="str">
            <v>Kennedy Ouma Yotto</v>
          </cell>
          <cell r="E727" t="str">
            <v>LG</v>
          </cell>
        </row>
        <row r="728">
          <cell r="A728" t="str">
            <v>LGAB006D6</v>
          </cell>
          <cell r="B728" t="str">
            <v>Kennedy Otieno</v>
          </cell>
          <cell r="E728" t="str">
            <v>LG</v>
          </cell>
        </row>
        <row r="729">
          <cell r="A729" t="str">
            <v>LG19384</v>
          </cell>
          <cell r="B729" t="str">
            <v>Kennedy Onyango Wire</v>
          </cell>
          <cell r="E729" t="str">
            <v>LG</v>
          </cell>
        </row>
        <row r="730">
          <cell r="A730" t="str">
            <v>LG20064</v>
          </cell>
          <cell r="B730" t="str">
            <v>Kennedy Onyango Nandiri</v>
          </cell>
          <cell r="E730" t="str">
            <v>LG</v>
          </cell>
        </row>
        <row r="731">
          <cell r="A731" t="str">
            <v>AB018EA</v>
          </cell>
          <cell r="B731" t="str">
            <v>Kennedy Omondi Owuor</v>
          </cell>
          <cell r="E731" t="str">
            <v>LG</v>
          </cell>
        </row>
        <row r="732">
          <cell r="A732" t="str">
            <v>LG06661</v>
          </cell>
          <cell r="B732" t="str">
            <v>Kennedy Odiwuor Kakumu</v>
          </cell>
          <cell r="E732" t="str">
            <v>LG</v>
          </cell>
        </row>
        <row r="733">
          <cell r="A733" t="str">
            <v>BB15442</v>
          </cell>
          <cell r="B733" t="str">
            <v xml:space="preserve">Kennedy Ngetich </v>
          </cell>
          <cell r="E733" t="str">
            <v>RM</v>
          </cell>
        </row>
        <row r="734">
          <cell r="A734" t="str">
            <v>LG25462</v>
          </cell>
          <cell r="B734" t="str">
            <v>Kennedy Ndung'u Koine</v>
          </cell>
          <cell r="E734" t="str">
            <v>LG</v>
          </cell>
        </row>
        <row r="735">
          <cell r="A735" t="str">
            <v>LG15371</v>
          </cell>
          <cell r="B735" t="str">
            <v>Kennedy Kung`U Wanjiku</v>
          </cell>
          <cell r="E735" t="str">
            <v>LG</v>
          </cell>
        </row>
        <row r="736">
          <cell r="A736" t="str">
            <v>AB019RU</v>
          </cell>
          <cell r="B736" t="str">
            <v>Kennedy Irungu</v>
          </cell>
          <cell r="E736" t="str">
            <v>UB</v>
          </cell>
        </row>
        <row r="737">
          <cell r="A737" t="str">
            <v>LG18761</v>
          </cell>
          <cell r="B737" t="str">
            <v>Kennedy Adolwa Chayuga</v>
          </cell>
          <cell r="E737" t="str">
            <v>LG</v>
          </cell>
        </row>
        <row r="738">
          <cell r="A738" t="str">
            <v>LG17750</v>
          </cell>
          <cell r="B738" t="str">
            <v>Kennedy  Wasike</v>
          </cell>
          <cell r="E738" t="str">
            <v>LG</v>
          </cell>
        </row>
        <row r="739">
          <cell r="A739" t="str">
            <v>BB15371</v>
          </cell>
          <cell r="B739" t="str">
            <v>Ken Kungu</v>
          </cell>
          <cell r="E739" t="str">
            <v>UB</v>
          </cell>
        </row>
        <row r="740">
          <cell r="A740" t="str">
            <v>AB017VU</v>
          </cell>
          <cell r="B740" t="str">
            <v>Kelvin Wamui</v>
          </cell>
          <cell r="E740" t="str">
            <v>LG</v>
          </cell>
        </row>
        <row r="741">
          <cell r="A741" t="str">
            <v>AB025HA</v>
          </cell>
          <cell r="B741" t="str">
            <v>Kelvin Wambua</v>
          </cell>
          <cell r="E741" t="str">
            <v>LG</v>
          </cell>
        </row>
        <row r="742">
          <cell r="A742" t="str">
            <v>LG25257</v>
          </cell>
          <cell r="B742" t="str">
            <v>Kelvin Mureti Kaburu</v>
          </cell>
          <cell r="E742" t="str">
            <v>LG</v>
          </cell>
        </row>
        <row r="743">
          <cell r="A743" t="str">
            <v>LG24919</v>
          </cell>
          <cell r="B743" t="str">
            <v>Kelvin Kubai</v>
          </cell>
          <cell r="E743" t="str">
            <v>LG</v>
          </cell>
        </row>
        <row r="744">
          <cell r="A744" t="str">
            <v>AB011N6</v>
          </cell>
          <cell r="B744" t="str">
            <v>Kelvin Kimutai</v>
          </cell>
          <cell r="E744" t="str">
            <v>LG</v>
          </cell>
        </row>
        <row r="745">
          <cell r="A745" t="str">
            <v>AB017VB</v>
          </cell>
          <cell r="B745" t="str">
            <v>Kelvin Kimanthi Mutoko</v>
          </cell>
          <cell r="E745" t="str">
            <v>LG</v>
          </cell>
        </row>
        <row r="746">
          <cell r="A746" t="str">
            <v>AB019UV</v>
          </cell>
          <cell r="B746" t="str">
            <v>Kelvin Alwala</v>
          </cell>
          <cell r="E746" t="str">
            <v>LG</v>
          </cell>
        </row>
        <row r="747">
          <cell r="A747" t="str">
            <v>LG24948</v>
          </cell>
          <cell r="B747" t="str">
            <v xml:space="preserve">Kegan Okello Omulo </v>
          </cell>
          <cell r="E747" t="str">
            <v>LG</v>
          </cell>
        </row>
        <row r="748">
          <cell r="A748" t="str">
            <v>MKL0609</v>
          </cell>
          <cell r="B748" t="str">
            <v>Kabutu, Basilio Nyamu</v>
          </cell>
          <cell r="E748" t="str">
            <v>ALAK</v>
          </cell>
        </row>
        <row r="749">
          <cell r="A749" t="str">
            <v>LG21711</v>
          </cell>
          <cell r="B749" t="str">
            <v>Justus Nockrose Onyango</v>
          </cell>
          <cell r="E749" t="str">
            <v>LG</v>
          </cell>
        </row>
        <row r="750">
          <cell r="A750" t="str">
            <v>LG24269</v>
          </cell>
          <cell r="B750" t="str">
            <v xml:space="preserve">Justin Okemwa  </v>
          </cell>
          <cell r="E750" t="str">
            <v>LG</v>
          </cell>
        </row>
        <row r="751">
          <cell r="A751" t="str">
            <v>LG25050</v>
          </cell>
          <cell r="B751" t="str">
            <v>JUSTA NDUBA MBAABU</v>
          </cell>
          <cell r="E751" t="str">
            <v>LG</v>
          </cell>
        </row>
        <row r="752">
          <cell r="A752" t="str">
            <v>LG19773</v>
          </cell>
          <cell r="B752" t="str">
            <v>June Kedego Lihanda</v>
          </cell>
          <cell r="E752" t="str">
            <v>LG</v>
          </cell>
        </row>
        <row r="753">
          <cell r="A753" t="str">
            <v>LG21890</v>
          </cell>
          <cell r="B753" t="str">
            <v>June  Kiptoo</v>
          </cell>
          <cell r="E753" t="str">
            <v>LG</v>
          </cell>
        </row>
        <row r="754">
          <cell r="A754" t="str">
            <v>BB13454</v>
          </cell>
          <cell r="B754" t="str">
            <v>Jumapili  Lenkewa</v>
          </cell>
          <cell r="E754" t="str">
            <v>UB</v>
          </cell>
        </row>
        <row r="755">
          <cell r="A755" t="str">
            <v>ABJMABO</v>
          </cell>
          <cell r="B755" t="str">
            <v>Julius Mugane</v>
          </cell>
          <cell r="E755" t="str">
            <v>ALAK</v>
          </cell>
        </row>
        <row r="756">
          <cell r="A756" t="str">
            <v>BB06034</v>
          </cell>
          <cell r="B756" t="str">
            <v>Juliet Ndila Matheka</v>
          </cell>
          <cell r="E756" t="str">
            <v>UB</v>
          </cell>
        </row>
        <row r="757">
          <cell r="A757" t="str">
            <v>AB0250R</v>
          </cell>
          <cell r="B757" t="str">
            <v>Juliet Momanyi</v>
          </cell>
          <cell r="E757" t="str">
            <v>LG</v>
          </cell>
        </row>
        <row r="758">
          <cell r="A758" t="str">
            <v>AB025OR</v>
          </cell>
          <cell r="B758" t="str">
            <v>Juliet Kemunto Momanyi</v>
          </cell>
          <cell r="E758" t="str">
            <v>LG</v>
          </cell>
        </row>
        <row r="759">
          <cell r="A759" t="str">
            <v>LG24407</v>
          </cell>
          <cell r="B759" t="str">
            <v>Juliet Atieno Odongo</v>
          </cell>
          <cell r="E759" t="str">
            <v>LG</v>
          </cell>
        </row>
        <row r="760">
          <cell r="A760" t="str">
            <v>AB025HE</v>
          </cell>
          <cell r="B760" t="str">
            <v>Juliana Wavinya Mutua</v>
          </cell>
          <cell r="E760" t="str">
            <v>UB</v>
          </cell>
        </row>
        <row r="761">
          <cell r="A761" t="str">
            <v>LG24360</v>
          </cell>
          <cell r="B761" t="str">
            <v>Julia Waithera Mburu</v>
          </cell>
          <cell r="E761" t="str">
            <v>LG</v>
          </cell>
        </row>
        <row r="762">
          <cell r="A762" t="str">
            <v>SM24341</v>
          </cell>
          <cell r="B762" t="str">
            <v>Julia Marenya</v>
          </cell>
          <cell r="E762" t="str">
            <v>LG</v>
          </cell>
        </row>
        <row r="763">
          <cell r="A763" t="str">
            <v>HISA0011</v>
          </cell>
          <cell r="B763" t="str">
            <v>Julia Kamau</v>
          </cell>
          <cell r="E763" t="str">
            <v>ALAK</v>
          </cell>
        </row>
        <row r="764">
          <cell r="A764" t="str">
            <v>LG24401</v>
          </cell>
          <cell r="B764" t="str">
            <v>Julia Edna Wanjira Gichuki</v>
          </cell>
          <cell r="E764" t="str">
            <v>LG</v>
          </cell>
        </row>
        <row r="765">
          <cell r="A765" t="str">
            <v>AB011JT</v>
          </cell>
          <cell r="B765" t="str">
            <v>Judy Sambai</v>
          </cell>
          <cell r="E765" t="str">
            <v>LG</v>
          </cell>
        </row>
        <row r="766">
          <cell r="A766" t="str">
            <v>LG23238</v>
          </cell>
          <cell r="B766" t="str">
            <v>Judy Ngami Francis</v>
          </cell>
          <cell r="E766" t="str">
            <v>LG</v>
          </cell>
        </row>
        <row r="767">
          <cell r="A767" t="str">
            <v>13057</v>
          </cell>
          <cell r="B767" t="str">
            <v>Judy Mumbe Berita</v>
          </cell>
          <cell r="E767" t="str">
            <v>ALAK</v>
          </cell>
        </row>
        <row r="768">
          <cell r="A768" t="str">
            <v>AB023WC</v>
          </cell>
          <cell r="B768" t="str">
            <v>Judy Mugo</v>
          </cell>
          <cell r="E768" t="str">
            <v>LG</v>
          </cell>
        </row>
        <row r="769">
          <cell r="A769" t="str">
            <v>AB022VO</v>
          </cell>
          <cell r="B769" t="str">
            <v>Judy Kipchumba</v>
          </cell>
          <cell r="E769" t="str">
            <v>LG</v>
          </cell>
        </row>
        <row r="770">
          <cell r="A770" t="str">
            <v>AB022V0</v>
          </cell>
          <cell r="B770" t="str">
            <v>Judy Jerono Kipchumba</v>
          </cell>
          <cell r="E770" t="str">
            <v>LG</v>
          </cell>
        </row>
        <row r="771">
          <cell r="A771" t="str">
            <v>AB019V2</v>
          </cell>
          <cell r="B771" t="str">
            <v>Judy Arama</v>
          </cell>
          <cell r="E771" t="str">
            <v>LG</v>
          </cell>
        </row>
        <row r="772">
          <cell r="A772" t="str">
            <v>BB09553</v>
          </cell>
          <cell r="B772" t="str">
            <v>Judith Nyathira Njogu</v>
          </cell>
          <cell r="E772" t="str">
            <v>UB</v>
          </cell>
        </row>
        <row r="773">
          <cell r="A773" t="str">
            <v>LG18862</v>
          </cell>
          <cell r="B773" t="str">
            <v>Judith Chebet Langat</v>
          </cell>
          <cell r="E773" t="str">
            <v>LG</v>
          </cell>
        </row>
        <row r="774">
          <cell r="A774" t="str">
            <v>LG12701</v>
          </cell>
          <cell r="B774" t="str">
            <v>Judith Atieno Otieno</v>
          </cell>
          <cell r="E774" t="str">
            <v>LG</v>
          </cell>
        </row>
        <row r="775">
          <cell r="A775" t="str">
            <v>LG23551</v>
          </cell>
          <cell r="B775" t="str">
            <v>Judith  Chepkoech</v>
          </cell>
          <cell r="E775" t="str">
            <v>LG</v>
          </cell>
        </row>
        <row r="776">
          <cell r="A776" t="str">
            <v>AB019VX</v>
          </cell>
          <cell r="B776" t="str">
            <v>Juddy Gathoni Kiboi</v>
          </cell>
          <cell r="E776" t="str">
            <v>LG</v>
          </cell>
        </row>
        <row r="777">
          <cell r="A777" t="str">
            <v>HISA0004</v>
          </cell>
          <cell r="B777" t="str">
            <v>JOYCE WANGUI NGANGA</v>
          </cell>
          <cell r="E777" t="str">
            <v>ALAK</v>
          </cell>
        </row>
        <row r="778">
          <cell r="A778" t="str">
            <v>LG24557</v>
          </cell>
          <cell r="B778" t="str">
            <v>Joyce Wambui Kabugua</v>
          </cell>
          <cell r="E778" t="str">
            <v>LG</v>
          </cell>
        </row>
        <row r="779">
          <cell r="A779" t="str">
            <v>AB027FR</v>
          </cell>
          <cell r="B779" t="str">
            <v>Joyce Otieno</v>
          </cell>
          <cell r="E779" t="str">
            <v>UB</v>
          </cell>
        </row>
        <row r="780">
          <cell r="A780" t="str">
            <v>LG24761</v>
          </cell>
          <cell r="B780" t="str">
            <v>Joyce Nyakio thairu</v>
          </cell>
          <cell r="E780" t="str">
            <v>LG</v>
          </cell>
        </row>
        <row r="781">
          <cell r="A781" t="str">
            <v>AB019L0</v>
          </cell>
          <cell r="B781" t="str">
            <v>Joyce Mercy Onyango</v>
          </cell>
          <cell r="E781" t="str">
            <v>UB</v>
          </cell>
        </row>
        <row r="782">
          <cell r="A782" t="str">
            <v>HISA0010</v>
          </cell>
          <cell r="B782" t="str">
            <v>Joyce Kamau</v>
          </cell>
          <cell r="E782" t="str">
            <v>ALAK</v>
          </cell>
        </row>
        <row r="783">
          <cell r="A783" t="str">
            <v>LG20055</v>
          </cell>
          <cell r="B783" t="str">
            <v>Joyce Kabura Otieno</v>
          </cell>
          <cell r="E783" t="str">
            <v>LG</v>
          </cell>
        </row>
        <row r="784">
          <cell r="A784" t="str">
            <v>AB015MA</v>
          </cell>
          <cell r="B784" t="str">
            <v xml:space="preserve">Joy Wamboi Munge </v>
          </cell>
          <cell r="E784" t="str">
            <v>LG</v>
          </cell>
        </row>
        <row r="785">
          <cell r="A785" t="str">
            <v>AB0154W</v>
          </cell>
          <cell r="B785" t="str">
            <v>Joy Miya</v>
          </cell>
          <cell r="E785" t="str">
            <v>LG</v>
          </cell>
        </row>
        <row r="786">
          <cell r="A786" t="str">
            <v>LG23416</v>
          </cell>
          <cell r="B786" t="str">
            <v>Joy Chepkorir Koech</v>
          </cell>
          <cell r="E786" t="str">
            <v>LG</v>
          </cell>
        </row>
        <row r="787">
          <cell r="A787" t="str">
            <v>AB019IG</v>
          </cell>
          <cell r="B787" t="str">
            <v>Josphat Theuri</v>
          </cell>
          <cell r="E787" t="str">
            <v>UB</v>
          </cell>
        </row>
        <row r="788">
          <cell r="A788" t="str">
            <v>LG21126</v>
          </cell>
          <cell r="B788" t="str">
            <v>Josphat NGURE Wairimu</v>
          </cell>
          <cell r="E788" t="str">
            <v>LG</v>
          </cell>
        </row>
        <row r="789">
          <cell r="A789" t="str">
            <v>BB17013</v>
          </cell>
          <cell r="B789" t="str">
            <v>Josphat Mutwiri</v>
          </cell>
          <cell r="E789" t="str">
            <v>UB</v>
          </cell>
        </row>
        <row r="790">
          <cell r="A790" t="str">
            <v>LG17013</v>
          </cell>
          <cell r="B790" t="str">
            <v>Josphat Muriungi Mutwiri</v>
          </cell>
          <cell r="E790" t="str">
            <v>LG</v>
          </cell>
        </row>
        <row r="791">
          <cell r="A791" t="str">
            <v>ZBRG081</v>
          </cell>
          <cell r="B791" t="str">
            <v>Josiah Kihono</v>
          </cell>
          <cell r="E791" t="str">
            <v>ALAK</v>
          </cell>
        </row>
        <row r="792">
          <cell r="A792" t="str">
            <v>LG205891</v>
          </cell>
          <cell r="B792" t="str">
            <v>Joshua Riandi</v>
          </cell>
          <cell r="E792" t="str">
            <v>LG</v>
          </cell>
        </row>
        <row r="793">
          <cell r="A793" t="str">
            <v>AB0154R</v>
          </cell>
          <cell r="B793" t="str">
            <v>Joshua Owidi</v>
          </cell>
          <cell r="E793" t="str">
            <v>LG</v>
          </cell>
        </row>
        <row r="794">
          <cell r="A794" t="str">
            <v>LG15404</v>
          </cell>
          <cell r="B794" t="str">
            <v>Joshua Maluti Kilei</v>
          </cell>
          <cell r="E794" t="str">
            <v>LG</v>
          </cell>
        </row>
        <row r="795">
          <cell r="A795" t="str">
            <v>BB10852</v>
          </cell>
          <cell r="B795" t="str">
            <v>Joshua Maiyo</v>
          </cell>
          <cell r="E795" t="str">
            <v>UB</v>
          </cell>
        </row>
        <row r="796">
          <cell r="A796" t="str">
            <v>AB019I2</v>
          </cell>
          <cell r="B796" t="str">
            <v>Joshua Kiendi Mutua</v>
          </cell>
          <cell r="E796" t="str">
            <v>LG</v>
          </cell>
        </row>
        <row r="797">
          <cell r="A797" t="str">
            <v>LG23192</v>
          </cell>
          <cell r="B797" t="str">
            <v>Joshua Kiendi Mutua</v>
          </cell>
          <cell r="E797" t="str">
            <v>LG</v>
          </cell>
        </row>
        <row r="798">
          <cell r="A798" t="str">
            <v>AB0297P</v>
          </cell>
          <cell r="B798" t="str">
            <v>Joshua Kerema</v>
          </cell>
          <cell r="E798" t="str">
            <v>UB</v>
          </cell>
        </row>
        <row r="799">
          <cell r="A799" t="str">
            <v>LG20589</v>
          </cell>
          <cell r="B799" t="str">
            <v>Joshua  Riandi</v>
          </cell>
          <cell r="E799" t="str">
            <v>LG</v>
          </cell>
        </row>
        <row r="800">
          <cell r="A800" t="str">
            <v>LG24337</v>
          </cell>
          <cell r="B800" t="str">
            <v>Josephine Mbula</v>
          </cell>
          <cell r="E800" t="str">
            <v>LG</v>
          </cell>
        </row>
        <row r="801">
          <cell r="A801" t="str">
            <v>LG22273</v>
          </cell>
          <cell r="B801" t="str">
            <v>Josephine Kilonzo</v>
          </cell>
          <cell r="E801" t="str">
            <v>LG</v>
          </cell>
        </row>
        <row r="802">
          <cell r="A802" t="str">
            <v>LG22166</v>
          </cell>
          <cell r="B802" t="str">
            <v>JOSEPHINE KATHURI</v>
          </cell>
          <cell r="E802" t="str">
            <v>LG</v>
          </cell>
        </row>
        <row r="803">
          <cell r="A803" t="str">
            <v>LG15780</v>
          </cell>
          <cell r="B803" t="str">
            <v>Josephine Atieno Odhiambo</v>
          </cell>
          <cell r="E803" t="str">
            <v>LG</v>
          </cell>
        </row>
        <row r="804">
          <cell r="A804" t="str">
            <v>ABJK643</v>
          </cell>
          <cell r="B804" t="str">
            <v>Josephine  Kilonzo</v>
          </cell>
          <cell r="E804" t="str">
            <v>LG</v>
          </cell>
        </row>
        <row r="805">
          <cell r="A805" t="str">
            <v>BB11107</v>
          </cell>
          <cell r="B805" t="str">
            <v>Josephat Musyoka Mwau</v>
          </cell>
          <cell r="E805" t="str">
            <v>UB</v>
          </cell>
        </row>
        <row r="806">
          <cell r="A806" t="str">
            <v>LG24322</v>
          </cell>
          <cell r="B806" t="str">
            <v xml:space="preserve">Joseph Wamutira </v>
          </cell>
          <cell r="E806" t="str">
            <v>LG</v>
          </cell>
        </row>
        <row r="807">
          <cell r="A807" t="str">
            <v>LG18302</v>
          </cell>
          <cell r="B807" t="str">
            <v>Joseph Wambugu Njeri</v>
          </cell>
          <cell r="E807" t="str">
            <v>LG</v>
          </cell>
        </row>
        <row r="808">
          <cell r="A808" t="str">
            <v>LG24611</v>
          </cell>
          <cell r="B808" t="str">
            <v>Joseph Odari Mahenwe</v>
          </cell>
          <cell r="E808" t="str">
            <v>LG</v>
          </cell>
        </row>
        <row r="809">
          <cell r="A809" t="str">
            <v>BB07547</v>
          </cell>
          <cell r="B809" t="str">
            <v>Joseph Ngugi Muthee</v>
          </cell>
          <cell r="E809" t="str">
            <v>RM</v>
          </cell>
        </row>
        <row r="810">
          <cell r="A810" t="str">
            <v>BB20651</v>
          </cell>
          <cell r="B810" t="str">
            <v>Joseph Mwangi Watoro</v>
          </cell>
          <cell r="E810" t="str">
            <v>UB</v>
          </cell>
        </row>
        <row r="811">
          <cell r="A811" t="str">
            <v>AB011GR</v>
          </cell>
          <cell r="B811" t="str">
            <v>Joseph Mwangi</v>
          </cell>
          <cell r="E811" t="str">
            <v>LG</v>
          </cell>
        </row>
        <row r="812">
          <cell r="A812" t="str">
            <v>LG06025</v>
          </cell>
          <cell r="B812" t="str">
            <v>Joseph Munyao Kitala</v>
          </cell>
          <cell r="E812" t="str">
            <v>LG</v>
          </cell>
        </row>
        <row r="813">
          <cell r="A813" t="str">
            <v>LG12969</v>
          </cell>
          <cell r="B813" t="str">
            <v>Joseph Mugambi Japhet</v>
          </cell>
          <cell r="E813" t="str">
            <v>LG</v>
          </cell>
        </row>
        <row r="814">
          <cell r="A814" t="str">
            <v>LG21485</v>
          </cell>
          <cell r="B814" t="str">
            <v>Joseph Mbondo Nzula</v>
          </cell>
          <cell r="E814" t="str">
            <v>LG</v>
          </cell>
        </row>
        <row r="815">
          <cell r="A815" t="str">
            <v>AB0154S</v>
          </cell>
          <cell r="B815" t="str">
            <v>Joseph Mbithi</v>
          </cell>
          <cell r="E815" t="str">
            <v>LG</v>
          </cell>
        </row>
        <row r="816">
          <cell r="A816" t="str">
            <v>BB16863</v>
          </cell>
          <cell r="B816" t="str">
            <v>Joseph Macharia</v>
          </cell>
          <cell r="E816" t="str">
            <v>UB</v>
          </cell>
        </row>
        <row r="817">
          <cell r="A817" t="str">
            <v>LG16923</v>
          </cell>
          <cell r="B817" t="str">
            <v>Joseph Kimetu Ngila</v>
          </cell>
          <cell r="E817" t="str">
            <v>LG</v>
          </cell>
        </row>
        <row r="818">
          <cell r="A818" t="str">
            <v>AB0111GR</v>
          </cell>
          <cell r="B818" t="str">
            <v>Joseph Kiberu Mwangi</v>
          </cell>
          <cell r="E818" t="str">
            <v>LG</v>
          </cell>
        </row>
        <row r="819">
          <cell r="A819" t="str">
            <v>LG24266</v>
          </cell>
          <cell r="B819" t="str">
            <v>Joseph Kamau Kairu</v>
          </cell>
          <cell r="E819" t="str">
            <v>LG</v>
          </cell>
        </row>
        <row r="820">
          <cell r="A820" t="str">
            <v>SP3212001</v>
          </cell>
          <cell r="B820" t="str">
            <v xml:space="preserve">Joseph Kairu </v>
          </cell>
          <cell r="E820" t="str">
            <v>ALAK</v>
          </cell>
        </row>
        <row r="821">
          <cell r="A821" t="str">
            <v>ABJK798</v>
          </cell>
          <cell r="B821" t="str">
            <v xml:space="preserve">Joseph Kairu </v>
          </cell>
          <cell r="E821" t="str">
            <v>ALAK</v>
          </cell>
        </row>
        <row r="822">
          <cell r="A822" t="str">
            <v>ABJK798</v>
          </cell>
          <cell r="B822" t="str">
            <v>Joseph Kairu</v>
          </cell>
          <cell r="E822" t="str">
            <v>ALAK</v>
          </cell>
        </row>
        <row r="823">
          <cell r="A823" t="str">
            <v>LG16863</v>
          </cell>
          <cell r="B823" t="str">
            <v>Joseph Gatoto Macharia</v>
          </cell>
          <cell r="E823" t="str">
            <v>LG</v>
          </cell>
        </row>
        <row r="824">
          <cell r="A824" t="str">
            <v>LG23077</v>
          </cell>
          <cell r="B824" t="str">
            <v>Joram Macharia Irungu</v>
          </cell>
          <cell r="E824" t="str">
            <v>LG</v>
          </cell>
        </row>
        <row r="825">
          <cell r="A825" t="str">
            <v>LG10602</v>
          </cell>
          <cell r="B825" t="str">
            <v>Jonathan Parsinante Naisho</v>
          </cell>
          <cell r="E825" t="str">
            <v>LG</v>
          </cell>
        </row>
        <row r="826">
          <cell r="A826" t="str">
            <v>LG16258</v>
          </cell>
          <cell r="B826" t="str">
            <v>Jonathan Birya Kopia</v>
          </cell>
          <cell r="E826" t="str">
            <v>LG</v>
          </cell>
        </row>
        <row r="827">
          <cell r="A827" t="str">
            <v>LG25048</v>
          </cell>
          <cell r="B827" t="str">
            <v>Jonah Mutua Philip</v>
          </cell>
          <cell r="E827" t="str">
            <v>LG</v>
          </cell>
        </row>
        <row r="828">
          <cell r="A828" t="str">
            <v>AB021KN</v>
          </cell>
          <cell r="B828" t="str">
            <v>Johnstone Makio</v>
          </cell>
          <cell r="E828" t="str">
            <v>LG</v>
          </cell>
        </row>
        <row r="829">
          <cell r="A829" t="str">
            <v>AB019HU</v>
          </cell>
          <cell r="B829" t="str">
            <v>Johnson Kanene</v>
          </cell>
          <cell r="E829" t="str">
            <v>LG</v>
          </cell>
        </row>
        <row r="830">
          <cell r="A830" t="str">
            <v>BB11962</v>
          </cell>
          <cell r="B830" t="str">
            <v>Johnpaul Mulongo Lukorito</v>
          </cell>
          <cell r="E830" t="str">
            <v>UB</v>
          </cell>
        </row>
        <row r="831">
          <cell r="A831" t="str">
            <v>HISA0003</v>
          </cell>
          <cell r="B831" t="str">
            <v>JOHN WANJAGI GICHANGA</v>
          </cell>
          <cell r="E831" t="str">
            <v>ALAK</v>
          </cell>
        </row>
        <row r="832">
          <cell r="A832" t="str">
            <v>AB020B8</v>
          </cell>
          <cell r="B832" t="str">
            <v>John Obuya</v>
          </cell>
          <cell r="E832" t="str">
            <v>RM</v>
          </cell>
        </row>
        <row r="833">
          <cell r="A833" t="str">
            <v>BB14948</v>
          </cell>
          <cell r="B833" t="str">
            <v>John Nzau Mulee</v>
          </cell>
          <cell r="E833" t="str">
            <v>UB</v>
          </cell>
        </row>
        <row r="834">
          <cell r="A834" t="str">
            <v>BB13104</v>
          </cell>
          <cell r="B834" t="str">
            <v xml:space="preserve">John Mwangi </v>
          </cell>
          <cell r="E834" t="str">
            <v>LG</v>
          </cell>
        </row>
        <row r="835">
          <cell r="A835" t="str">
            <v>AB022G8</v>
          </cell>
          <cell r="B835" t="str">
            <v>John Murumba</v>
          </cell>
          <cell r="E835" t="str">
            <v>LG</v>
          </cell>
        </row>
        <row r="836">
          <cell r="A836" t="str">
            <v>AB026BA</v>
          </cell>
          <cell r="B836" t="str">
            <v>John Muregi Kamau</v>
          </cell>
          <cell r="E836" t="str">
            <v>UB</v>
          </cell>
        </row>
        <row r="837">
          <cell r="A837" t="str">
            <v>LG22825</v>
          </cell>
          <cell r="B837" t="str">
            <v>John Mumo Mwetu</v>
          </cell>
          <cell r="E837" t="str">
            <v>LG</v>
          </cell>
        </row>
        <row r="838">
          <cell r="A838" t="str">
            <v>AB029OY</v>
          </cell>
          <cell r="B838" t="str">
            <v>John Mbithe</v>
          </cell>
          <cell r="E838" t="str">
            <v>LG</v>
          </cell>
        </row>
        <row r="839">
          <cell r="A839" t="str">
            <v>LG24530</v>
          </cell>
          <cell r="B839" t="str">
            <v>John Kyalo Mwangangi</v>
          </cell>
          <cell r="E839" t="str">
            <v>LG</v>
          </cell>
        </row>
        <row r="840">
          <cell r="A840" t="str">
            <v>AB020BH</v>
          </cell>
          <cell r="B840" t="str">
            <v>John Gitundu</v>
          </cell>
          <cell r="E840" t="str">
            <v>LG</v>
          </cell>
        </row>
        <row r="841">
          <cell r="A841" t="str">
            <v>LG18631</v>
          </cell>
          <cell r="B841" t="str">
            <v>John Gitau Mwangi</v>
          </cell>
          <cell r="E841" t="str">
            <v>LG</v>
          </cell>
        </row>
        <row r="842">
          <cell r="A842" t="str">
            <v>LG22297</v>
          </cell>
          <cell r="B842" t="str">
            <v>John Chege Mwangi</v>
          </cell>
          <cell r="E842" t="str">
            <v>LG</v>
          </cell>
        </row>
        <row r="843">
          <cell r="A843" t="str">
            <v>LG25091</v>
          </cell>
          <cell r="B843" t="str">
            <v xml:space="preserve">John Akinyi Angeline </v>
          </cell>
          <cell r="E843" t="str">
            <v>LG</v>
          </cell>
        </row>
        <row r="844">
          <cell r="A844" t="str">
            <v>LG21853</v>
          </cell>
          <cell r="B844" t="str">
            <v>John  Owino</v>
          </cell>
          <cell r="E844" t="str">
            <v>LG</v>
          </cell>
        </row>
        <row r="845">
          <cell r="A845" t="str">
            <v>BB21346</v>
          </cell>
          <cell r="B845" t="str">
            <v>John  Mutua</v>
          </cell>
          <cell r="E845" t="str">
            <v>UB</v>
          </cell>
        </row>
        <row r="846">
          <cell r="A846" t="str">
            <v>LG22392</v>
          </cell>
          <cell r="B846" t="str">
            <v>Johana Njagi Nyaga</v>
          </cell>
          <cell r="E846" t="str">
            <v>LG</v>
          </cell>
        </row>
        <row r="847">
          <cell r="A847" t="str">
            <v>BB06820</v>
          </cell>
          <cell r="B847" t="str">
            <v>Joel Willis Onyango</v>
          </cell>
          <cell r="E847" t="str">
            <v>RM</v>
          </cell>
        </row>
        <row r="848">
          <cell r="A848" t="str">
            <v>AB019HM</v>
          </cell>
          <cell r="B848" t="str">
            <v>Joel Mutweko</v>
          </cell>
          <cell r="E848" t="str">
            <v>LG</v>
          </cell>
        </row>
        <row r="849">
          <cell r="A849" t="str">
            <v>BB25126</v>
          </cell>
          <cell r="B849" t="str">
            <v xml:space="preserve">Joel Kipkoech Korir </v>
          </cell>
          <cell r="E849" t="str">
            <v>RM</v>
          </cell>
        </row>
        <row r="850">
          <cell r="A850" t="str">
            <v>AB024OW</v>
          </cell>
          <cell r="B850" t="str">
            <v>Joel Bundi Ongeta</v>
          </cell>
          <cell r="E850" t="str">
            <v>LG</v>
          </cell>
        </row>
        <row r="851">
          <cell r="A851" t="str">
            <v>AB019HW</v>
          </cell>
          <cell r="B851" t="str">
            <v>Job Munyao</v>
          </cell>
          <cell r="E851" t="str">
            <v>LG</v>
          </cell>
        </row>
        <row r="852">
          <cell r="A852" t="str">
            <v>LG24626</v>
          </cell>
          <cell r="B852" t="str">
            <v>Job Gitonga</v>
          </cell>
          <cell r="E852" t="str">
            <v>LG</v>
          </cell>
        </row>
        <row r="853">
          <cell r="A853" t="str">
            <v>BB09278</v>
          </cell>
          <cell r="B853" t="str">
            <v>Joan Njoki Kiragu</v>
          </cell>
          <cell r="E853" t="str">
            <v>RM</v>
          </cell>
        </row>
        <row r="854">
          <cell r="A854" t="str">
            <v>LG23544</v>
          </cell>
          <cell r="B854" t="str">
            <v>Joan Njoki Kariuki</v>
          </cell>
          <cell r="E854" t="str">
            <v>LG</v>
          </cell>
        </row>
        <row r="855">
          <cell r="A855" t="str">
            <v>BB20656</v>
          </cell>
          <cell r="B855" t="str">
            <v>Joan Monthe Ngui</v>
          </cell>
          <cell r="E855" t="str">
            <v>UB</v>
          </cell>
        </row>
        <row r="856">
          <cell r="A856" t="str">
            <v>LG21255</v>
          </cell>
          <cell r="B856" t="str">
            <v>Joan KIGEN Kibet</v>
          </cell>
          <cell r="E856" t="str">
            <v>LG</v>
          </cell>
        </row>
        <row r="857">
          <cell r="A857" t="str">
            <v>LG23330</v>
          </cell>
          <cell r="B857" t="str">
            <v>Joan Jerono Sang</v>
          </cell>
          <cell r="E857" t="str">
            <v>LG</v>
          </cell>
        </row>
        <row r="858">
          <cell r="A858" t="str">
            <v>BB18986</v>
          </cell>
          <cell r="B858" t="str">
            <v>Joan Amondi Abega</v>
          </cell>
          <cell r="E858" t="str">
            <v>UB</v>
          </cell>
        </row>
        <row r="859">
          <cell r="A859" t="str">
            <v>AB027LB</v>
          </cell>
          <cell r="B859" t="str">
            <v>Jerotich Cherop</v>
          </cell>
          <cell r="E859" t="str">
            <v>LG</v>
          </cell>
        </row>
        <row r="860">
          <cell r="A860" t="str">
            <v>LG24911</v>
          </cell>
          <cell r="B860" t="str">
            <v>Jenniffer  Nyambura Kimaru</v>
          </cell>
          <cell r="E860" t="str">
            <v>LG</v>
          </cell>
        </row>
        <row r="861">
          <cell r="A861" t="str">
            <v>LG20393</v>
          </cell>
          <cell r="B861" t="str">
            <v>Jenipher WAKIO Msinga</v>
          </cell>
          <cell r="E861" t="str">
            <v>LG</v>
          </cell>
        </row>
        <row r="862">
          <cell r="A862" t="str">
            <v>AB0231A</v>
          </cell>
          <cell r="B862" t="str">
            <v>Jemutai Kirwok</v>
          </cell>
          <cell r="E862" t="str">
            <v>LG</v>
          </cell>
        </row>
        <row r="863">
          <cell r="A863" t="str">
            <v>BB22508</v>
          </cell>
          <cell r="B863" t="str">
            <v>Jemimah Auma</v>
          </cell>
          <cell r="E863" t="str">
            <v>UB</v>
          </cell>
        </row>
        <row r="864">
          <cell r="A864" t="str">
            <v>BB17441</v>
          </cell>
          <cell r="B864" t="str">
            <v>Jelimo Jepkosgei Biwott</v>
          </cell>
          <cell r="E864" t="str">
            <v>UB</v>
          </cell>
        </row>
        <row r="865">
          <cell r="A865" t="str">
            <v>LG25609</v>
          </cell>
          <cell r="B865" t="str">
            <v xml:space="preserve">Jeffrey Mugambi </v>
          </cell>
          <cell r="E865" t="str">
            <v>LG</v>
          </cell>
        </row>
        <row r="866">
          <cell r="A866" t="str">
            <v>LG24583</v>
          </cell>
          <cell r="B866" t="str">
            <v>Jefferson Muendo Mulandi</v>
          </cell>
          <cell r="E866" t="str">
            <v>LG</v>
          </cell>
        </row>
        <row r="867">
          <cell r="A867" t="str">
            <v>ABJW599</v>
          </cell>
          <cell r="B867" t="str">
            <v>Jedidah Wangari Waititu</v>
          </cell>
          <cell r="E867" t="str">
            <v>LG</v>
          </cell>
        </row>
        <row r="868">
          <cell r="A868" t="str">
            <v>AB02897</v>
          </cell>
          <cell r="B868" t="str">
            <v>Jecinta Mburu</v>
          </cell>
          <cell r="E868" t="str">
            <v>LG</v>
          </cell>
        </row>
        <row r="869">
          <cell r="A869" t="str">
            <v>AB024VV</v>
          </cell>
          <cell r="B869" t="str">
            <v>Jebet Kipyegon</v>
          </cell>
          <cell r="E869" t="str">
            <v>LG</v>
          </cell>
        </row>
        <row r="870">
          <cell r="A870" t="str">
            <v>BB04526</v>
          </cell>
          <cell r="B870" t="str">
            <v>Jashon Mumbo Owino</v>
          </cell>
          <cell r="E870" t="str">
            <v>UB</v>
          </cell>
        </row>
        <row r="871">
          <cell r="A871" t="str">
            <v>AB006MM</v>
          </cell>
          <cell r="B871" t="str">
            <v>Jarson Kilonzo</v>
          </cell>
          <cell r="E871" t="str">
            <v>LG</v>
          </cell>
        </row>
        <row r="872">
          <cell r="A872" t="str">
            <v>AB019Y1</v>
          </cell>
          <cell r="B872" t="str">
            <v>Jared Olwal</v>
          </cell>
          <cell r="E872" t="str">
            <v>LG</v>
          </cell>
        </row>
        <row r="873">
          <cell r="A873" t="str">
            <v>BB12807</v>
          </cell>
          <cell r="B873" t="str">
            <v>Jared Nyambox</v>
          </cell>
          <cell r="E873" t="str">
            <v>UB</v>
          </cell>
        </row>
        <row r="874">
          <cell r="A874" t="str">
            <v>LG23431</v>
          </cell>
          <cell r="B874" t="str">
            <v>Jared Kiprono Bichiy</v>
          </cell>
          <cell r="E874" t="str">
            <v>LG</v>
          </cell>
        </row>
        <row r="875">
          <cell r="A875" t="str">
            <v>LG24242</v>
          </cell>
          <cell r="B875" t="str">
            <v>Janet Jepkemboi Kiprono</v>
          </cell>
          <cell r="E875" t="str">
            <v>LG</v>
          </cell>
        </row>
        <row r="876">
          <cell r="A876" t="str">
            <v>BB15791</v>
          </cell>
          <cell r="B876" t="str">
            <v>Janet Wanjiku Gicho</v>
          </cell>
          <cell r="E876" t="str">
            <v>UB</v>
          </cell>
        </row>
        <row r="877">
          <cell r="A877" t="str">
            <v>LG21841</v>
          </cell>
          <cell r="B877" t="str">
            <v>Janet  Kitaka</v>
          </cell>
          <cell r="E877" t="str">
            <v>LG</v>
          </cell>
        </row>
        <row r="878">
          <cell r="A878" t="str">
            <v>HISA0005</v>
          </cell>
          <cell r="B878" t="str">
            <v>Beatrice Wanjiku Ndukui</v>
          </cell>
          <cell r="E878" t="str">
            <v>ALAK</v>
          </cell>
        </row>
        <row r="879">
          <cell r="A879" t="str">
            <v>BB04451</v>
          </cell>
          <cell r="B879" t="str">
            <v>Jane Wambui Karanja</v>
          </cell>
          <cell r="E879" t="str">
            <v>UB</v>
          </cell>
        </row>
        <row r="880">
          <cell r="A880" t="str">
            <v>BB14528</v>
          </cell>
          <cell r="B880" t="str">
            <v>Jane Waikwa</v>
          </cell>
          <cell r="E880" t="str">
            <v>UB</v>
          </cell>
        </row>
        <row r="881">
          <cell r="A881" t="str">
            <v>LG12958</v>
          </cell>
          <cell r="B881" t="str">
            <v>Jane Vivian Adhiambo</v>
          </cell>
          <cell r="E881" t="str">
            <v>LG</v>
          </cell>
        </row>
        <row r="882">
          <cell r="A882" t="str">
            <v>BB06539</v>
          </cell>
          <cell r="B882" t="str">
            <v>Jane Nyambura Mburu</v>
          </cell>
          <cell r="E882" t="str">
            <v>UB</v>
          </cell>
        </row>
        <row r="883">
          <cell r="A883" t="str">
            <v>11606</v>
          </cell>
          <cell r="B883" t="str">
            <v>Jane Ngai</v>
          </cell>
          <cell r="E883" t="str">
            <v>LG</v>
          </cell>
        </row>
        <row r="884">
          <cell r="A884" t="str">
            <v>ABJK582</v>
          </cell>
          <cell r="B884" t="str">
            <v>Jane Nduta Karanja</v>
          </cell>
          <cell r="E884" t="str">
            <v>ALAK</v>
          </cell>
        </row>
        <row r="885">
          <cell r="A885" t="str">
            <v>AB017VX</v>
          </cell>
          <cell r="B885" t="str">
            <v>Jane Mundi</v>
          </cell>
          <cell r="E885" t="str">
            <v>UB</v>
          </cell>
        </row>
        <row r="886">
          <cell r="A886" t="str">
            <v>AB027B2</v>
          </cell>
          <cell r="B886" t="str">
            <v>Jane Mumbi</v>
          </cell>
          <cell r="E886" t="str">
            <v>LG</v>
          </cell>
        </row>
        <row r="887">
          <cell r="A887" t="str">
            <v>LG17147</v>
          </cell>
          <cell r="B887" t="str">
            <v>Jane Mugure Wambui</v>
          </cell>
          <cell r="E887" t="str">
            <v>LG</v>
          </cell>
        </row>
        <row r="888">
          <cell r="A888" t="str">
            <v>BB17147</v>
          </cell>
          <cell r="B888" t="str">
            <v>Jane Mugure Wambui</v>
          </cell>
          <cell r="E888" t="str">
            <v>UB</v>
          </cell>
        </row>
        <row r="889">
          <cell r="A889" t="str">
            <v>BB6539</v>
          </cell>
          <cell r="B889" t="str">
            <v xml:space="preserve">Jane Mburu </v>
          </cell>
          <cell r="E889" t="str">
            <v>LG</v>
          </cell>
        </row>
        <row r="890">
          <cell r="A890" t="str">
            <v>AB017VX</v>
          </cell>
          <cell r="B890" t="str">
            <v>Jane Mbithe Mundi</v>
          </cell>
          <cell r="E890" t="str">
            <v>LG</v>
          </cell>
        </row>
        <row r="891">
          <cell r="A891" t="str">
            <v>ABJK582</v>
          </cell>
          <cell r="B891" t="str">
            <v>Jane Karanja</v>
          </cell>
          <cell r="E891" t="str">
            <v>LG</v>
          </cell>
        </row>
        <row r="892">
          <cell r="A892" t="str">
            <v>LG25252</v>
          </cell>
          <cell r="B892" t="str">
            <v xml:space="preserve">Jane Karambu </v>
          </cell>
          <cell r="E892" t="str">
            <v>LG</v>
          </cell>
        </row>
        <row r="893">
          <cell r="A893" t="str">
            <v>LG25573</v>
          </cell>
          <cell r="B893" t="str">
            <v>Jane Chepngetich Koech</v>
          </cell>
          <cell r="E893" t="str">
            <v>LG</v>
          </cell>
        </row>
        <row r="894">
          <cell r="A894" t="str">
            <v>AB025OP</v>
          </cell>
          <cell r="B894" t="str">
            <v>Jamlick Kimathi</v>
          </cell>
          <cell r="E894" t="str">
            <v>LG</v>
          </cell>
        </row>
        <row r="895">
          <cell r="A895" t="str">
            <v>AB02074</v>
          </cell>
          <cell r="B895" t="str">
            <v>James Wanyama Simiyu</v>
          </cell>
          <cell r="E895" t="str">
            <v>LG</v>
          </cell>
        </row>
        <row r="896">
          <cell r="A896" t="str">
            <v>AB0207H</v>
          </cell>
          <cell r="B896" t="str">
            <v>James Simiyu</v>
          </cell>
          <cell r="E896" t="str">
            <v>LG</v>
          </cell>
        </row>
        <row r="897">
          <cell r="A897" t="str">
            <v>LG19358</v>
          </cell>
          <cell r="B897" t="str">
            <v>James Otieno Ochom</v>
          </cell>
          <cell r="E897" t="str">
            <v>LG</v>
          </cell>
        </row>
        <row r="898">
          <cell r="A898" t="str">
            <v>AB023XX</v>
          </cell>
          <cell r="B898" t="str">
            <v>James Ondere Nyachong</v>
          </cell>
          <cell r="E898" t="str">
            <v>UB</v>
          </cell>
        </row>
        <row r="899">
          <cell r="A899" t="str">
            <v>5115</v>
          </cell>
          <cell r="B899" t="str">
            <v>James Mwangangi Makau</v>
          </cell>
          <cell r="E899" t="str">
            <v>ALAK</v>
          </cell>
        </row>
        <row r="900">
          <cell r="A900" t="str">
            <v>BB07459</v>
          </cell>
          <cell r="B900" t="str">
            <v>James Mutugi Nyaga</v>
          </cell>
          <cell r="E900" t="str">
            <v>UB</v>
          </cell>
        </row>
        <row r="901">
          <cell r="A901" t="str">
            <v>LG24309</v>
          </cell>
          <cell r="B901" t="str">
            <v>James Mbuvi Mwongela</v>
          </cell>
          <cell r="E901" t="str">
            <v>LG</v>
          </cell>
        </row>
        <row r="902">
          <cell r="A902" t="str">
            <v>ABJT405</v>
          </cell>
          <cell r="B902" t="str">
            <v>James Maingi Thetu</v>
          </cell>
          <cell r="E902" t="str">
            <v>UB</v>
          </cell>
        </row>
        <row r="903">
          <cell r="A903" t="str">
            <v>BB20254</v>
          </cell>
          <cell r="B903" t="str">
            <v>James Maingi Thetu</v>
          </cell>
          <cell r="E903" t="str">
            <v>UB</v>
          </cell>
        </row>
        <row r="904">
          <cell r="A904" t="str">
            <v>AB017VN</v>
          </cell>
          <cell r="B904" t="str">
            <v>James Kuyo</v>
          </cell>
          <cell r="E904" t="str">
            <v>LG</v>
          </cell>
        </row>
        <row r="905">
          <cell r="A905" t="str">
            <v>ABJK664</v>
          </cell>
          <cell r="B905" t="str">
            <v xml:space="preserve">James Koigi </v>
          </cell>
          <cell r="E905" t="str">
            <v>LG</v>
          </cell>
        </row>
        <row r="906">
          <cell r="A906" t="str">
            <v>BB06203</v>
          </cell>
          <cell r="B906" t="str">
            <v>James Kinoti Kamundi</v>
          </cell>
          <cell r="E906" t="str">
            <v>UB</v>
          </cell>
        </row>
        <row r="907">
          <cell r="A907" t="str">
            <v>LG23537</v>
          </cell>
          <cell r="B907" t="str">
            <v>James Kariuki Njau</v>
          </cell>
          <cell r="E907" t="str">
            <v>LG</v>
          </cell>
        </row>
        <row r="908">
          <cell r="A908" t="str">
            <v>LG24566</v>
          </cell>
          <cell r="B908" t="str">
            <v xml:space="preserve">Jacquiline Wakibia </v>
          </cell>
          <cell r="E908" t="str">
            <v>LG</v>
          </cell>
        </row>
        <row r="909">
          <cell r="A909" t="str">
            <v>LG25219</v>
          </cell>
          <cell r="B909" t="str">
            <v>Jacqueline Wambui Mwaura</v>
          </cell>
          <cell r="E909" t="str">
            <v>LG</v>
          </cell>
        </row>
        <row r="910">
          <cell r="A910" t="str">
            <v>LG16712</v>
          </cell>
          <cell r="B910" t="str">
            <v>Jacqueline Kharanda Makomere</v>
          </cell>
          <cell r="E910" t="str">
            <v>LG</v>
          </cell>
        </row>
        <row r="911">
          <cell r="A911">
            <v>12052</v>
          </cell>
          <cell r="B911" t="str">
            <v>Jackson Onzere</v>
          </cell>
          <cell r="E911" t="str">
            <v>UB</v>
          </cell>
        </row>
        <row r="912">
          <cell r="A912" t="str">
            <v>LG23046</v>
          </cell>
          <cell r="B912" t="str">
            <v>Jackson Nyaito Ochungo</v>
          </cell>
          <cell r="E912" t="str">
            <v>LG</v>
          </cell>
        </row>
        <row r="913">
          <cell r="A913" t="str">
            <v>ABJO243</v>
          </cell>
          <cell r="B913" t="str">
            <v>Jackson Nyaito Ochungo</v>
          </cell>
          <cell r="E913" t="str">
            <v>LG</v>
          </cell>
        </row>
        <row r="914">
          <cell r="A914" t="str">
            <v>BB23496</v>
          </cell>
          <cell r="B914" t="str">
            <v>Jackson  Nyakang'o</v>
          </cell>
          <cell r="E914" t="str">
            <v>UB</v>
          </cell>
        </row>
        <row r="915">
          <cell r="A915" t="str">
            <v>5148</v>
          </cell>
          <cell r="B915" t="str">
            <v>Jacklyn Okuku</v>
          </cell>
          <cell r="E915" t="str">
            <v>ALAK</v>
          </cell>
        </row>
        <row r="916">
          <cell r="A916" t="str">
            <v>HISA0002</v>
          </cell>
          <cell r="B916" t="str">
            <v>JACKLINE WATURI MUIGA</v>
          </cell>
          <cell r="E916" t="str">
            <v>ALAK</v>
          </cell>
        </row>
        <row r="917">
          <cell r="A917" t="str">
            <v>AB0155B</v>
          </cell>
          <cell r="B917" t="str">
            <v>Jackline Peter</v>
          </cell>
          <cell r="E917" t="str">
            <v>LG</v>
          </cell>
        </row>
        <row r="918">
          <cell r="A918" t="str">
            <v>AB011JO</v>
          </cell>
          <cell r="B918" t="str">
            <v>Jackline Njuki</v>
          </cell>
          <cell r="E918" t="str">
            <v>LG</v>
          </cell>
        </row>
        <row r="919">
          <cell r="A919" t="str">
            <v>AB019HY</v>
          </cell>
          <cell r="B919" t="str">
            <v>Jackline Njiru</v>
          </cell>
          <cell r="E919" t="str">
            <v>LG</v>
          </cell>
        </row>
        <row r="920">
          <cell r="A920" t="str">
            <v>LG24759</v>
          </cell>
          <cell r="B920" t="str">
            <v>Jackline Murugi Njoka</v>
          </cell>
          <cell r="E920" t="str">
            <v>LG</v>
          </cell>
        </row>
        <row r="921">
          <cell r="A921" t="str">
            <v>AB011JN</v>
          </cell>
          <cell r="B921" t="str">
            <v>Jackline Mumbua</v>
          </cell>
          <cell r="E921" t="str">
            <v>LG</v>
          </cell>
        </row>
        <row r="922">
          <cell r="A922" t="str">
            <v>LG22226</v>
          </cell>
          <cell r="B922" t="str">
            <v>Jackline Makena Mbaabu</v>
          </cell>
          <cell r="E922" t="str">
            <v>LG</v>
          </cell>
        </row>
        <row r="923">
          <cell r="A923" t="str">
            <v>ABJMAGL</v>
          </cell>
          <cell r="B923" t="str">
            <v>Jackline Kavoo Mwengi</v>
          </cell>
          <cell r="E923" t="str">
            <v>LG</v>
          </cell>
        </row>
        <row r="924">
          <cell r="A924" t="str">
            <v>LG21904</v>
          </cell>
          <cell r="B924" t="str">
            <v>Jackline Adongo Lumumba</v>
          </cell>
          <cell r="E924" t="str">
            <v>LG</v>
          </cell>
        </row>
        <row r="925">
          <cell r="A925" t="str">
            <v>LG18893</v>
          </cell>
          <cell r="B925" t="str">
            <v>Jackline  Yego</v>
          </cell>
          <cell r="E925" t="str">
            <v>LG</v>
          </cell>
        </row>
        <row r="926">
          <cell r="A926" t="str">
            <v>BB09744</v>
          </cell>
          <cell r="B926" t="str">
            <v>Jack  Mukabwa</v>
          </cell>
          <cell r="E926" t="str">
            <v>UB</v>
          </cell>
        </row>
        <row r="927">
          <cell r="A927" t="str">
            <v>AB022UG</v>
          </cell>
          <cell r="B927" t="str">
            <v>Jacinta Mwau</v>
          </cell>
          <cell r="E927" t="str">
            <v>LG</v>
          </cell>
        </row>
        <row r="928">
          <cell r="A928" t="str">
            <v>ABJMAG8</v>
          </cell>
          <cell r="B928" t="str">
            <v>Jacinta Mutuku</v>
          </cell>
          <cell r="E928" t="str">
            <v>LG</v>
          </cell>
        </row>
        <row r="929">
          <cell r="A929" t="str">
            <v>AB025GL</v>
          </cell>
          <cell r="B929" t="str">
            <v>Jacinta Francis</v>
          </cell>
          <cell r="E929" t="str">
            <v>LG</v>
          </cell>
        </row>
        <row r="930">
          <cell r="A930" t="str">
            <v>LG24896</v>
          </cell>
          <cell r="B930" t="str">
            <v xml:space="preserve">Ismail Hassan Mohamed </v>
          </cell>
          <cell r="E930" t="str">
            <v>LG</v>
          </cell>
        </row>
        <row r="931">
          <cell r="A931" t="str">
            <v>AB0236P</v>
          </cell>
          <cell r="B931" t="str">
            <v>Ishmael King'ori</v>
          </cell>
          <cell r="E931" t="str">
            <v>LG</v>
          </cell>
        </row>
        <row r="932">
          <cell r="A932" t="str">
            <v>AB022GF</v>
          </cell>
          <cell r="B932" t="str">
            <v>Isabelle Nyanaro</v>
          </cell>
          <cell r="E932" t="str">
            <v>LG</v>
          </cell>
        </row>
        <row r="933">
          <cell r="A933" t="str">
            <v>LG12082</v>
          </cell>
          <cell r="B933" t="str">
            <v>Isabella Wanjiku Manyara</v>
          </cell>
          <cell r="E933" t="str">
            <v>LG</v>
          </cell>
        </row>
        <row r="934">
          <cell r="A934" t="str">
            <v>BB12082</v>
          </cell>
          <cell r="B934" t="str">
            <v>Isabella Manyara</v>
          </cell>
          <cell r="E934" t="str">
            <v>LG</v>
          </cell>
        </row>
        <row r="935">
          <cell r="A935" t="str">
            <v>AB02063</v>
          </cell>
          <cell r="B935" t="str">
            <v>Isaac Odongo</v>
          </cell>
          <cell r="E935" t="str">
            <v>LG</v>
          </cell>
        </row>
        <row r="936">
          <cell r="A936" t="str">
            <v>BB07421</v>
          </cell>
          <cell r="B936" t="str">
            <v xml:space="preserve">Isaac Ndachi </v>
          </cell>
          <cell r="E936" t="str">
            <v>LG</v>
          </cell>
        </row>
        <row r="937">
          <cell r="A937" t="str">
            <v>LG24946</v>
          </cell>
          <cell r="B937" t="str">
            <v>Isaac Mwaura Kiburi</v>
          </cell>
          <cell r="E937" t="str">
            <v>LG</v>
          </cell>
        </row>
        <row r="938">
          <cell r="A938" t="str">
            <v>ABIM443</v>
          </cell>
          <cell r="B938" t="str">
            <v>Isaac Mutie</v>
          </cell>
          <cell r="E938" t="str">
            <v>ALAK</v>
          </cell>
        </row>
        <row r="939">
          <cell r="A939" t="str">
            <v>BB21376</v>
          </cell>
          <cell r="B939" t="str">
            <v>Isaac Kioko Maingi</v>
          </cell>
          <cell r="E939" t="str">
            <v>UB</v>
          </cell>
        </row>
        <row r="940">
          <cell r="A940" t="str">
            <v>AB018G8</v>
          </cell>
          <cell r="B940" t="str">
            <v>Isaac Kinyanjui Wainaina</v>
          </cell>
          <cell r="E940" t="str">
            <v>UB</v>
          </cell>
        </row>
        <row r="941">
          <cell r="A941" t="str">
            <v>LG24559</v>
          </cell>
          <cell r="B941" t="str">
            <v>Iris Chebet Chepkirui</v>
          </cell>
          <cell r="E941" t="str">
            <v>LG</v>
          </cell>
        </row>
        <row r="942">
          <cell r="A942" t="str">
            <v>LG18357</v>
          </cell>
          <cell r="B942" t="str">
            <v>Irene Wagaki Kimanyi</v>
          </cell>
          <cell r="E942" t="str">
            <v>LG</v>
          </cell>
        </row>
        <row r="943">
          <cell r="A943" t="str">
            <v>BB11286</v>
          </cell>
          <cell r="B943" t="str">
            <v>Irene Rotich</v>
          </cell>
          <cell r="E943" t="str">
            <v>LG</v>
          </cell>
        </row>
        <row r="944">
          <cell r="A944" t="str">
            <v>LG24236</v>
          </cell>
          <cell r="B944" t="str">
            <v>Irene Mumbua Mululi</v>
          </cell>
          <cell r="E944" t="str">
            <v>LG</v>
          </cell>
        </row>
        <row r="945">
          <cell r="A945" t="str">
            <v>BB24446</v>
          </cell>
          <cell r="B945" t="str">
            <v>Irene Mbugua</v>
          </cell>
          <cell r="E945" t="str">
            <v>UB</v>
          </cell>
        </row>
        <row r="946">
          <cell r="A946" t="str">
            <v>LG06640</v>
          </cell>
          <cell r="B946" t="str">
            <v>Irene Lily Akoth Ondiek</v>
          </cell>
          <cell r="E946" t="str">
            <v>LG</v>
          </cell>
        </row>
        <row r="947">
          <cell r="A947" t="str">
            <v>BB17939</v>
          </cell>
          <cell r="B947" t="str">
            <v>Irene Kutswa</v>
          </cell>
          <cell r="E947" t="str">
            <v>UB</v>
          </cell>
        </row>
        <row r="948">
          <cell r="A948" t="str">
            <v>BB11826</v>
          </cell>
          <cell r="B948" t="str">
            <v>Irene Jemurgor Rotich</v>
          </cell>
          <cell r="E948" t="str">
            <v>UB</v>
          </cell>
        </row>
        <row r="949">
          <cell r="A949" t="str">
            <v>AB027CV</v>
          </cell>
          <cell r="B949" t="str">
            <v xml:space="preserve">Irene Chepngetich </v>
          </cell>
          <cell r="E949" t="str">
            <v>LG</v>
          </cell>
        </row>
        <row r="950">
          <cell r="A950" t="str">
            <v>LG25222</v>
          </cell>
          <cell r="B950" t="str">
            <v xml:space="preserve">Irene Atieno </v>
          </cell>
          <cell r="E950" t="str">
            <v>LG</v>
          </cell>
        </row>
        <row r="951">
          <cell r="A951" t="str">
            <v>AB019F4</v>
          </cell>
          <cell r="B951" t="str">
            <v>Innocent Marete</v>
          </cell>
          <cell r="E951" t="str">
            <v>UB</v>
          </cell>
        </row>
        <row r="952">
          <cell r="A952" t="str">
            <v>AB027CU</v>
          </cell>
          <cell r="B952" t="str">
            <v xml:space="preserve">Immaculate Cheruto </v>
          </cell>
          <cell r="E952" t="str">
            <v>UB</v>
          </cell>
        </row>
        <row r="953">
          <cell r="A953" t="str">
            <v>LG24394</v>
          </cell>
          <cell r="B953" t="str">
            <v>Immaculate A. Lumumba</v>
          </cell>
          <cell r="E953" t="str">
            <v>LG</v>
          </cell>
        </row>
        <row r="954">
          <cell r="A954" t="str">
            <v>MKL0662</v>
          </cell>
          <cell r="B954" t="str">
            <v>Imanene, Jeremy Nyaga</v>
          </cell>
          <cell r="E954" t="str">
            <v>ALAK</v>
          </cell>
        </row>
        <row r="955">
          <cell r="A955" t="str">
            <v>AB0263I</v>
          </cell>
          <cell r="B955" t="str">
            <v>Idah Wanja Marangu</v>
          </cell>
          <cell r="E955" t="str">
            <v>LG</v>
          </cell>
        </row>
        <row r="956">
          <cell r="A956" t="str">
            <v>LG25455</v>
          </cell>
          <cell r="B956" t="str">
            <v xml:space="preserve">Ida Nafula Simiyu </v>
          </cell>
          <cell r="E956" t="str">
            <v>LG</v>
          </cell>
        </row>
        <row r="957">
          <cell r="A957" t="str">
            <v>LG24534</v>
          </cell>
          <cell r="B957" t="str">
            <v>Ibrahim Opiyo Amwayi</v>
          </cell>
          <cell r="E957" t="str">
            <v>LG</v>
          </cell>
        </row>
        <row r="958">
          <cell r="A958" t="str">
            <v>LG24895</v>
          </cell>
          <cell r="B958" t="str">
            <v xml:space="preserve">Ibrahim Aura Omari </v>
          </cell>
          <cell r="E958" t="str">
            <v>LG</v>
          </cell>
        </row>
        <row r="959">
          <cell r="A959" t="str">
            <v>AB016KC</v>
          </cell>
          <cell r="B959" t="str">
            <v>IanJohn Karinga</v>
          </cell>
          <cell r="E959" t="str">
            <v>LG</v>
          </cell>
        </row>
        <row r="960">
          <cell r="A960" t="str">
            <v>ABIM490</v>
          </cell>
          <cell r="B960" t="str">
            <v>Ian Mudiri</v>
          </cell>
          <cell r="E960" t="str">
            <v>LG</v>
          </cell>
        </row>
        <row r="961">
          <cell r="A961" t="str">
            <v>LG21961</v>
          </cell>
          <cell r="B961" t="str">
            <v>Ian Jandi Mudiri</v>
          </cell>
          <cell r="E961" t="str">
            <v>LG</v>
          </cell>
        </row>
        <row r="962">
          <cell r="A962" t="str">
            <v>ABHM597</v>
          </cell>
          <cell r="B962" t="str">
            <v>Hyline Mosigisi</v>
          </cell>
          <cell r="E962" t="str">
            <v>UB</v>
          </cell>
        </row>
        <row r="963">
          <cell r="A963" t="str">
            <v>LG13155</v>
          </cell>
          <cell r="B963" t="str">
            <v>Hyline Bochaberi Mosigisi</v>
          </cell>
          <cell r="E963" t="str">
            <v>LG</v>
          </cell>
        </row>
        <row r="964">
          <cell r="A964" t="str">
            <v>LG23241</v>
          </cell>
          <cell r="B964" t="str">
            <v>Hudhaifa Wario Yusuf Doyo</v>
          </cell>
          <cell r="E964" t="str">
            <v>LG</v>
          </cell>
        </row>
        <row r="965">
          <cell r="A965" t="str">
            <v>HISA0001</v>
          </cell>
          <cell r="B965" t="str">
            <v>HISA AFRICA INSURANCE AGENCY</v>
          </cell>
          <cell r="E965" t="str">
            <v>ALAK</v>
          </cell>
        </row>
        <row r="966">
          <cell r="A966" t="str">
            <v>HISA0013</v>
          </cell>
          <cell r="B966" t="str">
            <v>HISA AFRICA INSURANCE AGENCY</v>
          </cell>
          <cell r="E966" t="str">
            <v>ALAK</v>
          </cell>
        </row>
        <row r="967">
          <cell r="A967" t="str">
            <v>AB054A</v>
          </cell>
          <cell r="B967" t="str">
            <v>Hillary Soita Kupara</v>
          </cell>
          <cell r="E967" t="str">
            <v>UB</v>
          </cell>
        </row>
        <row r="968">
          <cell r="E968" t="str">
            <v>ALAK</v>
          </cell>
        </row>
        <row r="969">
          <cell r="A969" t="str">
            <v>AB025OQ</v>
          </cell>
          <cell r="B969" t="str">
            <v>Hillary Oduor Odhiambo</v>
          </cell>
          <cell r="E969" t="str">
            <v>LG</v>
          </cell>
        </row>
        <row r="970">
          <cell r="A970" t="str">
            <v>LG24315</v>
          </cell>
          <cell r="B970" t="str">
            <v>Hillary Mutai Kipsang</v>
          </cell>
          <cell r="E970" t="str">
            <v>LG</v>
          </cell>
        </row>
        <row r="971">
          <cell r="A971" t="str">
            <v>AB026U4</v>
          </cell>
          <cell r="B971" t="str">
            <v>Hillary Chepkwony</v>
          </cell>
          <cell r="E971" t="str">
            <v>LG</v>
          </cell>
        </row>
        <row r="972">
          <cell r="A972" t="str">
            <v>7157</v>
          </cell>
          <cell r="B972" t="str">
            <v>Hildah Nyakio Karung'a</v>
          </cell>
          <cell r="E972" t="str">
            <v>ALAK</v>
          </cell>
        </row>
        <row r="973">
          <cell r="A973">
            <v>7157</v>
          </cell>
          <cell r="B973" t="str">
            <v>Hildah Karunga</v>
          </cell>
          <cell r="E973" t="str">
            <v>ALAK</v>
          </cell>
        </row>
        <row r="974">
          <cell r="A974" t="str">
            <v>AB016KO</v>
          </cell>
          <cell r="B974" t="str">
            <v>Hilda Nabulyuli</v>
          </cell>
          <cell r="E974" t="str">
            <v>LG</v>
          </cell>
        </row>
        <row r="975">
          <cell r="A975" t="str">
            <v>AB0154A</v>
          </cell>
          <cell r="B975" t="str">
            <v>Hilary Soita</v>
          </cell>
          <cell r="E975" t="str">
            <v>LG</v>
          </cell>
        </row>
        <row r="976">
          <cell r="A976" t="str">
            <v>BB06959</v>
          </cell>
          <cell r="B976" t="str">
            <v>HEZBONE OWINO</v>
          </cell>
          <cell r="E976" t="str">
            <v>UB</v>
          </cell>
        </row>
        <row r="977">
          <cell r="A977" t="str">
            <v>LG23435</v>
          </cell>
          <cell r="B977" t="str">
            <v>Henry Wasua Muteti</v>
          </cell>
          <cell r="E977" t="str">
            <v>LG</v>
          </cell>
        </row>
        <row r="978">
          <cell r="A978" t="str">
            <v>BB20899</v>
          </cell>
          <cell r="B978" t="str">
            <v>Henry Nyachoke Onyinkwa</v>
          </cell>
          <cell r="E978" t="str">
            <v>UB</v>
          </cell>
        </row>
        <row r="979">
          <cell r="A979" t="str">
            <v>BB20769</v>
          </cell>
          <cell r="B979" t="str">
            <v>Henry Kavuu Mulinge</v>
          </cell>
          <cell r="E979" t="str">
            <v>UB</v>
          </cell>
        </row>
        <row r="980">
          <cell r="A980" t="str">
            <v>LG22698</v>
          </cell>
          <cell r="B980" t="str">
            <v>Henry Kasairo Stephen</v>
          </cell>
          <cell r="E980" t="str">
            <v>LG</v>
          </cell>
        </row>
        <row r="981">
          <cell r="A981" t="str">
            <v>BB13252</v>
          </cell>
          <cell r="B981" t="str">
            <v>Hellen Yator</v>
          </cell>
          <cell r="E981" t="str">
            <v>UB</v>
          </cell>
        </row>
        <row r="982">
          <cell r="A982" t="str">
            <v>BB18638</v>
          </cell>
          <cell r="B982" t="str">
            <v>Hellen Wanjiru Mwangi</v>
          </cell>
          <cell r="E982" t="str">
            <v>UB</v>
          </cell>
        </row>
        <row r="983">
          <cell r="A983" t="str">
            <v>LG24868</v>
          </cell>
          <cell r="B983" t="str">
            <v>HELLEN NJOKI NYAGA</v>
          </cell>
          <cell r="E983" t="str">
            <v>LG</v>
          </cell>
        </row>
        <row r="984">
          <cell r="A984" t="str">
            <v>AB027KD</v>
          </cell>
          <cell r="B984" t="str">
            <v>Hellen Kumba</v>
          </cell>
          <cell r="E984" t="str">
            <v>LG</v>
          </cell>
        </row>
        <row r="985">
          <cell r="A985" t="str">
            <v>LG13252</v>
          </cell>
          <cell r="B985" t="str">
            <v>Hellen Jebiwot Yator</v>
          </cell>
          <cell r="E985" t="str">
            <v>LG</v>
          </cell>
        </row>
        <row r="986">
          <cell r="A986" t="str">
            <v>AB02645</v>
          </cell>
          <cell r="B986" t="str">
            <v>Helida Atieno Ooko</v>
          </cell>
          <cell r="E986" t="str">
            <v>UB</v>
          </cell>
        </row>
        <row r="987">
          <cell r="A987" t="str">
            <v>BB09436</v>
          </cell>
          <cell r="B987" t="str">
            <v>Harvex Katana Mwambire</v>
          </cell>
          <cell r="E987" t="str">
            <v>UB</v>
          </cell>
        </row>
        <row r="988">
          <cell r="A988" t="str">
            <v>LG23286</v>
          </cell>
          <cell r="B988" t="str">
            <v>Harron Maingi Muasya</v>
          </cell>
          <cell r="E988" t="str">
            <v>LG</v>
          </cell>
        </row>
        <row r="989">
          <cell r="A989" t="str">
            <v>LG25242</v>
          </cell>
          <cell r="B989" t="str">
            <v>Harriet N Malo</v>
          </cell>
          <cell r="E989" t="str">
            <v>LG</v>
          </cell>
        </row>
        <row r="990">
          <cell r="A990" t="str">
            <v>ZBRG073</v>
          </cell>
          <cell r="B990" t="str">
            <v>Harriet Alung’at</v>
          </cell>
          <cell r="E990" t="str">
            <v>ALAK</v>
          </cell>
        </row>
        <row r="991">
          <cell r="A991" t="str">
            <v>LG25583</v>
          </cell>
          <cell r="B991" t="str">
            <v xml:space="preserve">Hannah Ngendo </v>
          </cell>
          <cell r="E991" t="str">
            <v>LG</v>
          </cell>
        </row>
        <row r="992">
          <cell r="A992" t="str">
            <v>LG24214</v>
          </cell>
          <cell r="B992" t="str">
            <v xml:space="preserve">Hanna Muga Nyafwa </v>
          </cell>
          <cell r="E992" t="str">
            <v>LG</v>
          </cell>
        </row>
        <row r="993">
          <cell r="A993" t="str">
            <v>LG18448</v>
          </cell>
          <cell r="B993" t="str">
            <v>Hamisi Mwaviswa Mwaluma</v>
          </cell>
          <cell r="E993" t="str">
            <v>LG</v>
          </cell>
        </row>
        <row r="994">
          <cell r="A994" t="str">
            <v>13038</v>
          </cell>
          <cell r="B994" t="str">
            <v>Grace Wanjugu Wangura</v>
          </cell>
          <cell r="E994" t="str">
            <v>ALAK</v>
          </cell>
        </row>
        <row r="995">
          <cell r="A995">
            <v>5215</v>
          </cell>
          <cell r="B995" t="str">
            <v>Grace Wangeshi</v>
          </cell>
          <cell r="E995" t="str">
            <v>ALAK</v>
          </cell>
        </row>
        <row r="996">
          <cell r="A996" t="str">
            <v>LG23273</v>
          </cell>
          <cell r="B996" t="str">
            <v>Grace Wamboi Thuku</v>
          </cell>
          <cell r="E996" t="str">
            <v>LG</v>
          </cell>
        </row>
        <row r="997">
          <cell r="A997" t="str">
            <v>LG20315</v>
          </cell>
          <cell r="B997" t="str">
            <v>Grace Wamaitha Gitau</v>
          </cell>
          <cell r="E997" t="str">
            <v>LG</v>
          </cell>
        </row>
        <row r="998">
          <cell r="A998" t="str">
            <v>LG24250</v>
          </cell>
          <cell r="B998" t="str">
            <v>Grace Owich</v>
          </cell>
          <cell r="E998" t="str">
            <v>LG</v>
          </cell>
        </row>
        <row r="999">
          <cell r="A999" t="str">
            <v>LG13153</v>
          </cell>
          <cell r="B999" t="str">
            <v>Grace Nkirote Nkirote</v>
          </cell>
          <cell r="E999" t="str">
            <v>LG</v>
          </cell>
        </row>
        <row r="1000">
          <cell r="A1000" t="str">
            <v>BB25193</v>
          </cell>
          <cell r="B1000" t="str">
            <v xml:space="preserve">Grace Njoroge </v>
          </cell>
          <cell r="E1000" t="str">
            <v>RM</v>
          </cell>
        </row>
        <row r="1001">
          <cell r="A1001">
            <v>5215</v>
          </cell>
          <cell r="B1001" t="str">
            <v>Grace Muriithi</v>
          </cell>
          <cell r="E1001" t="str">
            <v>ALAK</v>
          </cell>
        </row>
        <row r="1002">
          <cell r="A1002" t="str">
            <v>LG24361</v>
          </cell>
          <cell r="B1002" t="str">
            <v>Grace Mbula Ngei</v>
          </cell>
          <cell r="E1002" t="str">
            <v>LG</v>
          </cell>
        </row>
        <row r="1003">
          <cell r="A1003" t="str">
            <v>LG25074</v>
          </cell>
          <cell r="B1003" t="str">
            <v xml:space="preserve">Grace Kamene Mutisya </v>
          </cell>
          <cell r="E1003" t="str">
            <v>LG</v>
          </cell>
        </row>
        <row r="1004">
          <cell r="A1004" t="str">
            <v>LG24855</v>
          </cell>
          <cell r="B1004" t="str">
            <v>Grace Gatwiri  Karuntini</v>
          </cell>
          <cell r="E1004" t="str">
            <v>LG</v>
          </cell>
        </row>
        <row r="1005">
          <cell r="A1005" t="str">
            <v>BB05293</v>
          </cell>
          <cell r="B1005" t="str">
            <v>Grace Chelimo Keitany</v>
          </cell>
          <cell r="E1005" t="str">
            <v>UB</v>
          </cell>
        </row>
        <row r="1006">
          <cell r="A1006" t="str">
            <v>LG16985</v>
          </cell>
          <cell r="B1006" t="str">
            <v>Grace Awino Owino</v>
          </cell>
          <cell r="E1006" t="str">
            <v>LG</v>
          </cell>
        </row>
        <row r="1007">
          <cell r="A1007" t="str">
            <v>LG21261</v>
          </cell>
          <cell r="B1007" t="str">
            <v>Grace  Kambi</v>
          </cell>
          <cell r="E1007" t="str">
            <v>LG</v>
          </cell>
        </row>
        <row r="1008">
          <cell r="A1008" t="str">
            <v>LG22567</v>
          </cell>
          <cell r="B1008" t="str">
            <v>Gordon Otieno Ngoche</v>
          </cell>
          <cell r="E1008" t="str">
            <v>LG</v>
          </cell>
        </row>
        <row r="1009">
          <cell r="A1009" t="str">
            <v>BB22567</v>
          </cell>
          <cell r="B1009" t="str">
            <v>Gordon Ngoche</v>
          </cell>
          <cell r="E1009" t="str">
            <v>LG</v>
          </cell>
        </row>
        <row r="1010">
          <cell r="A1010" t="str">
            <v>LG18597</v>
          </cell>
          <cell r="B1010" t="str">
            <v>Godfrey Ounga Otieno</v>
          </cell>
          <cell r="E1010" t="str">
            <v>LG</v>
          </cell>
        </row>
        <row r="1011">
          <cell r="A1011" t="str">
            <v>LG19320</v>
          </cell>
          <cell r="B1011" t="str">
            <v>Godfrey Okumu Simiyu</v>
          </cell>
          <cell r="E1011" t="str">
            <v>LG</v>
          </cell>
        </row>
        <row r="1012">
          <cell r="A1012" t="str">
            <v>BB22902</v>
          </cell>
          <cell r="B1012" t="str">
            <v>Godfrey Mutinda Peter</v>
          </cell>
          <cell r="E1012" t="str">
            <v>RM</v>
          </cell>
        </row>
        <row r="1013">
          <cell r="A1013" t="str">
            <v>LG18277</v>
          </cell>
          <cell r="B1013" t="str">
            <v>Glory Wanjiru Ndaiga</v>
          </cell>
          <cell r="E1013" t="str">
            <v>LG</v>
          </cell>
        </row>
        <row r="1014">
          <cell r="A1014" t="str">
            <v>BB18277</v>
          </cell>
          <cell r="B1014" t="str">
            <v>Glory Ndaiga</v>
          </cell>
          <cell r="E1014" t="str">
            <v>UB</v>
          </cell>
        </row>
        <row r="1015">
          <cell r="A1015" t="str">
            <v>AB029Z2</v>
          </cell>
          <cell r="B1015" t="str">
            <v>Gloria Kimetto</v>
          </cell>
          <cell r="E1015" t="str">
            <v>LG</v>
          </cell>
        </row>
        <row r="1016">
          <cell r="A1016" t="str">
            <v>LG25098</v>
          </cell>
          <cell r="B1016" t="str">
            <v xml:space="preserve">Gladys Wanjiku Maina </v>
          </cell>
          <cell r="E1016" t="str">
            <v>LG</v>
          </cell>
        </row>
        <row r="1017">
          <cell r="A1017" t="str">
            <v>LG24549</v>
          </cell>
          <cell r="B1017" t="str">
            <v xml:space="preserve">Gladys Wambui Kibugi </v>
          </cell>
          <cell r="E1017" t="str">
            <v>LG</v>
          </cell>
        </row>
        <row r="1018">
          <cell r="A1018" t="str">
            <v>LG25220</v>
          </cell>
          <cell r="B1018" t="str">
            <v>Gladys Nzisa Ibrahim</v>
          </cell>
          <cell r="E1018" t="str">
            <v>LG</v>
          </cell>
        </row>
        <row r="1019">
          <cell r="A1019" t="str">
            <v>LG20867</v>
          </cell>
          <cell r="B1019" t="str">
            <v>Gladys Nyaguthii Kabugu</v>
          </cell>
          <cell r="E1019" t="str">
            <v>LG</v>
          </cell>
        </row>
        <row r="1020">
          <cell r="A1020" t="str">
            <v>13028</v>
          </cell>
          <cell r="B1020" t="str">
            <v>Gladys Kerubo Angwenyi</v>
          </cell>
          <cell r="E1020" t="str">
            <v>ALAK</v>
          </cell>
        </row>
        <row r="1021">
          <cell r="A1021" t="str">
            <v>AB027PN</v>
          </cell>
          <cell r="B1021" t="str">
            <v>Gladys Chepkwogen</v>
          </cell>
          <cell r="E1021" t="str">
            <v>LG</v>
          </cell>
        </row>
        <row r="1022">
          <cell r="A1022" t="str">
            <v>LG24909</v>
          </cell>
          <cell r="B1022" t="str">
            <v xml:space="preserve">Gladwell Wanjai Wamwiri </v>
          </cell>
          <cell r="E1022" t="str">
            <v>LG</v>
          </cell>
        </row>
        <row r="1023">
          <cell r="A1023" t="str">
            <v>MKL0497</v>
          </cell>
          <cell r="B1023" t="str">
            <v>Githinji, Leah Wangechi</v>
          </cell>
          <cell r="E1023" t="str">
            <v>ALAK</v>
          </cell>
        </row>
        <row r="1024">
          <cell r="A1024" t="str">
            <v>LG22695</v>
          </cell>
          <cell r="B1024" t="str">
            <v xml:space="preserve">Gilbert Ambuli </v>
          </cell>
          <cell r="E1024" t="str">
            <v>LG</v>
          </cell>
        </row>
        <row r="1025">
          <cell r="A1025" t="str">
            <v>LG22280</v>
          </cell>
          <cell r="B1025" t="str">
            <v>Gilbert  Kemei</v>
          </cell>
          <cell r="E1025" t="str">
            <v>LG</v>
          </cell>
        </row>
        <row r="1026">
          <cell r="A1026" t="str">
            <v>LG17335</v>
          </cell>
          <cell r="B1026" t="str">
            <v>Gideon Gichuki Gachema</v>
          </cell>
          <cell r="E1026" t="str">
            <v>LG</v>
          </cell>
        </row>
        <row r="1027">
          <cell r="A1027" t="str">
            <v>BB09227</v>
          </cell>
          <cell r="B1027" t="str">
            <v>Gezzy Namaemba Wafula</v>
          </cell>
          <cell r="E1027" t="str">
            <v>UB</v>
          </cell>
        </row>
        <row r="1028">
          <cell r="A1028" t="str">
            <v>LG25574</v>
          </cell>
          <cell r="B1028" t="str">
            <v xml:space="preserve">Georia Nzyioki </v>
          </cell>
          <cell r="E1028" t="str">
            <v>LG</v>
          </cell>
        </row>
        <row r="1029">
          <cell r="A1029" t="str">
            <v>BB21992</v>
          </cell>
          <cell r="B1029" t="str">
            <v>Georgette Adonya Imbaya</v>
          </cell>
          <cell r="E1029" t="str">
            <v>UB</v>
          </cell>
        </row>
        <row r="1030">
          <cell r="A1030" t="str">
            <v>BB25129</v>
          </cell>
          <cell r="B1030" t="str">
            <v xml:space="preserve">George Stephen Abong'o Awuor </v>
          </cell>
          <cell r="E1030" t="str">
            <v>RM</v>
          </cell>
        </row>
        <row r="1031">
          <cell r="A1031" t="str">
            <v>LG24247</v>
          </cell>
          <cell r="B1031" t="str">
            <v>George Noel Nyawade</v>
          </cell>
          <cell r="E1031" t="str">
            <v>LG</v>
          </cell>
        </row>
        <row r="1032">
          <cell r="A1032" t="str">
            <v>BB18603</v>
          </cell>
          <cell r="B1032" t="str">
            <v>George Mwaura Muturi</v>
          </cell>
          <cell r="E1032" t="str">
            <v>UB</v>
          </cell>
        </row>
        <row r="1033">
          <cell r="A1033" t="str">
            <v>BB16261</v>
          </cell>
          <cell r="B1033" t="str">
            <v>George Mvuko Ndune</v>
          </cell>
          <cell r="E1033" t="str">
            <v>UB</v>
          </cell>
        </row>
        <row r="1034">
          <cell r="A1034" t="str">
            <v>LG22017</v>
          </cell>
          <cell r="B1034" t="str">
            <v>George Kingi Kazungu</v>
          </cell>
          <cell r="E1034" t="str">
            <v>LG</v>
          </cell>
        </row>
        <row r="1035">
          <cell r="A1035" t="str">
            <v>BB25626</v>
          </cell>
          <cell r="B1035" t="str">
            <v>George Kenga Mizimu</v>
          </cell>
          <cell r="E1035" t="str">
            <v>BB</v>
          </cell>
        </row>
        <row r="1036">
          <cell r="A1036" t="str">
            <v>LG21620</v>
          </cell>
          <cell r="B1036" t="str">
            <v>George Gathoitha Njoroge</v>
          </cell>
          <cell r="E1036" t="str">
            <v>LG</v>
          </cell>
        </row>
        <row r="1037">
          <cell r="A1037" t="str">
            <v>LG19099</v>
          </cell>
          <cell r="B1037" t="str">
            <v xml:space="preserve">George Alukwe Barasa </v>
          </cell>
          <cell r="E1037" t="str">
            <v>LG</v>
          </cell>
        </row>
        <row r="1038">
          <cell r="A1038" t="str">
            <v>AB025OJ</v>
          </cell>
          <cell r="B1038" t="str">
            <v>Geogina Mbithe Kioko</v>
          </cell>
          <cell r="E1038" t="str">
            <v>LG</v>
          </cell>
        </row>
        <row r="1039">
          <cell r="A1039" t="str">
            <v>LG24866</v>
          </cell>
          <cell r="B1039" t="str">
            <v>GEOFFREY ROTICH KIBET</v>
          </cell>
          <cell r="E1039" t="str">
            <v>LG</v>
          </cell>
        </row>
        <row r="1040">
          <cell r="A1040" t="str">
            <v>ABGO135</v>
          </cell>
          <cell r="B1040" t="str">
            <v>Geoffrey Onyango Otuoma</v>
          </cell>
          <cell r="E1040" t="str">
            <v>LG</v>
          </cell>
        </row>
        <row r="1041">
          <cell r="A1041" t="str">
            <v>LG24539</v>
          </cell>
          <cell r="B1041" t="str">
            <v>Geoffrey Mwiva Mutua</v>
          </cell>
          <cell r="E1041" t="str">
            <v>LG</v>
          </cell>
        </row>
        <row r="1042">
          <cell r="A1042" t="str">
            <v>AB016KW</v>
          </cell>
          <cell r="B1042" t="str">
            <v>Geoffrey Milune</v>
          </cell>
          <cell r="E1042" t="str">
            <v>LG</v>
          </cell>
        </row>
        <row r="1043">
          <cell r="A1043" t="str">
            <v>LG13655</v>
          </cell>
          <cell r="B1043" t="str">
            <v>Gastone Ojwang Ogweno</v>
          </cell>
          <cell r="E1043" t="str">
            <v>LG</v>
          </cell>
        </row>
        <row r="1044">
          <cell r="A1044" t="str">
            <v>MKL0202</v>
          </cell>
          <cell r="B1044" t="str">
            <v>Gakii, Susan Caroline</v>
          </cell>
          <cell r="E1044" t="str">
            <v>ALAK</v>
          </cell>
        </row>
        <row r="1045">
          <cell r="A1045" t="str">
            <v>LG25049</v>
          </cell>
          <cell r="B1045" t="str">
            <v>Gabriel Odiwuor Otieno</v>
          </cell>
          <cell r="E1045" t="str">
            <v>LG</v>
          </cell>
        </row>
        <row r="1046">
          <cell r="A1046" t="str">
            <v>BB20931</v>
          </cell>
          <cell r="B1046" t="str">
            <v>Furaha Pole</v>
          </cell>
          <cell r="E1046" t="str">
            <v>UB</v>
          </cell>
        </row>
        <row r="1047">
          <cell r="A1047" t="str">
            <v>BB09587</v>
          </cell>
          <cell r="B1047" t="str">
            <v>Fridah Mukusya Mutisya</v>
          </cell>
          <cell r="E1047" t="str">
            <v>UB</v>
          </cell>
        </row>
        <row r="1048">
          <cell r="A1048" t="str">
            <v>BB10939</v>
          </cell>
          <cell r="B1048" t="str">
            <v>Fridah Mukuba Marangu</v>
          </cell>
          <cell r="E1048" t="str">
            <v>UB</v>
          </cell>
        </row>
        <row r="1049">
          <cell r="A1049" t="str">
            <v>LG25569</v>
          </cell>
          <cell r="B1049" t="str">
            <v>Freidah Wanda</v>
          </cell>
          <cell r="E1049" t="str">
            <v>LG</v>
          </cell>
        </row>
        <row r="1050">
          <cell r="A1050" t="str">
            <v>LG25586</v>
          </cell>
          <cell r="B1050" t="str">
            <v>Fredrick Sakaya</v>
          </cell>
          <cell r="E1050" t="str">
            <v>LG</v>
          </cell>
        </row>
        <row r="1051">
          <cell r="A1051" t="str">
            <v>BB06294</v>
          </cell>
          <cell r="B1051" t="str">
            <v>Fredrick Owuor</v>
          </cell>
          <cell r="E1051" t="str">
            <v>LG</v>
          </cell>
        </row>
        <row r="1052">
          <cell r="A1052" t="str">
            <v>ABFO054</v>
          </cell>
          <cell r="B1052" t="str">
            <v>Fredrick Owiye</v>
          </cell>
          <cell r="E1052" t="str">
            <v>LG</v>
          </cell>
        </row>
        <row r="1053">
          <cell r="A1053" t="str">
            <v>AB018EB</v>
          </cell>
          <cell r="B1053" t="str">
            <v>Fredrick Ouya</v>
          </cell>
          <cell r="E1053" t="str">
            <v>LG</v>
          </cell>
        </row>
        <row r="1054">
          <cell r="A1054" t="str">
            <v>LG12148</v>
          </cell>
          <cell r="B1054" t="str">
            <v>Fredrick Otieno Mitema</v>
          </cell>
          <cell r="E1054" t="str">
            <v>LG</v>
          </cell>
        </row>
        <row r="1055">
          <cell r="A1055" t="str">
            <v>AB016LJ</v>
          </cell>
          <cell r="B1055" t="str">
            <v>Fredrick Onyango</v>
          </cell>
          <cell r="E1055" t="str">
            <v>LG</v>
          </cell>
        </row>
        <row r="1056">
          <cell r="A1056" t="str">
            <v>LG19899</v>
          </cell>
          <cell r="B1056" t="str">
            <v>Fredrick Ochieng Odhiambo</v>
          </cell>
          <cell r="E1056" t="str">
            <v>LG</v>
          </cell>
        </row>
        <row r="1057">
          <cell r="A1057" t="str">
            <v>AB025ON</v>
          </cell>
          <cell r="B1057" t="str">
            <v>Fredrick Kingesi Munyao</v>
          </cell>
          <cell r="E1057" t="str">
            <v>LG</v>
          </cell>
        </row>
        <row r="1058">
          <cell r="A1058" t="str">
            <v>LG17363</v>
          </cell>
          <cell r="B1058" t="str">
            <v>Fredrick Kiiru Wanjiru</v>
          </cell>
          <cell r="E1058" t="str">
            <v>LG</v>
          </cell>
        </row>
        <row r="1059">
          <cell r="A1059" t="str">
            <v>LG24565</v>
          </cell>
          <cell r="B1059" t="str">
            <v>Fred Omullo Odero</v>
          </cell>
          <cell r="E1059" t="str">
            <v>LG</v>
          </cell>
        </row>
        <row r="1060">
          <cell r="A1060" t="str">
            <v>LG19623</v>
          </cell>
          <cell r="B1060" t="str">
            <v>Fred Ogaye Iro</v>
          </cell>
          <cell r="E1060" t="str">
            <v>LG</v>
          </cell>
        </row>
        <row r="1061">
          <cell r="A1061" t="str">
            <v>AB019VN</v>
          </cell>
          <cell r="B1061" t="str">
            <v>Frasiah Muhuhi</v>
          </cell>
          <cell r="E1061" t="str">
            <v>LG</v>
          </cell>
        </row>
        <row r="1062">
          <cell r="A1062" t="str">
            <v>AB019HP</v>
          </cell>
          <cell r="B1062" t="str">
            <v>Frashier Mwangi</v>
          </cell>
          <cell r="E1062" t="str">
            <v>UB</v>
          </cell>
        </row>
        <row r="1063">
          <cell r="A1063" t="str">
            <v>LG17924</v>
          </cell>
          <cell r="B1063" t="str">
            <v>Frankline Mathew Odhiambo</v>
          </cell>
          <cell r="E1063" t="str">
            <v>LG</v>
          </cell>
        </row>
        <row r="1064">
          <cell r="A1064" t="str">
            <v>BB17924</v>
          </cell>
          <cell r="B1064" t="str">
            <v>Frankline Mathew Odhiambo</v>
          </cell>
          <cell r="E1064" t="str">
            <v>UB</v>
          </cell>
        </row>
        <row r="1065">
          <cell r="A1065" t="str">
            <v>LG15815</v>
          </cell>
          <cell r="B1065" t="str">
            <v>Francis Sicheyi Imbwenya</v>
          </cell>
          <cell r="E1065" t="str">
            <v>LG</v>
          </cell>
        </row>
        <row r="1066">
          <cell r="A1066" t="str">
            <v>LG17847</v>
          </cell>
          <cell r="B1066" t="str">
            <v>Francis Otieno Ajowi</v>
          </cell>
          <cell r="E1066" t="str">
            <v>LG</v>
          </cell>
        </row>
        <row r="1067">
          <cell r="A1067" t="str">
            <v>LG17790</v>
          </cell>
          <cell r="B1067" t="str">
            <v>Francis Olumbe Osodo</v>
          </cell>
          <cell r="E1067" t="str">
            <v>LG</v>
          </cell>
        </row>
        <row r="1068">
          <cell r="A1068" t="str">
            <v>LG24848</v>
          </cell>
          <cell r="B1068" t="str">
            <v>Francis Mwangi  Maina</v>
          </cell>
          <cell r="E1068" t="str">
            <v>LG</v>
          </cell>
        </row>
        <row r="1069">
          <cell r="A1069" t="str">
            <v>LG21371</v>
          </cell>
          <cell r="B1069" t="str">
            <v>Francis Mulwa Musya</v>
          </cell>
          <cell r="E1069" t="str">
            <v>LG</v>
          </cell>
        </row>
        <row r="1070">
          <cell r="A1070" t="str">
            <v>BB06471</v>
          </cell>
          <cell r="B1070" t="str">
            <v>Francis Irungu Kareri</v>
          </cell>
          <cell r="E1070" t="str">
            <v>UB</v>
          </cell>
        </row>
        <row r="1071">
          <cell r="A1071" t="str">
            <v>LG19664</v>
          </cell>
          <cell r="B1071" t="str">
            <v xml:space="preserve">Francis Gicheru Ruiyi </v>
          </cell>
          <cell r="E1071" t="str">
            <v>LG</v>
          </cell>
        </row>
        <row r="1072">
          <cell r="A1072" t="str">
            <v>ABFM710</v>
          </cell>
          <cell r="B1072" t="str">
            <v xml:space="preserve">Florence Muthoni Mumbi </v>
          </cell>
          <cell r="E1072" t="str">
            <v>LG</v>
          </cell>
        </row>
        <row r="1073">
          <cell r="A1073" t="str">
            <v>LG18307</v>
          </cell>
          <cell r="B1073" t="str">
            <v xml:space="preserve">Florence Muthoni Mumbi </v>
          </cell>
          <cell r="E1073" t="str">
            <v>LG</v>
          </cell>
        </row>
        <row r="1074">
          <cell r="A1074" t="str">
            <v>BB09732</v>
          </cell>
          <cell r="B1074" t="str">
            <v>Florence Eve Aketi</v>
          </cell>
          <cell r="E1074" t="str">
            <v>UB</v>
          </cell>
        </row>
        <row r="1075">
          <cell r="A1075" t="str">
            <v>BB09490</v>
          </cell>
          <cell r="B1075" t="str">
            <v>Florence Chepkogei Gregory</v>
          </cell>
          <cell r="E1075" t="str">
            <v>UB</v>
          </cell>
        </row>
        <row r="1076">
          <cell r="A1076" t="str">
            <v>LG23413</v>
          </cell>
          <cell r="B1076" t="str">
            <v>Fiona Lynne Anyango Olang</v>
          </cell>
          <cell r="E1076" t="str">
            <v>LG</v>
          </cell>
        </row>
        <row r="1077">
          <cell r="A1077" t="str">
            <v>LG24243</v>
          </cell>
          <cell r="B1077" t="str">
            <v>Fiona Kiprop</v>
          </cell>
          <cell r="E1077" t="str">
            <v>LG</v>
          </cell>
        </row>
        <row r="1078">
          <cell r="A1078" t="str">
            <v>LG17233</v>
          </cell>
          <cell r="B1078" t="str">
            <v>Fidel Kituu</v>
          </cell>
          <cell r="E1078" t="str">
            <v>LG</v>
          </cell>
        </row>
        <row r="1079">
          <cell r="A1079" t="str">
            <v>LG12787</v>
          </cell>
          <cell r="B1079" t="str">
            <v>Fethar  Kagwiria</v>
          </cell>
          <cell r="E1079" t="str">
            <v>LG</v>
          </cell>
        </row>
        <row r="1080">
          <cell r="A1080" t="str">
            <v>BB11806</v>
          </cell>
          <cell r="B1080" t="str">
            <v xml:space="preserve">Festus Kioko </v>
          </cell>
          <cell r="E1080" t="str">
            <v>UB</v>
          </cell>
        </row>
        <row r="1081">
          <cell r="A1081" t="str">
            <v>AB016LS</v>
          </cell>
          <cell r="B1081" t="str">
            <v>Festus Kilole Mweu</v>
          </cell>
          <cell r="E1081" t="str">
            <v>UB</v>
          </cell>
        </row>
        <row r="1082">
          <cell r="A1082" t="str">
            <v>AB016KM</v>
          </cell>
          <cell r="B1082" t="str">
            <v xml:space="preserve">Felix Odhiambo </v>
          </cell>
          <cell r="E1082" t="str">
            <v>LG</v>
          </cell>
        </row>
        <row r="1083">
          <cell r="A1083" t="str">
            <v>BB07608</v>
          </cell>
          <cell r="B1083" t="str">
            <v>Felix Maingi Kikunga</v>
          </cell>
          <cell r="E1083" t="str">
            <v>UB</v>
          </cell>
        </row>
        <row r="1084">
          <cell r="A1084" t="str">
            <v>LG24552</v>
          </cell>
          <cell r="B1084" t="str">
            <v>Felix Kipkurui Bii</v>
          </cell>
          <cell r="E1084" t="str">
            <v>LG</v>
          </cell>
        </row>
        <row r="1085">
          <cell r="A1085" t="str">
            <v>AB019UG</v>
          </cell>
          <cell r="B1085" t="str">
            <v>Felix Bundi</v>
          </cell>
          <cell r="E1085" t="str">
            <v>LG</v>
          </cell>
        </row>
        <row r="1086">
          <cell r="A1086" t="str">
            <v>LG24357</v>
          </cell>
          <cell r="B1086" t="str">
            <v>Felister Nkipidah</v>
          </cell>
          <cell r="E1086" t="str">
            <v>LG</v>
          </cell>
        </row>
        <row r="1087">
          <cell r="A1087" t="str">
            <v>ABFN166</v>
          </cell>
          <cell r="B1087" t="str">
            <v>Felista Wamboi Njoroge</v>
          </cell>
          <cell r="E1087" t="str">
            <v>LG</v>
          </cell>
        </row>
        <row r="1088">
          <cell r="A1088" t="str">
            <v>BB24579</v>
          </cell>
          <cell r="B1088" t="str">
            <v>Felista Mutindi Muathe</v>
          </cell>
          <cell r="E1088" t="str">
            <v>UB</v>
          </cell>
        </row>
        <row r="1089">
          <cell r="A1089" t="str">
            <v>LG19543</v>
          </cell>
          <cell r="B1089" t="str">
            <v>Fatuma Ali Isaack</v>
          </cell>
          <cell r="E1089" t="str">
            <v>LG</v>
          </cell>
        </row>
        <row r="1090">
          <cell r="A1090" t="str">
            <v>ABFH125</v>
          </cell>
          <cell r="B1090" t="str">
            <v xml:space="preserve">Farida Halkand </v>
          </cell>
          <cell r="E1090" t="str">
            <v>UB</v>
          </cell>
        </row>
        <row r="1091">
          <cell r="A1091" t="str">
            <v>BB10335</v>
          </cell>
          <cell r="B1091" t="str">
            <v>Fanilla Mayaka</v>
          </cell>
          <cell r="E1091" t="str">
            <v>UB</v>
          </cell>
        </row>
        <row r="1092">
          <cell r="A1092" t="str">
            <v>AB018DN</v>
          </cell>
          <cell r="B1092" t="str">
            <v>Faith Wanza Kimengele</v>
          </cell>
          <cell r="E1092" t="str">
            <v>LG</v>
          </cell>
        </row>
        <row r="1093">
          <cell r="A1093" t="str">
            <v>LG24917</v>
          </cell>
          <cell r="B1093" t="str">
            <v xml:space="preserve">Faith Wanjiru Kaguru </v>
          </cell>
          <cell r="E1093" t="str">
            <v>LG</v>
          </cell>
        </row>
        <row r="1094">
          <cell r="A1094" t="str">
            <v>BB06000</v>
          </cell>
          <cell r="B1094" t="str">
            <v>Faith Wanjiku Thiong'o</v>
          </cell>
          <cell r="E1094" t="str">
            <v>RM</v>
          </cell>
        </row>
        <row r="1095">
          <cell r="A1095" t="str">
            <v>LG19637</v>
          </cell>
          <cell r="B1095" t="str">
            <v>Faith Nziku Muthinu</v>
          </cell>
          <cell r="E1095" t="str">
            <v>LG</v>
          </cell>
        </row>
        <row r="1096">
          <cell r="A1096" t="str">
            <v>BB22666</v>
          </cell>
          <cell r="B1096" t="str">
            <v xml:space="preserve">Faith Musyoki Mwongeli </v>
          </cell>
          <cell r="E1096" t="str">
            <v>UB</v>
          </cell>
        </row>
        <row r="1097">
          <cell r="A1097" t="str">
            <v>LG24756</v>
          </cell>
          <cell r="B1097" t="str">
            <v>Faith Mbeke Kiume</v>
          </cell>
          <cell r="E1097" t="str">
            <v>LG</v>
          </cell>
        </row>
        <row r="1098">
          <cell r="A1098" t="str">
            <v>LG16425</v>
          </cell>
          <cell r="B1098" t="str">
            <v>Faith Majory Kariuki</v>
          </cell>
          <cell r="E1098" t="str">
            <v>LG</v>
          </cell>
        </row>
        <row r="1099">
          <cell r="A1099" t="str">
            <v>LG1536S</v>
          </cell>
          <cell r="B1099" t="str">
            <v>Faith Lumadede</v>
          </cell>
          <cell r="E1099" t="str">
            <v>LG</v>
          </cell>
        </row>
        <row r="1100">
          <cell r="A1100" t="str">
            <v>LG24858</v>
          </cell>
          <cell r="B1100" t="str">
            <v>Faith Kavivi Munyoki</v>
          </cell>
          <cell r="E1100" t="str">
            <v>LG</v>
          </cell>
        </row>
        <row r="1101">
          <cell r="A1101" t="str">
            <v>LG25073</v>
          </cell>
          <cell r="B1101" t="str">
            <v xml:space="preserve">Faith Kamene Muema </v>
          </cell>
          <cell r="E1101" t="str">
            <v>LG</v>
          </cell>
        </row>
        <row r="1102">
          <cell r="A1102" t="str">
            <v>AB019FL</v>
          </cell>
          <cell r="B1102" t="str">
            <v>Faith Kagendo Njeru</v>
          </cell>
          <cell r="E1102" t="str">
            <v>LG</v>
          </cell>
        </row>
        <row r="1103">
          <cell r="A1103" t="str">
            <v>LG24208</v>
          </cell>
          <cell r="B1103" t="str">
            <v>Faith Jepkorir Kwambai</v>
          </cell>
          <cell r="E1103" t="str">
            <v>LG</v>
          </cell>
        </row>
        <row r="1104">
          <cell r="A1104" t="str">
            <v>ABFL113</v>
          </cell>
          <cell r="B1104" t="str">
            <v>Faith  Lumadede</v>
          </cell>
          <cell r="E1104" t="str">
            <v>LG</v>
          </cell>
        </row>
        <row r="1105">
          <cell r="A1105" t="str">
            <v>BB24637</v>
          </cell>
          <cell r="B1105" t="str">
            <v>Faith  Ketter</v>
          </cell>
          <cell r="E1105" t="str">
            <v>UB</v>
          </cell>
        </row>
        <row r="1106">
          <cell r="A1106" t="str">
            <v>AB0155E</v>
          </cell>
          <cell r="B1106" t="str">
            <v>Everton Mwaragu</v>
          </cell>
          <cell r="E1106" t="str">
            <v>LG</v>
          </cell>
        </row>
        <row r="1107">
          <cell r="A1107" t="str">
            <v>LG24326</v>
          </cell>
          <cell r="B1107" t="str">
            <v>Everlyne Munee Peter</v>
          </cell>
          <cell r="E1107" t="str">
            <v>LG</v>
          </cell>
        </row>
        <row r="1108">
          <cell r="A1108" t="str">
            <v>ABES753</v>
          </cell>
          <cell r="B1108" t="str">
            <v xml:space="preserve">Everlyne Mangala Singa </v>
          </cell>
          <cell r="E1108" t="str">
            <v>LG</v>
          </cell>
        </row>
        <row r="1109">
          <cell r="A1109" t="str">
            <v>AB023F8</v>
          </cell>
          <cell r="B1109" t="str">
            <v>Evelyne Waithaka</v>
          </cell>
          <cell r="E1109" t="str">
            <v>LG</v>
          </cell>
        </row>
        <row r="1110">
          <cell r="A1110" t="str">
            <v>LG23018</v>
          </cell>
          <cell r="B1110" t="str">
            <v>Evans Luhatse Mwisunji</v>
          </cell>
          <cell r="E1110" t="str">
            <v>LG</v>
          </cell>
        </row>
        <row r="1111">
          <cell r="A1111" t="str">
            <v>LG14392</v>
          </cell>
          <cell r="B1111" t="str">
            <v>Evans Iteleng Barasa</v>
          </cell>
          <cell r="E1111" t="str">
            <v>LG</v>
          </cell>
        </row>
        <row r="1112">
          <cell r="A1112" t="str">
            <v>BB15964</v>
          </cell>
          <cell r="B1112" t="str">
            <v>Evans Githinji</v>
          </cell>
          <cell r="E1112" t="str">
            <v>UB</v>
          </cell>
        </row>
        <row r="1113">
          <cell r="A1113" t="str">
            <v>LG23531</v>
          </cell>
          <cell r="B1113" t="str">
            <v>Evance Onyango Okoth</v>
          </cell>
          <cell r="E1113" t="str">
            <v>LG</v>
          </cell>
        </row>
        <row r="1114">
          <cell r="A1114" t="str">
            <v>AB02915</v>
          </cell>
          <cell r="B1114" t="str">
            <v>Evance Okomo</v>
          </cell>
          <cell r="E1114" t="str">
            <v>UB</v>
          </cell>
        </row>
        <row r="1115">
          <cell r="A1115" t="str">
            <v>LG20371</v>
          </cell>
          <cell r="B1115" t="str">
            <v>Evaline maina</v>
          </cell>
          <cell r="E1115" t="str">
            <v>LG</v>
          </cell>
        </row>
        <row r="1116">
          <cell r="A1116" t="str">
            <v>BB06160</v>
          </cell>
          <cell r="B1116" t="str">
            <v>Evaline Chebet Boitt</v>
          </cell>
          <cell r="E1116" t="str">
            <v>UB</v>
          </cell>
        </row>
        <row r="1117">
          <cell r="A1117" t="str">
            <v>BB04917</v>
          </cell>
          <cell r="B1117" t="str">
            <v>Eva Wanjiru Nyota</v>
          </cell>
          <cell r="E1117" t="str">
            <v>RM</v>
          </cell>
        </row>
        <row r="1118">
          <cell r="A1118" t="str">
            <v>AB025OI</v>
          </cell>
          <cell r="B1118" t="str">
            <v>Eva Jemutai Rutto</v>
          </cell>
          <cell r="E1118" t="str">
            <v>LG</v>
          </cell>
        </row>
        <row r="1119">
          <cell r="A1119" t="str">
            <v>AB026V7</v>
          </cell>
          <cell r="B1119" t="str">
            <v>Eva Chepchirchir Labatt</v>
          </cell>
          <cell r="E1119" t="str">
            <v>LG</v>
          </cell>
        </row>
        <row r="1120">
          <cell r="A1120" t="str">
            <v>BB06116</v>
          </cell>
          <cell r="B1120" t="str">
            <v>Eunice Nthambi Mutisya</v>
          </cell>
          <cell r="E1120" t="str">
            <v>RM</v>
          </cell>
        </row>
        <row r="1121">
          <cell r="A1121" t="str">
            <v>LG12779</v>
          </cell>
          <cell r="B1121" t="str">
            <v>Eunice Ngendo Kimani</v>
          </cell>
          <cell r="E1121" t="str">
            <v>LG</v>
          </cell>
        </row>
        <row r="1122">
          <cell r="A1122" t="str">
            <v>ABEK322</v>
          </cell>
          <cell r="B1122" t="str">
            <v>Eunice Koigu</v>
          </cell>
          <cell r="E1122" t="str">
            <v>LG</v>
          </cell>
        </row>
        <row r="1123">
          <cell r="A1123" t="str">
            <v>LG13096</v>
          </cell>
          <cell r="B1123" t="str">
            <v>Eunice Kiriro Msagha</v>
          </cell>
          <cell r="E1123" t="str">
            <v>LG</v>
          </cell>
        </row>
        <row r="1124">
          <cell r="A1124" t="str">
            <v>BB11099</v>
          </cell>
          <cell r="B1124" t="str">
            <v>Eunice Gachau</v>
          </cell>
          <cell r="E1124" t="str">
            <v>RM</v>
          </cell>
        </row>
        <row r="1125">
          <cell r="A1125" t="str">
            <v>LG17834</v>
          </cell>
          <cell r="B1125" t="str">
            <v>Eunice Chesista Lokicha</v>
          </cell>
          <cell r="E1125" t="str">
            <v>LG</v>
          </cell>
        </row>
        <row r="1126">
          <cell r="A1126" t="str">
            <v>AB006TR</v>
          </cell>
          <cell r="B1126" t="str">
            <v>Eunice Chege</v>
          </cell>
          <cell r="E1126" t="str">
            <v>LG</v>
          </cell>
        </row>
        <row r="1127">
          <cell r="A1127" t="str">
            <v>AB019VS</v>
          </cell>
          <cell r="B1127" t="str">
            <v>Eugene Karugu</v>
          </cell>
          <cell r="E1127" t="str">
            <v>LG</v>
          </cell>
        </row>
        <row r="1128">
          <cell r="A1128" t="str">
            <v>BB11208</v>
          </cell>
          <cell r="B1128" t="str">
            <v>Esther Wanyugu Rwigi</v>
          </cell>
          <cell r="E1128" t="str">
            <v>UB</v>
          </cell>
        </row>
        <row r="1129">
          <cell r="A1129" t="str">
            <v>LG24852</v>
          </cell>
          <cell r="B1129" t="str">
            <v>ESTHER WANJIRU WAIYEGO</v>
          </cell>
          <cell r="E1129" t="str">
            <v>LG</v>
          </cell>
        </row>
        <row r="1130">
          <cell r="A1130" t="str">
            <v>HISA0006</v>
          </cell>
          <cell r="B1130" t="str">
            <v>ESTHER WANJIRU GITHUKU</v>
          </cell>
          <cell r="E1130" t="str">
            <v>ALAK</v>
          </cell>
        </row>
        <row r="1131">
          <cell r="A1131" t="str">
            <v>LG23389</v>
          </cell>
          <cell r="B1131" t="str">
            <v>Esther Wamutwa Mutunga</v>
          </cell>
          <cell r="E1131" t="str">
            <v>LG</v>
          </cell>
        </row>
        <row r="1132">
          <cell r="A1132" t="str">
            <v>AB020F1</v>
          </cell>
          <cell r="B1132" t="str">
            <v>Esther Wairimu Miricho</v>
          </cell>
          <cell r="E1132" t="str">
            <v>LG</v>
          </cell>
        </row>
        <row r="1133">
          <cell r="A1133" t="str">
            <v>LG18466</v>
          </cell>
          <cell r="B1133" t="str">
            <v>Esther Wairimu Maina</v>
          </cell>
          <cell r="E1133" t="str">
            <v>LG</v>
          </cell>
        </row>
        <row r="1134">
          <cell r="A1134" t="str">
            <v>BB06514</v>
          </cell>
          <cell r="B1134" t="str">
            <v>Esther Wairimu Kigathi</v>
          </cell>
          <cell r="E1134" t="str">
            <v>RM</v>
          </cell>
        </row>
        <row r="1135">
          <cell r="A1135" t="str">
            <v>LG25458</v>
          </cell>
          <cell r="B1135" t="str">
            <v>Esther Nyambura Mathenge</v>
          </cell>
          <cell r="E1135" t="str">
            <v>LG</v>
          </cell>
        </row>
        <row r="1136">
          <cell r="A1136" t="str">
            <v>LG24851</v>
          </cell>
          <cell r="B1136" t="str">
            <v>Esther Namunyak Nampaso</v>
          </cell>
          <cell r="E1136" t="str">
            <v>LG</v>
          </cell>
        </row>
        <row r="1137">
          <cell r="A1137" t="str">
            <v>ABE0125</v>
          </cell>
          <cell r="B1137" t="str">
            <v>Esther Naipanoi</v>
          </cell>
          <cell r="E1137" t="str">
            <v>ALAK</v>
          </cell>
        </row>
        <row r="1138">
          <cell r="A1138" t="str">
            <v>LG15157</v>
          </cell>
          <cell r="B1138" t="str">
            <v>Esther Mutuku</v>
          </cell>
          <cell r="E1138" t="str">
            <v>LG</v>
          </cell>
        </row>
        <row r="1139">
          <cell r="A1139" t="str">
            <v>BB16899</v>
          </cell>
          <cell r="B1139" t="str">
            <v xml:space="preserve">Esther Murugi </v>
          </cell>
          <cell r="E1139" t="str">
            <v>UB</v>
          </cell>
        </row>
        <row r="1140">
          <cell r="A1140" t="str">
            <v>LG19768</v>
          </cell>
          <cell r="B1140" t="str">
            <v>Esther Mueni Kilonzo</v>
          </cell>
          <cell r="E1140" t="str">
            <v>LG</v>
          </cell>
        </row>
        <row r="1141">
          <cell r="A1141" t="str">
            <v>BB09636</v>
          </cell>
          <cell r="B1141" t="str">
            <v>Esther Mose</v>
          </cell>
          <cell r="E1141" t="str">
            <v>UB</v>
          </cell>
        </row>
        <row r="1142">
          <cell r="A1142" t="str">
            <v>LG24300</v>
          </cell>
          <cell r="B1142" t="str">
            <v>Esther Mkabili mwambewa</v>
          </cell>
          <cell r="E1142" t="str">
            <v>LG</v>
          </cell>
        </row>
        <row r="1143">
          <cell r="A1143" t="str">
            <v>AB022XO</v>
          </cell>
          <cell r="B1143" t="str">
            <v>Esther Mbula Mwaka</v>
          </cell>
          <cell r="E1143" t="str">
            <v>LG</v>
          </cell>
        </row>
        <row r="1144">
          <cell r="A1144" t="str">
            <v>LG19135</v>
          </cell>
          <cell r="B1144" t="str">
            <v>Esther Maureen Olwasi</v>
          </cell>
          <cell r="E1144" t="str">
            <v>LG</v>
          </cell>
        </row>
        <row r="1145">
          <cell r="A1145" t="str">
            <v>BB19768</v>
          </cell>
          <cell r="B1145" t="str">
            <v>Esther Kilonzo</v>
          </cell>
          <cell r="E1145" t="str">
            <v>UB</v>
          </cell>
        </row>
        <row r="1146">
          <cell r="A1146" t="str">
            <v>AB026V6</v>
          </cell>
          <cell r="B1146" t="str">
            <v xml:space="preserve">Esther Isoe </v>
          </cell>
          <cell r="E1146" t="str">
            <v>LG</v>
          </cell>
        </row>
        <row r="1147">
          <cell r="A1147" t="str">
            <v>LG19118</v>
          </cell>
          <cell r="B1147" t="str">
            <v>Esther  Tatu</v>
          </cell>
          <cell r="E1147" t="str">
            <v>LG</v>
          </cell>
        </row>
        <row r="1148">
          <cell r="A1148">
            <v>15017</v>
          </cell>
          <cell r="B1148" t="str">
            <v>Espendita Nyaga</v>
          </cell>
          <cell r="E1148" t="str">
            <v>ALAK</v>
          </cell>
        </row>
        <row r="1149">
          <cell r="A1149" t="str">
            <v>15017</v>
          </cell>
          <cell r="B1149" t="str">
            <v>Espendita Muthoni Nyaga</v>
          </cell>
          <cell r="E1149" t="str">
            <v>ALAK</v>
          </cell>
        </row>
        <row r="1150">
          <cell r="A1150" t="str">
            <v>LG21443</v>
          </cell>
          <cell r="B1150" t="str">
            <v>Erick Cheruiyot Kiprono</v>
          </cell>
          <cell r="E1150" t="str">
            <v>LG</v>
          </cell>
        </row>
        <row r="1151">
          <cell r="A1151" t="str">
            <v>5160</v>
          </cell>
          <cell r="B1151" t="str">
            <v>Eric Stanley Ng'ethe</v>
          </cell>
          <cell r="E1151" t="str">
            <v>ALAK</v>
          </cell>
        </row>
        <row r="1152">
          <cell r="A1152" t="str">
            <v>AB0198T</v>
          </cell>
          <cell r="B1152" t="str">
            <v>Eric Ouko</v>
          </cell>
          <cell r="E1152" t="str">
            <v>LG</v>
          </cell>
        </row>
        <row r="1153">
          <cell r="A1153" t="str">
            <v>BB13434</v>
          </cell>
          <cell r="B1153" t="str">
            <v>Eric Njenjere Mugaa</v>
          </cell>
          <cell r="E1153" t="str">
            <v>UB</v>
          </cell>
        </row>
        <row r="1154">
          <cell r="A1154" t="str">
            <v>LG16356</v>
          </cell>
          <cell r="B1154" t="str">
            <v>Eric Mluka Mwabili</v>
          </cell>
          <cell r="E1154" t="str">
            <v>LG</v>
          </cell>
        </row>
        <row r="1155">
          <cell r="A1155" t="str">
            <v>AB026QX</v>
          </cell>
          <cell r="B1155" t="str">
            <v>Eric Kibet Rono</v>
          </cell>
          <cell r="E1155" t="str">
            <v>LG</v>
          </cell>
        </row>
        <row r="1156">
          <cell r="A1156" t="str">
            <v>BB13793</v>
          </cell>
          <cell r="B1156" t="str">
            <v>Eric  Wambua</v>
          </cell>
          <cell r="E1156" t="str">
            <v>UB</v>
          </cell>
        </row>
        <row r="1157">
          <cell r="A1157" t="str">
            <v>AB024UK</v>
          </cell>
          <cell r="B1157" t="str">
            <v>Erastus Sakwa</v>
          </cell>
          <cell r="E1157" t="str">
            <v>LG</v>
          </cell>
        </row>
        <row r="1158">
          <cell r="A1158" t="str">
            <v>LG15242</v>
          </cell>
          <cell r="B1158" t="str">
            <v>Erasto Ocholah Omengo</v>
          </cell>
          <cell r="E1158" t="str">
            <v>LG</v>
          </cell>
        </row>
        <row r="1159">
          <cell r="A1159" t="str">
            <v>AB022EY</v>
          </cell>
          <cell r="B1159" t="str">
            <v>Emmy Chepkirui</v>
          </cell>
          <cell r="E1159" t="str">
            <v>LG</v>
          </cell>
        </row>
        <row r="1160">
          <cell r="A1160" t="str">
            <v>AB021RG</v>
          </cell>
          <cell r="B1160" t="str">
            <v>Emmanuel Olando</v>
          </cell>
          <cell r="E1160" t="str">
            <v>UB</v>
          </cell>
        </row>
        <row r="1161">
          <cell r="A1161" t="str">
            <v>LG23185</v>
          </cell>
          <cell r="B1161" t="str">
            <v>Emmanuel Odhiambo Ouma</v>
          </cell>
          <cell r="E1161" t="str">
            <v>LG</v>
          </cell>
        </row>
        <row r="1162">
          <cell r="A1162" t="str">
            <v>5185</v>
          </cell>
          <cell r="B1162" t="str">
            <v>Emmanuel Mwendwa Mutua</v>
          </cell>
          <cell r="E1162" t="str">
            <v>ALAK</v>
          </cell>
        </row>
        <row r="1163">
          <cell r="A1163" t="str">
            <v>BB09279</v>
          </cell>
          <cell r="B1163" t="str">
            <v>Emmanuel Benzi Masoka</v>
          </cell>
          <cell r="E1163" t="str">
            <v>UB</v>
          </cell>
        </row>
        <row r="1164">
          <cell r="A1164" t="str">
            <v>AB023XJ</v>
          </cell>
          <cell r="B1164" t="str">
            <v>Emmah Kapcherui</v>
          </cell>
          <cell r="E1164" t="str">
            <v>LG</v>
          </cell>
        </row>
        <row r="1165">
          <cell r="A1165" t="str">
            <v>AB026TP</v>
          </cell>
          <cell r="B1165" t="str">
            <v>Emmah Bancon</v>
          </cell>
          <cell r="E1165" t="str">
            <v>LG</v>
          </cell>
        </row>
        <row r="1166">
          <cell r="A1166" t="str">
            <v>LG18613</v>
          </cell>
          <cell r="B1166" t="str">
            <v>Evans Githinji</v>
          </cell>
          <cell r="E1166" t="str">
            <v>UB</v>
          </cell>
        </row>
        <row r="1167">
          <cell r="A1167" t="str">
            <v>AB019HT</v>
          </cell>
          <cell r="B1167" t="str">
            <v>Emma Mwilaria</v>
          </cell>
          <cell r="E1167" t="str">
            <v>LG</v>
          </cell>
        </row>
        <row r="1168">
          <cell r="A1168" t="str">
            <v>LG24762</v>
          </cell>
          <cell r="B1168" t="str">
            <v>Emma Masiliani Muriuki</v>
          </cell>
          <cell r="E1168" t="str">
            <v>LG</v>
          </cell>
        </row>
        <row r="1169">
          <cell r="A1169" t="str">
            <v>AB024LD</v>
          </cell>
          <cell r="B1169" t="str">
            <v>Emily Jepchirchir</v>
          </cell>
          <cell r="E1169" t="str">
            <v>ALAK</v>
          </cell>
        </row>
        <row r="1170">
          <cell r="A1170" t="str">
            <v>LG16575</v>
          </cell>
          <cell r="B1170" t="str">
            <v>Emily Awuor Muga</v>
          </cell>
          <cell r="E1170" t="str">
            <v>LG</v>
          </cell>
        </row>
        <row r="1171">
          <cell r="A1171" t="str">
            <v>LG23498</v>
          </cell>
          <cell r="B1171" t="str">
            <v>Emily Adhimbo Odeny</v>
          </cell>
          <cell r="E1171" t="str">
            <v>LG</v>
          </cell>
        </row>
        <row r="1172">
          <cell r="A1172" t="str">
            <v>LG09390</v>
          </cell>
          <cell r="B1172" t="str">
            <v>Emilly Osebe Mokano</v>
          </cell>
          <cell r="E1172" t="str">
            <v>LG</v>
          </cell>
        </row>
        <row r="1173">
          <cell r="A1173" t="str">
            <v>ABEP409</v>
          </cell>
          <cell r="B1173" t="str">
            <v>Emilly Ekirapa papa</v>
          </cell>
          <cell r="E1173" t="str">
            <v>LG</v>
          </cell>
        </row>
        <row r="1174">
          <cell r="A1174" t="str">
            <v>LG19417</v>
          </cell>
          <cell r="B1174" t="str">
            <v>Elvis Wafula Kalizo</v>
          </cell>
          <cell r="E1174" t="str">
            <v>LG</v>
          </cell>
        </row>
        <row r="1175">
          <cell r="A1175" t="str">
            <v>AB021R1</v>
          </cell>
          <cell r="B1175" t="str">
            <v>Elpina Kima Mwashao</v>
          </cell>
          <cell r="E1175" t="str">
            <v>LG</v>
          </cell>
        </row>
        <row r="1176">
          <cell r="A1176" t="str">
            <v>BB17984</v>
          </cell>
          <cell r="B1176" t="str">
            <v>Elly Alfred Karuba</v>
          </cell>
          <cell r="E1176" t="str">
            <v>UB</v>
          </cell>
        </row>
        <row r="1177">
          <cell r="A1177" t="str">
            <v>LG24531</v>
          </cell>
          <cell r="B1177" t="str">
            <v xml:space="preserve">Ellen Makio </v>
          </cell>
          <cell r="E1177" t="str">
            <v>LG</v>
          </cell>
        </row>
        <row r="1178">
          <cell r="A1178" t="str">
            <v>LG17191</v>
          </cell>
          <cell r="B1178" t="str">
            <v>Elizabeth Syokau Mweu</v>
          </cell>
          <cell r="E1178" t="str">
            <v>LG</v>
          </cell>
        </row>
        <row r="1179">
          <cell r="A1179" t="str">
            <v>AB025D1</v>
          </cell>
          <cell r="B1179" t="str">
            <v>Elizabeth Onuko</v>
          </cell>
          <cell r="E1179" t="str">
            <v>LG</v>
          </cell>
        </row>
        <row r="1180">
          <cell r="A1180" t="str">
            <v>LG21723</v>
          </cell>
          <cell r="B1180" t="str">
            <v>Elizabeth Nyambura Njoroge</v>
          </cell>
          <cell r="E1180" t="str">
            <v>LG</v>
          </cell>
        </row>
        <row r="1181">
          <cell r="A1181" t="str">
            <v>LG19039</v>
          </cell>
          <cell r="B1181" t="str">
            <v>Elizabeth Kimwoma Otsyula</v>
          </cell>
          <cell r="E1181" t="str">
            <v>LG</v>
          </cell>
        </row>
        <row r="1182">
          <cell r="A1182" t="str">
            <v>BB06460</v>
          </cell>
          <cell r="B1182" t="str">
            <v>Elizabeth Katethya Mwendwa</v>
          </cell>
          <cell r="E1182" t="str">
            <v>RM</v>
          </cell>
        </row>
        <row r="1183">
          <cell r="A1183" t="str">
            <v>BB07815</v>
          </cell>
          <cell r="B1183" t="str">
            <v>Elizabeth Gachingiri</v>
          </cell>
          <cell r="E1183" t="str">
            <v>UB</v>
          </cell>
        </row>
        <row r="1184">
          <cell r="A1184" t="str">
            <v>AB0203N</v>
          </cell>
          <cell r="B1184" t="str">
            <v>Eliud Nkunja</v>
          </cell>
          <cell r="E1184" t="str">
            <v>LG</v>
          </cell>
        </row>
        <row r="1185">
          <cell r="B1185" t="str">
            <v>Eliud Ng'ang'a</v>
          </cell>
          <cell r="E1185" t="str">
            <v>ALAK</v>
          </cell>
        </row>
        <row r="1186">
          <cell r="A1186">
            <v>5214</v>
          </cell>
          <cell r="B1186" t="str">
            <v>Eliud Nganga</v>
          </cell>
          <cell r="E1186" t="str">
            <v>ALAK</v>
          </cell>
        </row>
        <row r="1187">
          <cell r="A1187" t="str">
            <v>AB011H7</v>
          </cell>
          <cell r="B1187" t="str">
            <v>Elinisia Pauline Nasumuni</v>
          </cell>
          <cell r="E1187" t="str">
            <v>LG</v>
          </cell>
        </row>
        <row r="1188">
          <cell r="A1188" t="str">
            <v>BB09575</v>
          </cell>
          <cell r="B1188" t="str">
            <v>Elijah Nyambichu Omoyo</v>
          </cell>
          <cell r="E1188" t="str">
            <v>UB</v>
          </cell>
        </row>
        <row r="1189">
          <cell r="A1189" t="str">
            <v>LG24576</v>
          </cell>
          <cell r="B1189" t="str">
            <v>Eli Onyango Ngoha</v>
          </cell>
          <cell r="E1189" t="str">
            <v>LG</v>
          </cell>
        </row>
        <row r="1190">
          <cell r="A1190" t="str">
            <v>LG11038</v>
          </cell>
          <cell r="B1190" t="str">
            <v>Ekirah Gathoni Wachira</v>
          </cell>
          <cell r="E1190" t="str">
            <v>LG</v>
          </cell>
        </row>
        <row r="1191">
          <cell r="A1191" t="str">
            <v>LG15700</v>
          </cell>
          <cell r="B1191" t="str">
            <v>Edwin Wafula Manyore</v>
          </cell>
          <cell r="E1191" t="str">
            <v>LG</v>
          </cell>
        </row>
        <row r="1192">
          <cell r="A1192" t="str">
            <v>ZBRG078</v>
          </cell>
          <cell r="B1192" t="str">
            <v>Edwin Okero</v>
          </cell>
          <cell r="E1192" t="str">
            <v>ALAK</v>
          </cell>
        </row>
        <row r="1193">
          <cell r="A1193" t="str">
            <v>LG25467</v>
          </cell>
          <cell r="B1193" t="str">
            <v>Edwin Nyakundi</v>
          </cell>
          <cell r="E1193" t="str">
            <v>LG</v>
          </cell>
        </row>
        <row r="1194">
          <cell r="A1194" t="str">
            <v>LG13671</v>
          </cell>
          <cell r="B1194" t="str">
            <v>Edward Mwangoma Mulanghui</v>
          </cell>
          <cell r="E1194" t="str">
            <v>LG</v>
          </cell>
        </row>
        <row r="1195">
          <cell r="A1195" t="str">
            <v>BB20440</v>
          </cell>
          <cell r="B1195" t="str">
            <v>Edward KIPROTICH Chepngotie</v>
          </cell>
          <cell r="E1195" t="str">
            <v>UB</v>
          </cell>
        </row>
        <row r="1196">
          <cell r="A1196" t="str">
            <v>ABEK320</v>
          </cell>
          <cell r="B1196" t="str">
            <v xml:space="preserve">Edward Kiprono Kipchumba </v>
          </cell>
          <cell r="E1196" t="str">
            <v>LG</v>
          </cell>
        </row>
        <row r="1197">
          <cell r="A1197" t="str">
            <v>LG20973</v>
          </cell>
          <cell r="B1197" t="str">
            <v>Edward Kiprono</v>
          </cell>
          <cell r="E1197" t="str">
            <v>LG</v>
          </cell>
        </row>
        <row r="1198">
          <cell r="A1198" t="str">
            <v>BB11097</v>
          </cell>
          <cell r="B1198" t="str">
            <v>Edna Wangui</v>
          </cell>
          <cell r="E1198" t="str">
            <v>UB</v>
          </cell>
        </row>
        <row r="1199">
          <cell r="A1199" t="str">
            <v>LG25450</v>
          </cell>
          <cell r="B1199" t="str">
            <v>Edna Kimanzi Wambui</v>
          </cell>
          <cell r="E1199" t="str">
            <v>RM</v>
          </cell>
        </row>
        <row r="1200">
          <cell r="A1200" t="str">
            <v>LG25449</v>
          </cell>
          <cell r="B1200" t="str">
            <v>Edna Kimanzi Wambui</v>
          </cell>
          <cell r="E1200" t="str">
            <v>LG</v>
          </cell>
        </row>
        <row r="1201">
          <cell r="A1201" t="str">
            <v>LG20174</v>
          </cell>
          <cell r="B1201" t="str">
            <v>Edna Kerubo Ombati</v>
          </cell>
          <cell r="E1201" t="str">
            <v>LG</v>
          </cell>
        </row>
        <row r="1202">
          <cell r="A1202" t="str">
            <v>LG24039</v>
          </cell>
          <cell r="B1202" t="str">
            <v>Edith Wanjiru Gathaci</v>
          </cell>
          <cell r="E1202" t="str">
            <v>LG</v>
          </cell>
        </row>
        <row r="1203">
          <cell r="A1203" t="str">
            <v>LG24564</v>
          </cell>
          <cell r="B1203" t="str">
            <v xml:space="preserve">Edith Mumbi Mwanza </v>
          </cell>
          <cell r="E1203" t="str">
            <v>LG</v>
          </cell>
        </row>
        <row r="1204">
          <cell r="A1204" t="str">
            <v>AB019G4</v>
          </cell>
          <cell r="B1204" t="str">
            <v>Edith Mercy Wanjiru Waweru</v>
          </cell>
          <cell r="E1204" t="str">
            <v>LG</v>
          </cell>
        </row>
        <row r="1205">
          <cell r="A1205" t="str">
            <v>LG25095</v>
          </cell>
          <cell r="B1205" t="str">
            <v xml:space="preserve">Edita Anyango Amadi </v>
          </cell>
          <cell r="E1205" t="str">
            <v>LG</v>
          </cell>
        </row>
        <row r="1206">
          <cell r="A1206" t="str">
            <v>LG19828</v>
          </cell>
          <cell r="B1206" t="str">
            <v xml:space="preserve">Edgar Ochieng Okello </v>
          </cell>
          <cell r="E1206" t="str">
            <v>LG</v>
          </cell>
        </row>
        <row r="1207">
          <cell r="A1207" t="str">
            <v>LG07603</v>
          </cell>
          <cell r="B1207" t="str">
            <v>Edel Eunice Ngina Katumo</v>
          </cell>
          <cell r="E1207" t="str">
            <v>LG</v>
          </cell>
        </row>
        <row r="1208">
          <cell r="A1208" t="str">
            <v>BB13799</v>
          </cell>
          <cell r="B1208" t="str">
            <v>Duncan Omondi Wambani</v>
          </cell>
          <cell r="E1208" t="str">
            <v>UB</v>
          </cell>
        </row>
        <row r="1209">
          <cell r="A1209" t="str">
            <v>ABDMA87</v>
          </cell>
          <cell r="B1209" t="str">
            <v>Duncan Iregi Muhoro</v>
          </cell>
          <cell r="E1209" t="str">
            <v>LG</v>
          </cell>
        </row>
        <row r="1210">
          <cell r="A1210" t="str">
            <v>LG24859</v>
          </cell>
          <cell r="B1210" t="str">
            <v>Douglas Ondieki  Omagwa</v>
          </cell>
          <cell r="E1210" t="str">
            <v>LG</v>
          </cell>
        </row>
        <row r="1211">
          <cell r="A1211" t="str">
            <v>AB015N8</v>
          </cell>
          <cell r="B1211" t="str">
            <v>Douglas Munene</v>
          </cell>
          <cell r="E1211" t="str">
            <v>LG</v>
          </cell>
        </row>
        <row r="1212">
          <cell r="A1212" t="str">
            <v>AB0296V</v>
          </cell>
          <cell r="B1212" t="str">
            <v>Dorothy Ochich</v>
          </cell>
          <cell r="E1212" t="str">
            <v>LG</v>
          </cell>
        </row>
        <row r="1213">
          <cell r="A1213" t="str">
            <v>LG10923</v>
          </cell>
          <cell r="B1213" t="str">
            <v>Dorothy Akelo Orwa</v>
          </cell>
          <cell r="E1213" t="str">
            <v>LG</v>
          </cell>
        </row>
        <row r="1214">
          <cell r="A1214" t="str">
            <v>LG07987</v>
          </cell>
          <cell r="B1214" t="str">
            <v>Doris Nekoye Malilo</v>
          </cell>
          <cell r="E1214" t="str">
            <v>LG</v>
          </cell>
        </row>
        <row r="1215">
          <cell r="A1215" t="str">
            <v>LG25226</v>
          </cell>
          <cell r="B1215" t="str">
            <v>Dorice Amondi Odhiambo</v>
          </cell>
          <cell r="E1215" t="str">
            <v>LG</v>
          </cell>
        </row>
        <row r="1216">
          <cell r="A1216" t="str">
            <v>BB06140</v>
          </cell>
          <cell r="B1216" t="str">
            <v>Doreen Naliaka Mutua</v>
          </cell>
          <cell r="E1216" t="str">
            <v>UB</v>
          </cell>
        </row>
        <row r="1217">
          <cell r="A1217" t="str">
            <v>LG24288</v>
          </cell>
          <cell r="B1217" t="str">
            <v xml:space="preserve">Doreen Kendi </v>
          </cell>
          <cell r="E1217" t="str">
            <v>LG</v>
          </cell>
        </row>
        <row r="1218">
          <cell r="A1218" t="str">
            <v>LG21682</v>
          </cell>
          <cell r="B1218" t="str">
            <v>Dorcus Munanye Ngula</v>
          </cell>
          <cell r="E1218" t="str">
            <v>LG</v>
          </cell>
        </row>
        <row r="1219">
          <cell r="A1219" t="str">
            <v>ABR0139</v>
          </cell>
          <cell r="B1219" t="str">
            <v>Dorcus Ayuma Ongondo</v>
          </cell>
          <cell r="E1219" t="str">
            <v>LG</v>
          </cell>
        </row>
        <row r="1220">
          <cell r="A1220" t="str">
            <v>LG19586</v>
          </cell>
          <cell r="B1220" t="str">
            <v>Dorcus Ayuma Ongindo</v>
          </cell>
          <cell r="E1220" t="str">
            <v>LG</v>
          </cell>
        </row>
        <row r="1221">
          <cell r="A1221" t="str">
            <v>AB019Z2</v>
          </cell>
          <cell r="B1221" t="str">
            <v>Dora Chakua</v>
          </cell>
          <cell r="E1221" t="str">
            <v>UB</v>
          </cell>
        </row>
        <row r="1222">
          <cell r="A1222" t="str">
            <v>AB030QW</v>
          </cell>
          <cell r="B1222" t="str">
            <v>Donah Soitah</v>
          </cell>
          <cell r="E1222" t="str">
            <v>LG</v>
          </cell>
        </row>
        <row r="1223">
          <cell r="A1223" t="str">
            <v>LG18623</v>
          </cell>
          <cell r="B1223" t="str">
            <v>Dominic Ondong'A Mokua</v>
          </cell>
          <cell r="E1223" t="str">
            <v>LG</v>
          </cell>
        </row>
        <row r="1224">
          <cell r="A1224" t="str">
            <v>AB020BI</v>
          </cell>
          <cell r="B1224" t="str">
            <v>Dominic Ngetich</v>
          </cell>
          <cell r="E1224" t="str">
            <v>LG</v>
          </cell>
        </row>
        <row r="1225">
          <cell r="A1225" t="str">
            <v>AB019ZE</v>
          </cell>
          <cell r="B1225" t="str">
            <v xml:space="preserve">Dominic Musyoki Muteti </v>
          </cell>
          <cell r="E1225" t="str">
            <v>LG</v>
          </cell>
        </row>
        <row r="1226">
          <cell r="A1226" t="str">
            <v>AB0154C</v>
          </cell>
          <cell r="B1226" t="str">
            <v>Dishon Walter Ongayi</v>
          </cell>
          <cell r="E1226" t="str">
            <v>LG</v>
          </cell>
        </row>
        <row r="1227">
          <cell r="A1227" t="str">
            <v>AB019UB</v>
          </cell>
          <cell r="B1227" t="str">
            <v>Dickson Ombaba</v>
          </cell>
          <cell r="E1227" t="str">
            <v>LG</v>
          </cell>
        </row>
        <row r="1228">
          <cell r="A1228" t="str">
            <v>LG24489</v>
          </cell>
          <cell r="B1228" t="str">
            <v>Dickson Nyangara Ombaba</v>
          </cell>
          <cell r="E1228" t="str">
            <v>LG</v>
          </cell>
        </row>
        <row r="1229">
          <cell r="A1229" t="str">
            <v>LG17265</v>
          </cell>
          <cell r="B1229" t="str">
            <v>Dickson Matunda Bosire</v>
          </cell>
          <cell r="E1229" t="str">
            <v>LG</v>
          </cell>
        </row>
        <row r="1230">
          <cell r="A1230" t="str">
            <v>AB02338</v>
          </cell>
          <cell r="B1230" t="str">
            <v>Dianah Mauku</v>
          </cell>
          <cell r="E1230" t="str">
            <v>LG</v>
          </cell>
        </row>
        <row r="1231">
          <cell r="A1231" t="str">
            <v>LG24367</v>
          </cell>
          <cell r="B1231" t="str">
            <v>Diana Purity Nasong`o</v>
          </cell>
          <cell r="E1231" t="str">
            <v>LG</v>
          </cell>
        </row>
        <row r="1232">
          <cell r="A1232" t="str">
            <v>AB023UP</v>
          </cell>
          <cell r="B1232" t="str">
            <v>Diana Ooko</v>
          </cell>
          <cell r="E1232" t="str">
            <v>LG</v>
          </cell>
        </row>
        <row r="1233">
          <cell r="A1233" t="str">
            <v>ABDK459</v>
          </cell>
          <cell r="B1233" t="str">
            <v>Diana Nabwile Kituyi</v>
          </cell>
          <cell r="E1233" t="str">
            <v>LG</v>
          </cell>
        </row>
        <row r="1234">
          <cell r="A1234" t="str">
            <v>LG25459</v>
          </cell>
          <cell r="B1234" t="str">
            <v>Diana Nabwile Kituyi</v>
          </cell>
          <cell r="E1234" t="str">
            <v>LG</v>
          </cell>
        </row>
        <row r="1235">
          <cell r="A1235" t="str">
            <v>AB020AX</v>
          </cell>
          <cell r="B1235" t="str">
            <v>Diana Mbuvi</v>
          </cell>
          <cell r="E1235" t="str">
            <v>LG</v>
          </cell>
        </row>
        <row r="1236">
          <cell r="A1236" t="str">
            <v>LG24304</v>
          </cell>
          <cell r="B1236" t="str">
            <v>Diana Akinyi Odera</v>
          </cell>
          <cell r="E1236" t="str">
            <v>LG</v>
          </cell>
        </row>
        <row r="1237">
          <cell r="A1237" t="str">
            <v>LG21530</v>
          </cell>
          <cell r="B1237" t="str">
            <v>Dennis Mutua Mutiso</v>
          </cell>
          <cell r="E1237" t="str">
            <v>LG</v>
          </cell>
        </row>
        <row r="1238">
          <cell r="A1238" t="str">
            <v>BB20996</v>
          </cell>
          <cell r="B1238" t="str">
            <v>Dennis KYALO Kilonzo</v>
          </cell>
          <cell r="E1238" t="str">
            <v>LG</v>
          </cell>
        </row>
        <row r="1239">
          <cell r="A1239" t="str">
            <v>BB07470</v>
          </cell>
          <cell r="B1239" t="str">
            <v>Dennis Kamau</v>
          </cell>
          <cell r="E1239" t="str">
            <v>UB</v>
          </cell>
        </row>
        <row r="1240">
          <cell r="A1240" t="str">
            <v>BB04910</v>
          </cell>
          <cell r="B1240" t="str">
            <v>Denis Nyongesa Wekesa</v>
          </cell>
          <cell r="E1240" t="str">
            <v>RM</v>
          </cell>
        </row>
        <row r="1241">
          <cell r="A1241">
            <v>9201</v>
          </cell>
          <cell r="B1241" t="str">
            <v>Denis Munene</v>
          </cell>
          <cell r="E1241" t="str">
            <v>ALAK</v>
          </cell>
        </row>
        <row r="1242">
          <cell r="A1242" t="str">
            <v>LG15818</v>
          </cell>
          <cell r="B1242" t="str">
            <v>Denis Gucha Odoyo</v>
          </cell>
          <cell r="E1242" t="str">
            <v>LG</v>
          </cell>
        </row>
        <row r="1243">
          <cell r="A1243" t="str">
            <v>AB022BT</v>
          </cell>
          <cell r="B1243" t="str">
            <v>Debra Lang'at</v>
          </cell>
          <cell r="E1243" t="str">
            <v>LG</v>
          </cell>
        </row>
        <row r="1244">
          <cell r="A1244" t="str">
            <v>BB07356</v>
          </cell>
          <cell r="B1244" t="str">
            <v>Debra Clementina Oweya</v>
          </cell>
          <cell r="E1244" t="str">
            <v>RM</v>
          </cell>
        </row>
        <row r="1245">
          <cell r="A1245" t="str">
            <v>LG23232</v>
          </cell>
          <cell r="B1245" t="str">
            <v>David Wanjohi Wachiuri</v>
          </cell>
          <cell r="E1245" t="str">
            <v>LG</v>
          </cell>
        </row>
        <row r="1246">
          <cell r="A1246" t="str">
            <v>LG23171</v>
          </cell>
          <cell r="B1246" t="str">
            <v>David Otieno Adero</v>
          </cell>
          <cell r="E1246" t="str">
            <v>LG</v>
          </cell>
        </row>
        <row r="1247">
          <cell r="A1247" t="str">
            <v>LG25270</v>
          </cell>
          <cell r="B1247" t="str">
            <v xml:space="preserve">David Okoth Odongo </v>
          </cell>
          <cell r="E1247" t="str">
            <v>LG</v>
          </cell>
        </row>
        <row r="1248">
          <cell r="A1248" t="str">
            <v>AB027V9</v>
          </cell>
          <cell r="B1248" t="str">
            <v>David Mwandembu</v>
          </cell>
          <cell r="E1248" t="str">
            <v>LG</v>
          </cell>
        </row>
        <row r="1249">
          <cell r="A1249" t="str">
            <v>LG24926</v>
          </cell>
          <cell r="B1249" t="str">
            <v>David Musee  Vincent</v>
          </cell>
          <cell r="E1249" t="str">
            <v>LG</v>
          </cell>
        </row>
        <row r="1250">
          <cell r="A1250" t="str">
            <v>BB00648</v>
          </cell>
          <cell r="B1250" t="str">
            <v>David Makari Simiyu</v>
          </cell>
          <cell r="E1250" t="str">
            <v>UB</v>
          </cell>
        </row>
        <row r="1251">
          <cell r="A1251" t="str">
            <v>AB026BD</v>
          </cell>
          <cell r="B1251" t="str">
            <v>David Maina</v>
          </cell>
          <cell r="E1251" t="str">
            <v>LG</v>
          </cell>
        </row>
        <row r="1252">
          <cell r="A1252" t="str">
            <v>BB14996</v>
          </cell>
          <cell r="B1252" t="str">
            <v>David Luvai Chavasu</v>
          </cell>
          <cell r="E1252" t="str">
            <v>UB</v>
          </cell>
        </row>
        <row r="1253">
          <cell r="A1253" t="str">
            <v>AB027X3</v>
          </cell>
          <cell r="B1253" t="str">
            <v>David Kiprono</v>
          </cell>
          <cell r="E1253" t="str">
            <v>LG</v>
          </cell>
        </row>
        <row r="1254">
          <cell r="A1254" t="str">
            <v>LG25241</v>
          </cell>
          <cell r="B1254" t="str">
            <v xml:space="preserve">David Keya </v>
          </cell>
          <cell r="E1254" t="str">
            <v>LG</v>
          </cell>
        </row>
        <row r="1255">
          <cell r="A1255" t="str">
            <v>BB20666</v>
          </cell>
          <cell r="B1255" t="str">
            <v>David Kariru Macharia</v>
          </cell>
          <cell r="E1255" t="str">
            <v>UB</v>
          </cell>
        </row>
        <row r="1256">
          <cell r="A1256" t="str">
            <v>BB06988</v>
          </cell>
          <cell r="B1256" t="str">
            <v>David Kamanza Munee</v>
          </cell>
          <cell r="E1256" t="str">
            <v>UB</v>
          </cell>
        </row>
        <row r="1257">
          <cell r="A1257" t="str">
            <v>MKL0670</v>
          </cell>
          <cell r="B1257" t="str">
            <v>Daudi, Hellen Nthenya</v>
          </cell>
          <cell r="E1257" t="str">
            <v>UB</v>
          </cell>
        </row>
        <row r="1258">
          <cell r="A1258" t="str">
            <v>4090</v>
          </cell>
          <cell r="B1258" t="str">
            <v>Danson Gilbert Maina Nduyu</v>
          </cell>
          <cell r="E1258" t="str">
            <v>ALAK</v>
          </cell>
        </row>
        <row r="1259">
          <cell r="A1259" t="str">
            <v>AB027AG</v>
          </cell>
          <cell r="B1259" t="str">
            <v>Daniel Otieno Oduor</v>
          </cell>
          <cell r="E1259" t="str">
            <v>LG</v>
          </cell>
        </row>
        <row r="1260">
          <cell r="A1260" t="str">
            <v>LG06171</v>
          </cell>
          <cell r="B1260" t="str">
            <v>Daniel Onditi Minyong'a</v>
          </cell>
          <cell r="E1260" t="str">
            <v>LG</v>
          </cell>
        </row>
        <row r="1261">
          <cell r="A1261" t="str">
            <v>AB0190V</v>
          </cell>
          <cell r="B1261" t="str">
            <v>Daniel Odhiambo Owino</v>
          </cell>
          <cell r="E1261" t="str">
            <v>LG</v>
          </cell>
        </row>
        <row r="1262">
          <cell r="A1262" t="str">
            <v>AB027DH</v>
          </cell>
          <cell r="B1262" t="str">
            <v>Daniel Mbaabu</v>
          </cell>
          <cell r="E1262" t="str">
            <v>LG</v>
          </cell>
        </row>
        <row r="1263">
          <cell r="A1263" t="str">
            <v>BB14712</v>
          </cell>
          <cell r="B1263" t="str">
            <v>Daniel Masika Kikuvi</v>
          </cell>
          <cell r="E1263" t="str">
            <v>UB</v>
          </cell>
        </row>
        <row r="1264">
          <cell r="A1264" t="str">
            <v>LG12463</v>
          </cell>
          <cell r="B1264" t="str">
            <v>Daniel Kiseli Kimeu</v>
          </cell>
          <cell r="E1264" t="str">
            <v>LG</v>
          </cell>
        </row>
        <row r="1265">
          <cell r="A1265" t="str">
            <v>AB02916</v>
          </cell>
          <cell r="B1265" t="str">
            <v>Daniel Kerose</v>
          </cell>
          <cell r="E1265" t="str">
            <v>LG</v>
          </cell>
        </row>
        <row r="1266">
          <cell r="A1266" t="str">
            <v>LG24554</v>
          </cell>
          <cell r="B1266" t="str">
            <v>Dancun Kasivi Muthenya</v>
          </cell>
          <cell r="E1266" t="str">
            <v>LG</v>
          </cell>
        </row>
        <row r="1267">
          <cell r="A1267" t="str">
            <v>BB11923</v>
          </cell>
          <cell r="B1267" t="str">
            <v>Dan Oluoch Olale</v>
          </cell>
          <cell r="E1267" t="str">
            <v>UB</v>
          </cell>
        </row>
        <row r="1268">
          <cell r="A1268" t="str">
            <v>LG20050</v>
          </cell>
          <cell r="B1268" t="str">
            <v>Damaris  Munyao</v>
          </cell>
          <cell r="E1268" t="str">
            <v>LG</v>
          </cell>
        </row>
        <row r="1269">
          <cell r="A1269" t="str">
            <v>AB0229U</v>
          </cell>
          <cell r="B1269" t="str">
            <v>Daisy Wanjiku Wanjohi</v>
          </cell>
          <cell r="E1269" t="str">
            <v>LG</v>
          </cell>
        </row>
        <row r="1270">
          <cell r="A1270" t="str">
            <v>AB019I1</v>
          </cell>
          <cell r="B1270" t="str">
            <v>Daisy Adhiambo Odhiambo</v>
          </cell>
          <cell r="E1270" t="str">
            <v>LG</v>
          </cell>
        </row>
        <row r="1271">
          <cell r="A1271" t="str">
            <v>ABCC553</v>
          </cell>
          <cell r="B1271" t="str">
            <v>Cythia Chahele</v>
          </cell>
          <cell r="E1271" t="str">
            <v>LG</v>
          </cell>
        </row>
        <row r="1272">
          <cell r="A1272" t="str">
            <v>LG24206</v>
          </cell>
          <cell r="B1272" t="str">
            <v>Cynthia Katumbi Matheka</v>
          </cell>
          <cell r="E1272" t="str">
            <v>LG</v>
          </cell>
        </row>
        <row r="1273">
          <cell r="A1273" t="str">
            <v>LG24393</v>
          </cell>
          <cell r="B1273" t="str">
            <v>Cynthia Jill Akoth</v>
          </cell>
          <cell r="E1273" t="str">
            <v>LG</v>
          </cell>
        </row>
        <row r="1274">
          <cell r="A1274" t="str">
            <v>LG20692</v>
          </cell>
          <cell r="B1274" t="str">
            <v>Cynthia Agiza Chahale</v>
          </cell>
          <cell r="E1274" t="str">
            <v>LG</v>
          </cell>
        </row>
        <row r="1275">
          <cell r="A1275" t="str">
            <v>LG25070</v>
          </cell>
          <cell r="B1275" t="str">
            <v xml:space="preserve">Cynaida Miriam Kwendo </v>
          </cell>
          <cell r="E1275" t="str">
            <v>LG</v>
          </cell>
        </row>
        <row r="1276">
          <cell r="A1276" t="str">
            <v>LG25028</v>
          </cell>
          <cell r="B1276" t="str">
            <v>Cosmon Langaat Kipkorir</v>
          </cell>
          <cell r="E1276" t="str">
            <v>LG</v>
          </cell>
        </row>
        <row r="1277">
          <cell r="A1277" t="str">
            <v>LG06969</v>
          </cell>
          <cell r="B1277" t="str">
            <v>Cornelius Joseph Ndemwa</v>
          </cell>
          <cell r="E1277" t="str">
            <v>LG</v>
          </cell>
        </row>
        <row r="1278">
          <cell r="A1278" t="str">
            <v>AB02898</v>
          </cell>
          <cell r="B1278" t="str">
            <v>Constance Mutisya</v>
          </cell>
          <cell r="E1278" t="str">
            <v>LG</v>
          </cell>
        </row>
        <row r="1279">
          <cell r="A1279" t="str">
            <v>AB030WO</v>
          </cell>
          <cell r="B1279" t="str">
            <v>Consolata Donde</v>
          </cell>
          <cell r="E1279" t="str">
            <v>LG</v>
          </cell>
        </row>
        <row r="1280">
          <cell r="A1280" t="str">
            <v>LG23480</v>
          </cell>
          <cell r="B1280" t="str">
            <v>Concepta Mututa</v>
          </cell>
          <cell r="E1280" t="str">
            <v>LG</v>
          </cell>
        </row>
        <row r="1281">
          <cell r="A1281" t="str">
            <v>ABCMAAY</v>
          </cell>
          <cell r="B1281" t="str">
            <v>Concepta  Mututa</v>
          </cell>
          <cell r="E1281" t="str">
            <v>LG</v>
          </cell>
        </row>
        <row r="1282">
          <cell r="A1282" t="str">
            <v>BB13815</v>
          </cell>
          <cell r="B1282" t="str">
            <v>Collins Sambai Ngeno</v>
          </cell>
          <cell r="E1282" t="str">
            <v>UB</v>
          </cell>
        </row>
        <row r="1283">
          <cell r="A1283" t="str">
            <v>LG25466</v>
          </cell>
          <cell r="B1283" t="str">
            <v xml:space="preserve">Collins Mwangi </v>
          </cell>
          <cell r="E1283" t="str">
            <v>LG</v>
          </cell>
        </row>
        <row r="1284">
          <cell r="A1284" t="str">
            <v>BB21109</v>
          </cell>
          <cell r="B1284" t="str">
            <v>Collins MWANGANGI Maweu</v>
          </cell>
          <cell r="E1284" t="str">
            <v>UB</v>
          </cell>
        </row>
        <row r="1285">
          <cell r="A1285" t="str">
            <v>AB022GO</v>
          </cell>
          <cell r="B1285" t="str">
            <v>Collins Amolo</v>
          </cell>
          <cell r="E1285" t="str">
            <v>LG</v>
          </cell>
        </row>
        <row r="1286">
          <cell r="A1286" t="str">
            <v>LG23174</v>
          </cell>
          <cell r="B1286" t="str">
            <v>Clinton Kegengo Morang'a</v>
          </cell>
          <cell r="E1286" t="str">
            <v>LG</v>
          </cell>
        </row>
        <row r="1287">
          <cell r="A1287" t="str">
            <v>LG22950</v>
          </cell>
          <cell r="B1287" t="str">
            <v>Cleophatra  Jemutai</v>
          </cell>
          <cell r="E1287" t="str">
            <v>LG</v>
          </cell>
        </row>
        <row r="1288">
          <cell r="A1288" t="str">
            <v>AB0278N</v>
          </cell>
          <cell r="B1288" t="str">
            <v>Clementina Kavila</v>
          </cell>
          <cell r="E1288" t="str">
            <v>LG</v>
          </cell>
        </row>
        <row r="1289">
          <cell r="A1289" t="str">
            <v>AB022XC</v>
          </cell>
          <cell r="B1289" t="str">
            <v>Clarkson Owiti</v>
          </cell>
          <cell r="E1289" t="str">
            <v>LG</v>
          </cell>
        </row>
        <row r="1290">
          <cell r="A1290" t="str">
            <v>AB030FS</v>
          </cell>
          <cell r="B1290" t="str">
            <v>Claris Mugo Mugo</v>
          </cell>
          <cell r="E1290" t="str">
            <v>LG</v>
          </cell>
        </row>
        <row r="1291">
          <cell r="A1291" t="str">
            <v>9182</v>
          </cell>
          <cell r="B1291" t="str">
            <v>Cicily Kanini Mwaniki</v>
          </cell>
          <cell r="E1291" t="str">
            <v>ALAK</v>
          </cell>
        </row>
        <row r="1292">
          <cell r="A1292" t="str">
            <v>BB17345</v>
          </cell>
          <cell r="B1292" t="str">
            <v>Christopher Muthama</v>
          </cell>
          <cell r="E1292" t="str">
            <v>LG</v>
          </cell>
        </row>
        <row r="1293">
          <cell r="A1293" t="str">
            <v>LG24947</v>
          </cell>
          <cell r="B1293" t="str">
            <v>Christopher Musyoka Savali</v>
          </cell>
          <cell r="E1293" t="str">
            <v>LG</v>
          </cell>
        </row>
        <row r="1294">
          <cell r="A1294" t="str">
            <v>LG12141</v>
          </cell>
          <cell r="B1294" t="str">
            <v>Christopher Juma Omondi</v>
          </cell>
          <cell r="E1294" t="str">
            <v>LG</v>
          </cell>
        </row>
        <row r="1295">
          <cell r="A1295" t="str">
            <v>AB01724</v>
          </cell>
          <cell r="B1295" t="str">
            <v>Christine Ouko</v>
          </cell>
          <cell r="E1295" t="str">
            <v>LG</v>
          </cell>
        </row>
        <row r="1296">
          <cell r="A1296" t="str">
            <v>AB006DO</v>
          </cell>
          <cell r="B1296" t="str">
            <v xml:space="preserve">Christine Onyango </v>
          </cell>
          <cell r="E1296" t="str">
            <v>LG</v>
          </cell>
        </row>
        <row r="1297">
          <cell r="A1297" t="str">
            <v>BB07585</v>
          </cell>
          <cell r="B1297" t="str">
            <v xml:space="preserve">Christine Odhiambo </v>
          </cell>
          <cell r="E1297" t="str">
            <v>UB</v>
          </cell>
        </row>
        <row r="1298">
          <cell r="A1298" t="str">
            <v>AB027Z9</v>
          </cell>
          <cell r="B1298" t="str">
            <v>Christine Obwanga</v>
          </cell>
          <cell r="E1298" t="str">
            <v>LG</v>
          </cell>
        </row>
        <row r="1299">
          <cell r="A1299" t="str">
            <v>AB017WP</v>
          </cell>
          <cell r="B1299" t="str">
            <v>Christine Ndululu Sila</v>
          </cell>
          <cell r="E1299" t="str">
            <v>LG</v>
          </cell>
        </row>
        <row r="1300">
          <cell r="A1300" t="str">
            <v>ABCMAC2</v>
          </cell>
          <cell r="B1300" t="str">
            <v>Christine Mutunga</v>
          </cell>
          <cell r="E1300" t="str">
            <v>LG</v>
          </cell>
        </row>
        <row r="1301">
          <cell r="A1301" t="str">
            <v>BB11875</v>
          </cell>
          <cell r="B1301" t="str">
            <v>Christine Awuor Okwach</v>
          </cell>
          <cell r="E1301" t="str">
            <v>RM</v>
          </cell>
        </row>
        <row r="1302">
          <cell r="A1302" t="str">
            <v>LG20103</v>
          </cell>
          <cell r="B1302" t="str">
            <v>Christer Adhiambo Ochieng</v>
          </cell>
          <cell r="E1302" t="str">
            <v>LG</v>
          </cell>
        </row>
        <row r="1303">
          <cell r="A1303" t="str">
            <v>AB027DB</v>
          </cell>
          <cell r="B1303" t="str">
            <v>Christa m mutisya</v>
          </cell>
          <cell r="E1303" t="str">
            <v>LG</v>
          </cell>
        </row>
        <row r="1304">
          <cell r="A1304" t="str">
            <v>AB027OB</v>
          </cell>
          <cell r="B1304" t="str">
            <v>Christa m mutisya</v>
          </cell>
        </row>
        <row r="1305">
          <cell r="A1305" t="str">
            <v>LG25247</v>
          </cell>
          <cell r="B1305" t="str">
            <v xml:space="preserve">Chrispus Wakuloba </v>
          </cell>
          <cell r="E1305" t="str">
            <v>LG</v>
          </cell>
        </row>
        <row r="1306">
          <cell r="A1306" t="str">
            <v>LG16011</v>
          </cell>
          <cell r="B1306" t="str">
            <v>Chrispinus Juma Wanamu</v>
          </cell>
          <cell r="E1306" t="str">
            <v>LG</v>
          </cell>
        </row>
        <row r="1307">
          <cell r="A1307" t="str">
            <v>LG20959</v>
          </cell>
          <cell r="B1307" t="str">
            <v>Chemjor  Cherongony</v>
          </cell>
          <cell r="E1307" t="str">
            <v>LG</v>
          </cell>
        </row>
        <row r="1308">
          <cell r="A1308" t="str">
            <v>LG20776</v>
          </cell>
          <cell r="B1308" t="str">
            <v xml:space="preserve">Chelangat Jacueline </v>
          </cell>
          <cell r="E1308" t="str">
            <v>LG</v>
          </cell>
        </row>
        <row r="1309">
          <cell r="A1309" t="str">
            <v>LG22541</v>
          </cell>
          <cell r="B1309" t="str">
            <v>Charlottee Khanyelele Chenge</v>
          </cell>
          <cell r="E1309" t="str">
            <v>LG</v>
          </cell>
        </row>
        <row r="1310">
          <cell r="A1310" t="str">
            <v>LG25575</v>
          </cell>
          <cell r="B1310" t="str">
            <v xml:space="preserve">Charlotte Zickie Akinyi </v>
          </cell>
          <cell r="E1310" t="str">
            <v>LG</v>
          </cell>
        </row>
        <row r="1311">
          <cell r="A1311" t="str">
            <v>LG06957</v>
          </cell>
          <cell r="B1311" t="str">
            <v>Charlotte Chebet Mibei</v>
          </cell>
          <cell r="E1311" t="str">
            <v>LG</v>
          </cell>
        </row>
        <row r="1312">
          <cell r="A1312" t="str">
            <v>LG21279</v>
          </cell>
          <cell r="B1312" t="str">
            <v>Charles Santos Owiti</v>
          </cell>
          <cell r="E1312" t="str">
            <v>LG</v>
          </cell>
        </row>
        <row r="1313">
          <cell r="A1313" t="str">
            <v>LG20993</v>
          </cell>
          <cell r="B1313" t="str">
            <v>Charles OMONDI Oluoch</v>
          </cell>
          <cell r="E1313" t="str">
            <v>LG</v>
          </cell>
        </row>
        <row r="1314">
          <cell r="A1314" t="str">
            <v>LG24856</v>
          </cell>
          <cell r="B1314" t="str">
            <v xml:space="preserve">Charles Okoth Agango </v>
          </cell>
          <cell r="E1314" t="str">
            <v>LG</v>
          </cell>
        </row>
        <row r="1315">
          <cell r="A1315" t="str">
            <v>LG12933</v>
          </cell>
          <cell r="B1315" t="str">
            <v>Charles Njue Gichuki</v>
          </cell>
          <cell r="E1315" t="str">
            <v>LG</v>
          </cell>
        </row>
        <row r="1316">
          <cell r="A1316" t="str">
            <v>AB016LR</v>
          </cell>
          <cell r="B1316" t="str">
            <v>Charles Mwaivu</v>
          </cell>
          <cell r="E1316" t="str">
            <v>LG</v>
          </cell>
        </row>
        <row r="1317">
          <cell r="A1317" t="str">
            <v>LG13144</v>
          </cell>
          <cell r="B1317" t="str">
            <v>Charles Mutiso Kisilu</v>
          </cell>
          <cell r="E1317" t="str">
            <v>LG</v>
          </cell>
        </row>
        <row r="1318">
          <cell r="A1318" t="str">
            <v>BB09368</v>
          </cell>
          <cell r="B1318" t="str">
            <v>Charles Mathenge Maina</v>
          </cell>
          <cell r="E1318" t="str">
            <v>RM</v>
          </cell>
        </row>
        <row r="1319">
          <cell r="A1319" t="str">
            <v>AB01721</v>
          </cell>
          <cell r="B1319" t="str">
            <v>Charles Masai</v>
          </cell>
          <cell r="E1319" t="str">
            <v>LG</v>
          </cell>
        </row>
        <row r="1320">
          <cell r="A1320" t="str">
            <v>AB019FY</v>
          </cell>
          <cell r="B1320" t="str">
            <v>Charles Gichu</v>
          </cell>
          <cell r="E1320" t="str">
            <v>LG</v>
          </cell>
        </row>
        <row r="1321">
          <cell r="A1321" t="str">
            <v>ABCG428</v>
          </cell>
          <cell r="B1321" t="str">
            <v>Charles Gicho</v>
          </cell>
          <cell r="E1321" t="str">
            <v>ALAK</v>
          </cell>
        </row>
        <row r="1322">
          <cell r="A1322" t="str">
            <v>LG15275</v>
          </cell>
          <cell r="B1322" t="str">
            <v>Charity Wangui Mwangi</v>
          </cell>
          <cell r="E1322" t="str">
            <v>LG</v>
          </cell>
        </row>
        <row r="1323">
          <cell r="A1323" t="str">
            <v>BB13415</v>
          </cell>
          <cell r="B1323" t="str">
            <v>Charity Wairimu Kimani</v>
          </cell>
          <cell r="E1323" t="str">
            <v>RM</v>
          </cell>
        </row>
        <row r="1324">
          <cell r="A1324" t="str">
            <v>LG15805</v>
          </cell>
          <cell r="B1324" t="str">
            <v>Charity Njeri Ndungu</v>
          </cell>
          <cell r="E1324" t="str">
            <v>LG</v>
          </cell>
        </row>
        <row r="1325">
          <cell r="A1325" t="str">
            <v>LG23057</v>
          </cell>
          <cell r="B1325" t="str">
            <v>Cephas Mukundi Gitemba</v>
          </cell>
          <cell r="E1325" t="str">
            <v>LG</v>
          </cell>
        </row>
        <row r="1326">
          <cell r="A1326" t="str">
            <v>LG07014</v>
          </cell>
          <cell r="B1326" t="str">
            <v>Celina Ngina Mulwa</v>
          </cell>
          <cell r="E1326" t="str">
            <v>LG</v>
          </cell>
        </row>
        <row r="1327">
          <cell r="A1327">
            <v>9182</v>
          </cell>
          <cell r="B1327" t="str">
            <v xml:space="preserve">Cecily Mwaniki </v>
          </cell>
          <cell r="E1327" t="str">
            <v>ALAK</v>
          </cell>
        </row>
        <row r="1328">
          <cell r="A1328" t="str">
            <v>LG25450</v>
          </cell>
          <cell r="B1328" t="str">
            <v>Cecilia Wambui Wanjohi</v>
          </cell>
          <cell r="E1328" t="str">
            <v>LG</v>
          </cell>
        </row>
        <row r="1329">
          <cell r="A1329" t="str">
            <v>LG18177</v>
          </cell>
          <cell r="B1329" t="str">
            <v>Cecilia Ndaisi Muasya</v>
          </cell>
          <cell r="E1329" t="str">
            <v>LG</v>
          </cell>
        </row>
        <row r="1330">
          <cell r="A1330" t="str">
            <v>AB026KD</v>
          </cell>
          <cell r="B1330" t="str">
            <v>Cecilia Muendo</v>
          </cell>
          <cell r="E1330" t="str">
            <v>LG</v>
          </cell>
        </row>
        <row r="1331">
          <cell r="A1331" t="str">
            <v>LG12120</v>
          </cell>
          <cell r="B1331" t="str">
            <v>Cecilia Chepkemboi Samoei</v>
          </cell>
          <cell r="E1331" t="str">
            <v>LG</v>
          </cell>
        </row>
        <row r="1332">
          <cell r="A1332" t="str">
            <v>LG18171</v>
          </cell>
          <cell r="B1332" t="str">
            <v>Cecelia Ndasi Muasya</v>
          </cell>
          <cell r="E1332" t="str">
            <v>LG</v>
          </cell>
        </row>
        <row r="1333">
          <cell r="A1333" t="str">
            <v>AB015NU</v>
          </cell>
          <cell r="B1333" t="str">
            <v>Cathrine Sonya Airo</v>
          </cell>
          <cell r="E1333" t="str">
            <v>LG</v>
          </cell>
        </row>
        <row r="1334">
          <cell r="A1334" t="str">
            <v>LG24616</v>
          </cell>
          <cell r="B1334" t="str">
            <v>Catherine  Kavata Kyenze</v>
          </cell>
          <cell r="E1334" t="str">
            <v>LG</v>
          </cell>
        </row>
        <row r="1335">
          <cell r="A1335" t="str">
            <v>LG12308</v>
          </cell>
          <cell r="B1335" t="str">
            <v>Catherine Wawira Mwaniki</v>
          </cell>
          <cell r="E1335" t="str">
            <v>LG</v>
          </cell>
        </row>
        <row r="1336">
          <cell r="A1336" t="str">
            <v>AB011JJ</v>
          </cell>
          <cell r="B1336" t="str">
            <v>Catherine Wanjiku Kamau</v>
          </cell>
          <cell r="E1336" t="str">
            <v>LG</v>
          </cell>
        </row>
        <row r="1337">
          <cell r="A1337" t="str">
            <v>BB09220</v>
          </cell>
          <cell r="B1337" t="str">
            <v>Catherine Wambui Mwangi</v>
          </cell>
          <cell r="E1337" t="str">
            <v>UB</v>
          </cell>
        </row>
        <row r="1338">
          <cell r="A1338" t="str">
            <v>ABC0246</v>
          </cell>
          <cell r="B1338" t="str">
            <v>Catherine Ogola</v>
          </cell>
          <cell r="E1338" t="str">
            <v>LG</v>
          </cell>
        </row>
        <row r="1339">
          <cell r="A1339" t="str">
            <v>BB07498</v>
          </cell>
          <cell r="B1339" t="str">
            <v>Catherine Njambi Nderitu</v>
          </cell>
          <cell r="E1339" t="str">
            <v>UB</v>
          </cell>
        </row>
        <row r="1340">
          <cell r="A1340" t="str">
            <v>BB23136</v>
          </cell>
          <cell r="B1340" t="str">
            <v>Catherine Dzame</v>
          </cell>
          <cell r="E1340" t="str">
            <v>LG</v>
          </cell>
        </row>
        <row r="1341">
          <cell r="A1341" t="str">
            <v>LG23136</v>
          </cell>
          <cell r="B1341" t="str">
            <v>Catherine Alice Dzame</v>
          </cell>
          <cell r="E1341" t="str">
            <v>LG</v>
          </cell>
        </row>
        <row r="1342">
          <cell r="A1342" t="str">
            <v>LG25029</v>
          </cell>
          <cell r="B1342" t="str">
            <v xml:space="preserve">Catherine Akinyi Ogola </v>
          </cell>
          <cell r="E1342" t="str">
            <v>LG</v>
          </cell>
        </row>
        <row r="1343">
          <cell r="A1343" t="str">
            <v>AB019GP</v>
          </cell>
          <cell r="B1343" t="str">
            <v>Catherine Akinyi</v>
          </cell>
          <cell r="E1343" t="str">
            <v>LG</v>
          </cell>
        </row>
        <row r="1344">
          <cell r="A1344" t="str">
            <v>LG21130</v>
          </cell>
          <cell r="B1344" t="str">
            <v>Catherine  Nkirote</v>
          </cell>
          <cell r="E1344" t="str">
            <v>LG</v>
          </cell>
        </row>
        <row r="1345">
          <cell r="A1345" t="str">
            <v>BB12753</v>
          </cell>
          <cell r="B1345" t="str">
            <v>Catherine  Kimuya</v>
          </cell>
          <cell r="E1345" t="str">
            <v>UB</v>
          </cell>
        </row>
        <row r="1346">
          <cell r="A1346" t="str">
            <v>LG17699</v>
          </cell>
          <cell r="B1346" t="str">
            <v>Casty Gakii Nyaga</v>
          </cell>
          <cell r="E1346" t="str">
            <v>LG</v>
          </cell>
        </row>
        <row r="1347">
          <cell r="A1347" t="str">
            <v>AB020DY</v>
          </cell>
          <cell r="B1347" t="str">
            <v>Casper Ochieng</v>
          </cell>
          <cell r="E1347" t="str">
            <v>LG</v>
          </cell>
        </row>
        <row r="1348">
          <cell r="A1348" t="str">
            <v>AB019GV</v>
          </cell>
          <cell r="B1348" t="str">
            <v>Carroline Owino</v>
          </cell>
          <cell r="E1348" t="str">
            <v>ALAK</v>
          </cell>
        </row>
        <row r="1349">
          <cell r="A1349" t="str">
            <v>LG25063</v>
          </cell>
          <cell r="B1349" t="str">
            <v xml:space="preserve">Carrington Roderique Dulo </v>
          </cell>
          <cell r="E1349" t="str">
            <v>LG</v>
          </cell>
        </row>
        <row r="1350">
          <cell r="A1350" t="str">
            <v>LG22577</v>
          </cell>
          <cell r="B1350" t="str">
            <v>Carolyne Waithira Njeri</v>
          </cell>
          <cell r="E1350" t="str">
            <v>LG</v>
          </cell>
        </row>
        <row r="1351">
          <cell r="A1351" t="str">
            <v>LG24369</v>
          </cell>
          <cell r="B1351" t="str">
            <v>Carolyne Taabu Were</v>
          </cell>
          <cell r="E1351" t="str">
            <v>LG</v>
          </cell>
        </row>
        <row r="1352">
          <cell r="A1352" t="str">
            <v>LG23245</v>
          </cell>
          <cell r="B1352" t="str">
            <v>Carolyne Nekesa Khakina</v>
          </cell>
          <cell r="E1352" t="str">
            <v>LG</v>
          </cell>
        </row>
        <row r="1353">
          <cell r="A1353" t="str">
            <v>BBAB00PJ</v>
          </cell>
          <cell r="B1353" t="str">
            <v>Carolyne Muthee</v>
          </cell>
          <cell r="E1353" t="str">
            <v>LG</v>
          </cell>
        </row>
        <row r="1354">
          <cell r="A1354" t="str">
            <v>AB023X1</v>
          </cell>
          <cell r="B1354" t="str">
            <v>Carolyne Munini Mule</v>
          </cell>
          <cell r="E1354" t="str">
            <v>LG</v>
          </cell>
        </row>
        <row r="1355">
          <cell r="A1355" t="str">
            <v>LG15482</v>
          </cell>
          <cell r="B1355" t="str">
            <v>Carolyne Jenypher Ochieng</v>
          </cell>
          <cell r="E1355" t="str">
            <v>LG</v>
          </cell>
        </row>
        <row r="1356">
          <cell r="A1356" t="str">
            <v>BB23329</v>
          </cell>
          <cell r="B1356" t="str">
            <v>Carolyne Jelagat</v>
          </cell>
          <cell r="E1356" t="str">
            <v>UB</v>
          </cell>
        </row>
        <row r="1357">
          <cell r="A1357" t="str">
            <v>LG12140</v>
          </cell>
          <cell r="B1357" t="str">
            <v>Carolyne Anyango Ondiege</v>
          </cell>
          <cell r="E1357" t="str">
            <v>LG</v>
          </cell>
        </row>
        <row r="1358">
          <cell r="A1358" t="str">
            <v>LG23329</v>
          </cell>
          <cell r="B1358" t="str">
            <v>Carolyne  Jelagat</v>
          </cell>
          <cell r="E1358" t="str">
            <v>LG</v>
          </cell>
        </row>
        <row r="1359">
          <cell r="A1359" t="str">
            <v>BB14966</v>
          </cell>
          <cell r="B1359" t="str">
            <v>Caroline Wawira Mugo</v>
          </cell>
          <cell r="E1359" t="str">
            <v>RM</v>
          </cell>
        </row>
        <row r="1360">
          <cell r="A1360" t="str">
            <v>BB12930</v>
          </cell>
          <cell r="B1360" t="str">
            <v>Caroline Wangui Maina</v>
          </cell>
          <cell r="E1360" t="str">
            <v>UB</v>
          </cell>
        </row>
        <row r="1361">
          <cell r="A1361" t="str">
            <v>BB19482</v>
          </cell>
          <cell r="B1361" t="str">
            <v>Caroline Wangari Esther</v>
          </cell>
          <cell r="E1361" t="str">
            <v>UB</v>
          </cell>
        </row>
        <row r="1362">
          <cell r="A1362" t="str">
            <v>BB19482</v>
          </cell>
          <cell r="B1362" t="str">
            <v>Caroline Wangari Esther</v>
          </cell>
          <cell r="E1362" t="str">
            <v>ALAK</v>
          </cell>
        </row>
        <row r="1363">
          <cell r="A1363" t="str">
            <v>BB25127</v>
          </cell>
          <cell r="B1363" t="str">
            <v xml:space="preserve">Caroline Wachera Wambugu </v>
          </cell>
          <cell r="E1363" t="str">
            <v>RM</v>
          </cell>
        </row>
        <row r="1364">
          <cell r="A1364" t="str">
            <v>BB18577</v>
          </cell>
          <cell r="B1364" t="str">
            <v>Caroline Nduta Mwangi</v>
          </cell>
          <cell r="E1364" t="str">
            <v>UB</v>
          </cell>
        </row>
        <row r="1365">
          <cell r="A1365" t="str">
            <v>LG25064</v>
          </cell>
          <cell r="B1365" t="str">
            <v xml:space="preserve">Caroline Nanjala Mukhebi </v>
          </cell>
          <cell r="E1365" t="str">
            <v>LG</v>
          </cell>
        </row>
        <row r="1366">
          <cell r="A1366" t="str">
            <v>AB019J9</v>
          </cell>
          <cell r="B1366" t="str">
            <v>Caroline Mbithe</v>
          </cell>
          <cell r="E1366" t="str">
            <v>UB</v>
          </cell>
        </row>
        <row r="1367">
          <cell r="A1367" t="str">
            <v>AB011MZ</v>
          </cell>
          <cell r="B1367" t="str">
            <v>Caroline Manoa</v>
          </cell>
          <cell r="E1367" t="str">
            <v>LG</v>
          </cell>
        </row>
        <row r="1368">
          <cell r="A1368" t="str">
            <v>AB01609</v>
          </cell>
          <cell r="B1368" t="str">
            <v>Caroline Kwamboka Kiagu</v>
          </cell>
          <cell r="E1368" t="str">
            <v>LG</v>
          </cell>
        </row>
        <row r="1369">
          <cell r="A1369" t="str">
            <v>LG09498</v>
          </cell>
          <cell r="B1369" t="str">
            <v>Caroline Katila Marumbu</v>
          </cell>
          <cell r="E1369" t="str">
            <v>LG</v>
          </cell>
        </row>
        <row r="1370">
          <cell r="A1370" t="str">
            <v>BB09498</v>
          </cell>
          <cell r="B1370" t="str">
            <v>Caroline Katila Marumbu</v>
          </cell>
          <cell r="E1370" t="str">
            <v>UB</v>
          </cell>
        </row>
        <row r="1371">
          <cell r="A1371" t="str">
            <v>BB05947</v>
          </cell>
          <cell r="B1371" t="str">
            <v>Caroline Gatakaa Gitari</v>
          </cell>
          <cell r="E1371" t="str">
            <v>UB</v>
          </cell>
        </row>
        <row r="1372">
          <cell r="A1372" t="str">
            <v>BB15225</v>
          </cell>
          <cell r="B1372" t="str">
            <v>Caroline Cherotich</v>
          </cell>
          <cell r="E1372" t="str">
            <v>UB</v>
          </cell>
        </row>
        <row r="1373">
          <cell r="A1373" t="str">
            <v>AB0224</v>
          </cell>
          <cell r="B1373" t="str">
            <v>Caroline Chepkemoi</v>
          </cell>
          <cell r="E1373" t="str">
            <v>UB</v>
          </cell>
        </row>
        <row r="1374">
          <cell r="A1374" t="str">
            <v>LG16651</v>
          </cell>
          <cell r="B1374" t="str">
            <v>Caroline Atieno Oyola</v>
          </cell>
          <cell r="E1374" t="str">
            <v>LG</v>
          </cell>
        </row>
        <row r="1375">
          <cell r="A1375" t="str">
            <v>LG25598</v>
          </cell>
          <cell r="B1375" t="str">
            <v>Caroline Achieng Ongeche</v>
          </cell>
          <cell r="E1375" t="str">
            <v>LG</v>
          </cell>
        </row>
        <row r="1376">
          <cell r="A1376" t="str">
            <v>LG23208</v>
          </cell>
          <cell r="B1376" t="str">
            <v>Caroline  Matany</v>
          </cell>
          <cell r="E1376" t="str">
            <v>LG</v>
          </cell>
        </row>
        <row r="1377">
          <cell r="A1377" t="str">
            <v>AB019FO</v>
          </cell>
          <cell r="B1377" t="str">
            <v>Caroli Owuor</v>
          </cell>
          <cell r="E1377" t="str">
            <v>LG</v>
          </cell>
        </row>
        <row r="1378">
          <cell r="A1378" t="str">
            <v>ABCN459</v>
          </cell>
          <cell r="B1378" t="str">
            <v>Carol Wambui Ndungu</v>
          </cell>
          <cell r="E1378" t="str">
            <v>LG</v>
          </cell>
        </row>
        <row r="1379">
          <cell r="A1379" t="str">
            <v>LG19446</v>
          </cell>
          <cell r="B1379" t="str">
            <v xml:space="preserve">Carol Rehema Asewe </v>
          </cell>
          <cell r="E1379" t="str">
            <v>LG</v>
          </cell>
        </row>
        <row r="1380">
          <cell r="A1380" t="str">
            <v>AB019ZB</v>
          </cell>
          <cell r="B1380" t="str">
            <v>Carol Mutiso</v>
          </cell>
          <cell r="E1380" t="str">
            <v>LG</v>
          </cell>
        </row>
        <row r="1381">
          <cell r="A1381" t="str">
            <v>ABCK602</v>
          </cell>
          <cell r="B1381" t="str">
            <v>Carol Kaviti</v>
          </cell>
          <cell r="E1381" t="str">
            <v>UB</v>
          </cell>
        </row>
        <row r="1382">
          <cell r="A1382" t="str">
            <v>LG20416</v>
          </cell>
          <cell r="B1382" t="str">
            <v>Carol  Kaviti</v>
          </cell>
          <cell r="E1382" t="str">
            <v>LG</v>
          </cell>
        </row>
        <row r="1383">
          <cell r="A1383" t="str">
            <v>AB031M8</v>
          </cell>
          <cell r="B1383" t="str">
            <v>Carlton Mutiso</v>
          </cell>
          <cell r="E1383" t="str">
            <v>LG</v>
          </cell>
        </row>
        <row r="1384">
          <cell r="A1384" t="str">
            <v>AB024E7</v>
          </cell>
          <cell r="B1384" t="str">
            <v>Caren Kimutai</v>
          </cell>
          <cell r="E1384" t="str">
            <v>LG</v>
          </cell>
        </row>
        <row r="1385">
          <cell r="A1385" t="str">
            <v>ABCW533</v>
          </cell>
          <cell r="B1385" t="str">
            <v>Caren Katunge Wambua</v>
          </cell>
          <cell r="E1385" t="str">
            <v>LG</v>
          </cell>
        </row>
        <row r="1386">
          <cell r="A1386" t="str">
            <v>AB024TH</v>
          </cell>
          <cell r="B1386" t="str">
            <v>Caren Cherop</v>
          </cell>
          <cell r="E1386" t="str">
            <v>LG</v>
          </cell>
        </row>
        <row r="1387">
          <cell r="A1387" t="str">
            <v>AB015ME</v>
          </cell>
          <cell r="B1387" t="str">
            <v>Calvin Ongele</v>
          </cell>
          <cell r="E1387" t="str">
            <v>LG</v>
          </cell>
        </row>
        <row r="1388">
          <cell r="A1388" t="str">
            <v>AB025OS</v>
          </cell>
          <cell r="B1388" t="str">
            <v>Caitline Mbithe Muendo</v>
          </cell>
          <cell r="E1388" t="str">
            <v>LG</v>
          </cell>
        </row>
        <row r="1389">
          <cell r="A1389" t="str">
            <v>LG18269</v>
          </cell>
          <cell r="B1389" t="str">
            <v>Bundi Kinyua Douglas</v>
          </cell>
          <cell r="E1389" t="str">
            <v>LG</v>
          </cell>
        </row>
        <row r="1390">
          <cell r="A1390" t="str">
            <v>AB027LK</v>
          </cell>
          <cell r="B1390" t="str">
            <v>Bryan Njogu</v>
          </cell>
          <cell r="E1390" t="str">
            <v>LG</v>
          </cell>
        </row>
        <row r="1391">
          <cell r="A1391" t="str">
            <v>LG24541</v>
          </cell>
          <cell r="B1391" t="str">
            <v>Bruce Titus Korinda</v>
          </cell>
          <cell r="E1391" t="str">
            <v>LG</v>
          </cell>
        </row>
        <row r="1392">
          <cell r="A1392" t="str">
            <v>AB026GL</v>
          </cell>
          <cell r="B1392" t="str">
            <v>Brnice Mbinya Mutiso</v>
          </cell>
          <cell r="E1392" t="str">
            <v>LG</v>
          </cell>
        </row>
        <row r="1393">
          <cell r="A1393" t="str">
            <v>BB19361</v>
          </cell>
          <cell r="B1393" t="str">
            <v>Briliant  Mwanahawa</v>
          </cell>
          <cell r="E1393" t="str">
            <v>LG</v>
          </cell>
        </row>
        <row r="1394">
          <cell r="A1394" t="str">
            <v>AB0277A</v>
          </cell>
          <cell r="B1394" t="str">
            <v>Bridgit Mutinda</v>
          </cell>
          <cell r="E1394" t="str">
            <v>LG</v>
          </cell>
        </row>
        <row r="1395">
          <cell r="A1395" t="str">
            <v>AB0150B</v>
          </cell>
          <cell r="B1395" t="str">
            <v>Bridget Mugira</v>
          </cell>
          <cell r="E1395" t="str">
            <v>LG</v>
          </cell>
        </row>
        <row r="1396">
          <cell r="A1396" t="str">
            <v>LG24543</v>
          </cell>
          <cell r="B1396" t="str">
            <v>Brian Owino</v>
          </cell>
          <cell r="E1396" t="str">
            <v>LG</v>
          </cell>
        </row>
        <row r="1397">
          <cell r="A1397" t="str">
            <v>LG25468</v>
          </cell>
          <cell r="B1397" t="str">
            <v>Brian Osumu Arasa</v>
          </cell>
          <cell r="E1397" t="str">
            <v>LG</v>
          </cell>
        </row>
        <row r="1398">
          <cell r="A1398" t="str">
            <v>ABBO096</v>
          </cell>
          <cell r="B1398" t="str">
            <v>Brian Omondi</v>
          </cell>
          <cell r="E1398" t="str">
            <v>LG</v>
          </cell>
        </row>
        <row r="1399">
          <cell r="A1399" t="str">
            <v>AB0204N</v>
          </cell>
          <cell r="B1399" t="str">
            <v>Brian Njoroge Ndubissi</v>
          </cell>
          <cell r="E1399" t="str">
            <v>LG</v>
          </cell>
        </row>
        <row r="1400">
          <cell r="A1400" t="str">
            <v>LG24580</v>
          </cell>
          <cell r="B1400" t="str">
            <v>Brian Mutua</v>
          </cell>
          <cell r="E1400" t="str">
            <v>LG</v>
          </cell>
        </row>
        <row r="1401">
          <cell r="B1401" t="str">
            <v>Brian Mitchie Njoroge</v>
          </cell>
          <cell r="E1401" t="str">
            <v>ALAK</v>
          </cell>
        </row>
        <row r="1402">
          <cell r="A1402" t="str">
            <v>LG24548</v>
          </cell>
          <cell r="B1402" t="str">
            <v>Brian Kidula</v>
          </cell>
          <cell r="E1402" t="str">
            <v>LG</v>
          </cell>
        </row>
        <row r="1403">
          <cell r="A1403" t="str">
            <v>AB0231K</v>
          </cell>
          <cell r="B1403" t="str">
            <v>Brian Kamau Ndungu</v>
          </cell>
          <cell r="E1403" t="str">
            <v>LG</v>
          </cell>
        </row>
        <row r="1404">
          <cell r="A1404" t="str">
            <v>AB0202I</v>
          </cell>
          <cell r="B1404" t="str">
            <v>Brian Gwayi</v>
          </cell>
          <cell r="E1404" t="str">
            <v>LG</v>
          </cell>
        </row>
        <row r="1405">
          <cell r="A1405" t="str">
            <v>ABBO102</v>
          </cell>
          <cell r="B1405" t="str">
            <v>Brender Ochieng</v>
          </cell>
          <cell r="E1405" t="str">
            <v>LG</v>
          </cell>
        </row>
        <row r="1406">
          <cell r="A1406" t="str">
            <v>LG16647</v>
          </cell>
          <cell r="B1406" t="str">
            <v>Brender Ochieng</v>
          </cell>
          <cell r="E1406" t="str">
            <v>LG</v>
          </cell>
        </row>
        <row r="1407">
          <cell r="A1407" t="str">
            <v>AB015OE</v>
          </cell>
          <cell r="B1407" t="str">
            <v>Brenda Nyakiongora</v>
          </cell>
          <cell r="E1407" t="str">
            <v>UB</v>
          </cell>
        </row>
        <row r="1408">
          <cell r="A1408" t="str">
            <v>LG19113</v>
          </cell>
          <cell r="B1408" t="str">
            <v>Brenda Awuor Omolo</v>
          </cell>
          <cell r="E1408" t="str">
            <v>LG</v>
          </cell>
        </row>
        <row r="1409">
          <cell r="A1409" t="str">
            <v>LG24606</v>
          </cell>
          <cell r="B1409" t="str">
            <v>Boniface Mutuma Thuranira</v>
          </cell>
          <cell r="E1409" t="str">
            <v>LG</v>
          </cell>
        </row>
        <row r="1410">
          <cell r="A1410" t="str">
            <v>LG22586</v>
          </cell>
          <cell r="B1410" t="str">
            <v>Boniface Kyengo</v>
          </cell>
          <cell r="E1410" t="str">
            <v>LG</v>
          </cell>
        </row>
        <row r="1411">
          <cell r="A1411" t="str">
            <v>AB0154N</v>
          </cell>
          <cell r="B1411" t="str">
            <v>Bonface Sifuna Situdungu</v>
          </cell>
          <cell r="E1411" t="str">
            <v>LG</v>
          </cell>
        </row>
        <row r="1412">
          <cell r="A1412" t="str">
            <v>LG24758</v>
          </cell>
          <cell r="B1412" t="str">
            <v>Bonface Nzau Mutuku</v>
          </cell>
          <cell r="E1412" t="str">
            <v>LG</v>
          </cell>
        </row>
        <row r="1413">
          <cell r="A1413" t="str">
            <v>AB017VD</v>
          </cell>
          <cell r="B1413" t="str">
            <v>Billy Muthomi Mugambi</v>
          </cell>
          <cell r="E1413" t="str">
            <v>LG</v>
          </cell>
        </row>
        <row r="1414">
          <cell r="A1414" t="str">
            <v>LG18306</v>
          </cell>
          <cell r="B1414" t="str">
            <v xml:space="preserve">Bilhah Wachira </v>
          </cell>
          <cell r="E1414" t="str">
            <v>LG</v>
          </cell>
        </row>
        <row r="1415">
          <cell r="A1415" t="str">
            <v>ABBW193</v>
          </cell>
          <cell r="B1415" t="str">
            <v>Bilhah Gakenia Wachira</v>
          </cell>
          <cell r="E1415" t="str">
            <v>LG</v>
          </cell>
        </row>
        <row r="1416">
          <cell r="A1416" t="str">
            <v>AB027CW</v>
          </cell>
          <cell r="B1416" t="str">
            <v>Bilha Waithera</v>
          </cell>
          <cell r="E1416" t="str">
            <v>LG</v>
          </cell>
        </row>
        <row r="1417">
          <cell r="A1417" t="str">
            <v>LG25249</v>
          </cell>
          <cell r="B1417" t="str">
            <v>Betty Mwikali Muli</v>
          </cell>
          <cell r="E1417" t="str">
            <v>LG</v>
          </cell>
        </row>
        <row r="1418">
          <cell r="A1418" t="str">
            <v>AB020C3</v>
          </cell>
          <cell r="B1418" t="str">
            <v>Betty Chesaina</v>
          </cell>
          <cell r="E1418" t="str">
            <v>LG</v>
          </cell>
        </row>
        <row r="1419">
          <cell r="A1419" t="str">
            <v>LG25448</v>
          </cell>
          <cell r="B1419" t="str">
            <v xml:space="preserve">Betty Chebet Mitei </v>
          </cell>
          <cell r="E1419" t="str">
            <v>LG</v>
          </cell>
        </row>
        <row r="1420">
          <cell r="A1420" t="str">
            <v>LG25094</v>
          </cell>
          <cell r="B1420" t="str">
            <v xml:space="preserve">Betrina Maghema Mwamburi </v>
          </cell>
          <cell r="E1420" t="str">
            <v>LG</v>
          </cell>
        </row>
        <row r="1421">
          <cell r="A1421" t="str">
            <v>LG18500</v>
          </cell>
          <cell r="B1421" t="str">
            <v>Betlina Wali Chanya</v>
          </cell>
          <cell r="E1421" t="str">
            <v>LG</v>
          </cell>
        </row>
        <row r="1422">
          <cell r="A1422" t="str">
            <v>BB18500</v>
          </cell>
          <cell r="B1422" t="str">
            <v>Betlina Chanya</v>
          </cell>
          <cell r="E1422" t="str">
            <v>UB</v>
          </cell>
        </row>
        <row r="1423">
          <cell r="A1423" t="str">
            <v>LG21882</v>
          </cell>
          <cell r="B1423" t="str">
            <v>Betcy Chepkoech Ngeno</v>
          </cell>
          <cell r="E1423" t="str">
            <v>LG</v>
          </cell>
        </row>
        <row r="1424">
          <cell r="A1424" t="str">
            <v>AB027DP</v>
          </cell>
          <cell r="B1424" t="str">
            <v>Beryl Akinyi Barasa</v>
          </cell>
          <cell r="E1424" t="str">
            <v>UB</v>
          </cell>
        </row>
        <row r="1425">
          <cell r="A1425" t="str">
            <v>LG20062</v>
          </cell>
          <cell r="B1425" t="str">
            <v>Benter Awuor Ogada</v>
          </cell>
          <cell r="E1425" t="str">
            <v>LG</v>
          </cell>
        </row>
        <row r="1426">
          <cell r="A1426" t="str">
            <v>LG15782</v>
          </cell>
          <cell r="B1426" t="str">
            <v>Benstern Lukorito Mukhebo</v>
          </cell>
          <cell r="E1426" t="str">
            <v>LG</v>
          </cell>
        </row>
        <row r="1427">
          <cell r="A1427" t="str">
            <v>LG24949</v>
          </cell>
          <cell r="B1427" t="str">
            <v xml:space="preserve">Benson Wachira Miugo </v>
          </cell>
          <cell r="E1427" t="str">
            <v>LG</v>
          </cell>
        </row>
        <row r="1428">
          <cell r="A1428" t="str">
            <v>LG05960</v>
          </cell>
          <cell r="B1428" t="str">
            <v>Benson Sammy Nzangi</v>
          </cell>
          <cell r="E1428" t="str">
            <v>LG</v>
          </cell>
        </row>
        <row r="1429">
          <cell r="A1429" t="str">
            <v>AB0238B</v>
          </cell>
          <cell r="B1429" t="str">
            <v>Benson Owuonda</v>
          </cell>
          <cell r="E1429" t="str">
            <v>LG</v>
          </cell>
        </row>
        <row r="1430">
          <cell r="A1430" t="str">
            <v>LG17779</v>
          </cell>
          <cell r="B1430" t="str">
            <v>Benson Macdowell Mulaha</v>
          </cell>
          <cell r="E1430" t="str">
            <v>LG</v>
          </cell>
        </row>
        <row r="1431">
          <cell r="A1431" t="str">
            <v>LG24538</v>
          </cell>
          <cell r="B1431" t="str">
            <v>Benson Kyalo Mulinge</v>
          </cell>
          <cell r="E1431" t="str">
            <v>LG</v>
          </cell>
        </row>
        <row r="1432">
          <cell r="A1432" t="str">
            <v>LG12429</v>
          </cell>
          <cell r="B1432" t="str">
            <v>Benson Kisuna Kioko</v>
          </cell>
          <cell r="E1432" t="str">
            <v>LG</v>
          </cell>
        </row>
        <row r="1433">
          <cell r="A1433" t="str">
            <v>LG25581</v>
          </cell>
          <cell r="B1433" t="str">
            <v xml:space="preserve">Benjamin Muthama Musyoka </v>
          </cell>
          <cell r="E1433" t="str">
            <v>LG</v>
          </cell>
        </row>
        <row r="1434">
          <cell r="A1434" t="str">
            <v>LG24321</v>
          </cell>
          <cell r="B1434" t="str">
            <v>Benard Ngeno</v>
          </cell>
          <cell r="E1434" t="str">
            <v>LG</v>
          </cell>
        </row>
        <row r="1435">
          <cell r="A1435" t="str">
            <v>LG20149</v>
          </cell>
          <cell r="B1435" t="str">
            <v>Benard Muchira Kiruri</v>
          </cell>
          <cell r="E1435" t="str">
            <v>LG</v>
          </cell>
        </row>
        <row r="1436">
          <cell r="A1436" t="str">
            <v>LG23230</v>
          </cell>
          <cell r="B1436" t="str">
            <v>Benard Kipkoech Ngetich</v>
          </cell>
          <cell r="E1436" t="str">
            <v>LG</v>
          </cell>
        </row>
        <row r="1437">
          <cell r="A1437" t="str">
            <v>AB0270X</v>
          </cell>
          <cell r="B1437" t="str">
            <v>Benard Ashona Kiveu</v>
          </cell>
          <cell r="E1437" t="str">
            <v>LG</v>
          </cell>
        </row>
        <row r="1438">
          <cell r="A1438" t="str">
            <v>AB02792</v>
          </cell>
          <cell r="B1438" t="str">
            <v>Benadictor Mathinji</v>
          </cell>
          <cell r="E1438" t="str">
            <v>UB</v>
          </cell>
        </row>
        <row r="1439">
          <cell r="A1439" t="str">
            <v>LG23008</v>
          </cell>
          <cell r="B1439" t="str">
            <v>Ben  Gachie</v>
          </cell>
          <cell r="E1439" t="str">
            <v>LG</v>
          </cell>
        </row>
        <row r="1440">
          <cell r="A1440" t="str">
            <v>LG14469</v>
          </cell>
          <cell r="B1440" t="str">
            <v>Beatrice Wanjiru Mwaniki</v>
          </cell>
          <cell r="E1440" t="str">
            <v>LG</v>
          </cell>
        </row>
        <row r="1441">
          <cell r="A1441" t="str">
            <v>BB7631</v>
          </cell>
          <cell r="B1441" t="str">
            <v>Beatrice Oluoch</v>
          </cell>
          <cell r="E1441" t="str">
            <v>LG</v>
          </cell>
        </row>
        <row r="1442">
          <cell r="A1442" t="str">
            <v>BB07396</v>
          </cell>
          <cell r="B1442" t="str">
            <v>Beatrice Nyamwange Ongaga</v>
          </cell>
          <cell r="E1442" t="str">
            <v>UB</v>
          </cell>
        </row>
        <row r="1443">
          <cell r="A1443" t="str">
            <v>LG21472</v>
          </cell>
          <cell r="B1443" t="str">
            <v>Beatrice Njeri Warui</v>
          </cell>
          <cell r="E1443" t="str">
            <v>LG</v>
          </cell>
        </row>
        <row r="1444">
          <cell r="A1444" t="str">
            <v>AB020B5</v>
          </cell>
          <cell r="B1444" t="str">
            <v>Beatrice Mwikali Munyoki</v>
          </cell>
          <cell r="E1444" t="str">
            <v>LG</v>
          </cell>
        </row>
        <row r="1445">
          <cell r="A1445" t="str">
            <v>BB09576</v>
          </cell>
          <cell r="B1445" t="str">
            <v>Beatrice Mukuhi Ndung'u</v>
          </cell>
          <cell r="E1445" t="str">
            <v>UB</v>
          </cell>
        </row>
        <row r="1446">
          <cell r="A1446" t="str">
            <v>LG24246</v>
          </cell>
          <cell r="B1446" t="str">
            <v>Beatrice Molly Akinyi</v>
          </cell>
          <cell r="E1446" t="str">
            <v>LG</v>
          </cell>
        </row>
        <row r="1447">
          <cell r="A1447" t="str">
            <v>BBAB010GT</v>
          </cell>
          <cell r="B1447" t="str">
            <v>Beatrice Chepkorir</v>
          </cell>
          <cell r="E1447" t="str">
            <v>UB</v>
          </cell>
        </row>
        <row r="1448">
          <cell r="A1448" t="str">
            <v>LG24339</v>
          </cell>
          <cell r="B1448" t="str">
            <v>Beatrice Chepkorir</v>
          </cell>
          <cell r="E1448" t="str">
            <v>LG</v>
          </cell>
        </row>
        <row r="1449">
          <cell r="A1449" t="str">
            <v>LG18678</v>
          </cell>
          <cell r="B1449" t="str">
            <v>Beatrice Chepkemoi Mwaura</v>
          </cell>
          <cell r="E1449" t="str">
            <v>LG</v>
          </cell>
        </row>
        <row r="1450">
          <cell r="A1450" t="str">
            <v>LG20684</v>
          </cell>
          <cell r="B1450" t="str">
            <v>Beatrice CHELANGAT Rotich</v>
          </cell>
          <cell r="E1450" t="str">
            <v>LG</v>
          </cell>
        </row>
        <row r="1451">
          <cell r="A1451" t="str">
            <v>LG19563</v>
          </cell>
          <cell r="B1451" t="str">
            <v>Beatrice Anyango Odingo</v>
          </cell>
          <cell r="E1451" t="str">
            <v>LG</v>
          </cell>
        </row>
        <row r="1452">
          <cell r="A1452" t="str">
            <v>AB011GS</v>
          </cell>
          <cell r="B1452" t="str">
            <v>Beatrice Akinyi Nyagol</v>
          </cell>
          <cell r="E1452" t="str">
            <v>LG</v>
          </cell>
        </row>
        <row r="1453">
          <cell r="A1453" t="str">
            <v>BB14975</v>
          </cell>
          <cell r="B1453" t="str">
            <v>Beatrice  Kubasu</v>
          </cell>
          <cell r="E1453" t="str">
            <v>LG</v>
          </cell>
        </row>
        <row r="1454">
          <cell r="A1454" t="str">
            <v>LG15842</v>
          </cell>
          <cell r="B1454" t="str">
            <v>Basiliano Juma Omwitakho</v>
          </cell>
          <cell r="E1454" t="str">
            <v>LG</v>
          </cell>
        </row>
        <row r="1455">
          <cell r="A1455" t="str">
            <v>BB16278</v>
          </cell>
          <cell r="B1455" t="str">
            <v>Bashir Okari Oroko</v>
          </cell>
          <cell r="E1455" t="str">
            <v>UB</v>
          </cell>
        </row>
        <row r="1456">
          <cell r="A1456" t="str">
            <v>ABBK320</v>
          </cell>
          <cell r="B1456" t="str">
            <v>Barako Katelo</v>
          </cell>
          <cell r="E1456" t="str">
            <v>UB</v>
          </cell>
        </row>
        <row r="1457">
          <cell r="A1457" t="str">
            <v>LG19904</v>
          </cell>
          <cell r="B1457" t="str">
            <v>Bahati Juma</v>
          </cell>
          <cell r="E1457" t="str">
            <v>LG</v>
          </cell>
        </row>
        <row r="1458">
          <cell r="A1458" t="str">
            <v>LG19094</v>
          </cell>
          <cell r="B1458" t="str">
            <v>Bahati Haboya Juma</v>
          </cell>
          <cell r="E1458" t="str">
            <v>LG</v>
          </cell>
        </row>
        <row r="1459">
          <cell r="A1459" t="str">
            <v>AB028Q2</v>
          </cell>
          <cell r="B1459" t="str">
            <v>Azinath Onyango</v>
          </cell>
          <cell r="E1459" t="str">
            <v>LG</v>
          </cell>
        </row>
        <row r="1460">
          <cell r="A1460" t="str">
            <v>LG24894</v>
          </cell>
          <cell r="B1460" t="str">
            <v>Aysha Morowa</v>
          </cell>
          <cell r="E1460" t="str">
            <v>LG</v>
          </cell>
        </row>
        <row r="1461">
          <cell r="A1461" t="str">
            <v>LG25272</v>
          </cell>
          <cell r="B1461" t="str">
            <v>Austin Okoth</v>
          </cell>
          <cell r="E1461" t="str">
            <v>LG</v>
          </cell>
        </row>
        <row r="1462">
          <cell r="A1462" t="str">
            <v>LG25272</v>
          </cell>
          <cell r="B1462" t="str">
            <v>Austin Okoth</v>
          </cell>
          <cell r="E1462" t="str">
            <v>LG</v>
          </cell>
        </row>
        <row r="1463">
          <cell r="A1463" t="str">
            <v>LG25272</v>
          </cell>
          <cell r="B1463" t="str">
            <v>Austin Okoth</v>
          </cell>
          <cell r="E1463" t="str">
            <v>RM</v>
          </cell>
        </row>
        <row r="1464">
          <cell r="A1464" t="str">
            <v>LG25272</v>
          </cell>
          <cell r="B1464" t="str">
            <v>Austin Okoth</v>
          </cell>
          <cell r="E1464" t="str">
            <v>LG</v>
          </cell>
        </row>
        <row r="1465">
          <cell r="A1465" t="str">
            <v>LG25272</v>
          </cell>
          <cell r="B1465" t="str">
            <v>Austin Okoth</v>
          </cell>
          <cell r="E1465" t="str">
            <v>LG</v>
          </cell>
        </row>
        <row r="1466">
          <cell r="A1466" t="str">
            <v>AB01722</v>
          </cell>
          <cell r="B1466" t="str">
            <v>Austin Ogola</v>
          </cell>
          <cell r="E1466" t="str">
            <v>LG</v>
          </cell>
        </row>
        <row r="1467">
          <cell r="A1467" t="str">
            <v>BB09216</v>
          </cell>
          <cell r="B1467" t="str">
            <v>Augustus Ndambuki</v>
          </cell>
          <cell r="E1467" t="str">
            <v>LG</v>
          </cell>
        </row>
        <row r="1468">
          <cell r="A1468" t="str">
            <v>BB05811</v>
          </cell>
          <cell r="B1468" t="str">
            <v>Augastine  King'oku</v>
          </cell>
          <cell r="E1468" t="str">
            <v>RM</v>
          </cell>
        </row>
        <row r="1469">
          <cell r="A1469" t="str">
            <v>LG11896</v>
          </cell>
          <cell r="B1469" t="str">
            <v>Asha Cherotich Naibei</v>
          </cell>
          <cell r="E1469" t="str">
            <v>LG</v>
          </cell>
        </row>
        <row r="1470">
          <cell r="A1470" t="str">
            <v>LG24535</v>
          </cell>
          <cell r="B1470" t="str">
            <v xml:space="preserve">Arnold Maalo </v>
          </cell>
          <cell r="E1470" t="str">
            <v>LG</v>
          </cell>
        </row>
        <row r="1471">
          <cell r="A1471" t="str">
            <v>LG23319</v>
          </cell>
          <cell r="B1471" t="str">
            <v>Areri Oguta Felix</v>
          </cell>
          <cell r="E1471" t="str">
            <v>LG</v>
          </cell>
        </row>
        <row r="1472">
          <cell r="A1472" t="str">
            <v>LG24221</v>
          </cell>
          <cell r="B1472" t="str">
            <v>Antony Nabiswa Nalianya</v>
          </cell>
          <cell r="E1472" t="str">
            <v>LG</v>
          </cell>
        </row>
        <row r="1473">
          <cell r="A1473" t="str">
            <v>BB0174W</v>
          </cell>
          <cell r="B1473" t="str">
            <v>Anthony Yano</v>
          </cell>
          <cell r="E1473" t="str">
            <v>LG</v>
          </cell>
        </row>
        <row r="1474">
          <cell r="A1474" t="str">
            <v>5166</v>
          </cell>
          <cell r="B1474" t="str">
            <v>Anthony Wanyoike Gitau</v>
          </cell>
          <cell r="E1474" t="str">
            <v>ALAK</v>
          </cell>
        </row>
        <row r="1475">
          <cell r="A1475" t="str">
            <v>LG24577</v>
          </cell>
          <cell r="B1475" t="str">
            <v>Anthony Ochieng  Otieno</v>
          </cell>
          <cell r="E1475" t="str">
            <v>LG</v>
          </cell>
        </row>
        <row r="1476">
          <cell r="A1476" t="str">
            <v>ABAN701</v>
          </cell>
          <cell r="B1476" t="str">
            <v>Anthony Ngila</v>
          </cell>
          <cell r="E1476" t="str">
            <v>LG</v>
          </cell>
        </row>
        <row r="1477">
          <cell r="A1477" t="str">
            <v>BB21986</v>
          </cell>
          <cell r="B1477" t="str">
            <v>Anthony Makutubu Netia</v>
          </cell>
          <cell r="E1477" t="str">
            <v>UB</v>
          </cell>
        </row>
        <row r="1478">
          <cell r="A1478" t="str">
            <v>AB0276M</v>
          </cell>
          <cell r="B1478" t="str">
            <v>Anthony Macharia</v>
          </cell>
          <cell r="E1478" t="str">
            <v>LG</v>
          </cell>
        </row>
        <row r="1479">
          <cell r="A1479" t="str">
            <v>AB026KE</v>
          </cell>
          <cell r="B1479" t="str">
            <v>Anthony Kimani</v>
          </cell>
          <cell r="E1479" t="str">
            <v>LG</v>
          </cell>
        </row>
        <row r="1480">
          <cell r="A1480" t="str">
            <v>BB06325</v>
          </cell>
          <cell r="B1480" t="str">
            <v>Anthony Kimani</v>
          </cell>
          <cell r="E1480" t="str">
            <v>LG</v>
          </cell>
        </row>
        <row r="1481">
          <cell r="A1481">
            <v>5166</v>
          </cell>
          <cell r="B1481" t="str">
            <v>Anthony Gitau</v>
          </cell>
          <cell r="E1481" t="str">
            <v>ALAK</v>
          </cell>
        </row>
        <row r="1482">
          <cell r="A1482" t="str">
            <v>AB020AY</v>
          </cell>
          <cell r="B1482" t="str">
            <v>Anold Kipserem</v>
          </cell>
          <cell r="E1482" t="str">
            <v>LG</v>
          </cell>
        </row>
        <row r="1483">
          <cell r="A1483" t="str">
            <v>LG22716</v>
          </cell>
          <cell r="B1483" t="str">
            <v>Annet Nyamulavu William</v>
          </cell>
          <cell r="E1483" t="str">
            <v>LG</v>
          </cell>
        </row>
        <row r="1484">
          <cell r="A1484" t="str">
            <v>AB02359</v>
          </cell>
          <cell r="B1484" t="str">
            <v>Anne Wanjiru Muchiri</v>
          </cell>
          <cell r="E1484" t="str">
            <v>LG</v>
          </cell>
        </row>
        <row r="1485">
          <cell r="A1485" t="str">
            <v>5199</v>
          </cell>
          <cell r="B1485" t="str">
            <v>Anne Wambui Kadenge</v>
          </cell>
          <cell r="E1485" t="str">
            <v>ALAK</v>
          </cell>
        </row>
        <row r="1486">
          <cell r="A1486" t="str">
            <v>LG11894</v>
          </cell>
          <cell r="B1486" t="str">
            <v>Anne Njeri Muikia</v>
          </cell>
          <cell r="E1486" t="str">
            <v>LG</v>
          </cell>
        </row>
        <row r="1487">
          <cell r="A1487" t="str">
            <v>AB018KC</v>
          </cell>
          <cell r="B1487" t="str">
            <v>Anne Mukure</v>
          </cell>
          <cell r="E1487" t="str">
            <v>LG</v>
          </cell>
        </row>
        <row r="1488">
          <cell r="A1488" t="str">
            <v>BB03500</v>
          </cell>
          <cell r="B1488" t="str">
            <v>Anne Margaret Kinyanjui</v>
          </cell>
          <cell r="E1488" t="str">
            <v>UB</v>
          </cell>
        </row>
        <row r="1489">
          <cell r="A1489" t="str">
            <v>LG24362</v>
          </cell>
          <cell r="B1489" t="str">
            <v xml:space="preserve">Annastacia Syombua Mwanzia </v>
          </cell>
          <cell r="E1489" t="str">
            <v>LG</v>
          </cell>
        </row>
        <row r="1490">
          <cell r="A1490" t="str">
            <v>BB07872</v>
          </cell>
          <cell r="B1490" t="str">
            <v>Annalisa Mbula Muasya</v>
          </cell>
          <cell r="E1490" t="str">
            <v>UB</v>
          </cell>
        </row>
        <row r="1491">
          <cell r="A1491" t="str">
            <v>BB25486</v>
          </cell>
          <cell r="B1491" t="str">
            <v xml:space="preserve">Annah Njoroge </v>
          </cell>
          <cell r="E1491" t="str">
            <v>UB</v>
          </cell>
        </row>
        <row r="1492">
          <cell r="A1492" t="str">
            <v>SM19458</v>
          </cell>
          <cell r="B1492" t="str">
            <v>Annah Mailu</v>
          </cell>
          <cell r="E1492" t="str">
            <v>LG</v>
          </cell>
        </row>
        <row r="1493">
          <cell r="A1493" t="str">
            <v>LG19458</v>
          </cell>
          <cell r="B1493" t="str">
            <v>Annah Mailu</v>
          </cell>
          <cell r="E1493" t="str">
            <v>LG</v>
          </cell>
        </row>
        <row r="1494">
          <cell r="A1494" t="str">
            <v>AB025CQ</v>
          </cell>
          <cell r="B1494" t="str">
            <v>Annah Kimanzi</v>
          </cell>
          <cell r="E1494" t="str">
            <v>LG</v>
          </cell>
        </row>
        <row r="1495">
          <cell r="A1495" t="str">
            <v>LG24532</v>
          </cell>
          <cell r="B1495" t="str">
            <v>Ann Wanjiru Njoroge</v>
          </cell>
          <cell r="E1495" t="str">
            <v>LG</v>
          </cell>
        </row>
        <row r="1496">
          <cell r="A1496" t="str">
            <v>LG12718</v>
          </cell>
          <cell r="B1496" t="str">
            <v>Ann Nyambura Kimani</v>
          </cell>
          <cell r="E1496" t="str">
            <v>LG</v>
          </cell>
        </row>
        <row r="1497">
          <cell r="A1497" t="str">
            <v>LG19457</v>
          </cell>
          <cell r="B1497" t="str">
            <v>Ann Ngina Mbaluto</v>
          </cell>
          <cell r="E1497" t="str">
            <v>LG</v>
          </cell>
        </row>
        <row r="1498">
          <cell r="A1498" t="str">
            <v>LG17598</v>
          </cell>
          <cell r="B1498" t="str">
            <v>Ann Mary Wamaya Waseka</v>
          </cell>
          <cell r="E1498" t="str">
            <v>LG</v>
          </cell>
        </row>
        <row r="1499">
          <cell r="A1499" t="str">
            <v>AB0265P</v>
          </cell>
          <cell r="B1499" t="str">
            <v>Ann Marion Wanjira Muthoni</v>
          </cell>
          <cell r="E1499" t="str">
            <v>LG</v>
          </cell>
        </row>
        <row r="1500">
          <cell r="A1500" t="str">
            <v>AB027ZF</v>
          </cell>
          <cell r="B1500" t="str">
            <v>Ann Lawrence</v>
          </cell>
          <cell r="E1500" t="str">
            <v>LG</v>
          </cell>
        </row>
        <row r="1501">
          <cell r="A1501" t="str">
            <v>LG25069</v>
          </cell>
          <cell r="B1501" t="str">
            <v xml:space="preserve">Ann Kaptuya Kiprotich </v>
          </cell>
          <cell r="E1501" t="str">
            <v>LG</v>
          </cell>
        </row>
        <row r="1502">
          <cell r="A1502" t="str">
            <v>AB0218Y</v>
          </cell>
          <cell r="B1502" t="str">
            <v>Ann Gathoni Kariuki</v>
          </cell>
          <cell r="E1502" t="str">
            <v>LG</v>
          </cell>
        </row>
        <row r="1503">
          <cell r="A1503" t="str">
            <v>BB09292</v>
          </cell>
          <cell r="B1503" t="str">
            <v>Ann Chebet Chebet</v>
          </cell>
          <cell r="E1503" t="str">
            <v>UB</v>
          </cell>
        </row>
        <row r="1504">
          <cell r="A1504" t="str">
            <v>AB025BW</v>
          </cell>
          <cell r="B1504" t="str">
            <v>Angelyne Ochieng'</v>
          </cell>
          <cell r="E1504" t="str">
            <v>UB</v>
          </cell>
        </row>
        <row r="1505">
          <cell r="A1505" t="str">
            <v>AB023XH</v>
          </cell>
          <cell r="B1505" t="str">
            <v>Angellah Situma Naliaka</v>
          </cell>
          <cell r="E1505" t="str">
            <v>LG</v>
          </cell>
        </row>
        <row r="1506">
          <cell r="A1506" t="str">
            <v>AB019VM</v>
          </cell>
          <cell r="B1506" t="str">
            <v>Angeline Nduse Ndeli</v>
          </cell>
          <cell r="E1506" t="str">
            <v>LG</v>
          </cell>
        </row>
        <row r="1507">
          <cell r="A1507" t="str">
            <v>LG18289</v>
          </cell>
          <cell r="B1507" t="str">
            <v>Angela Waigumo Muchangi</v>
          </cell>
          <cell r="E1507" t="str">
            <v>LG</v>
          </cell>
        </row>
        <row r="1508">
          <cell r="A1508" t="str">
            <v>LG25548</v>
          </cell>
          <cell r="B1508" t="str">
            <v>Angela Teresia Kingai</v>
          </cell>
          <cell r="E1508" t="str">
            <v>LG</v>
          </cell>
        </row>
        <row r="1509">
          <cell r="A1509" t="str">
            <v>LG24290</v>
          </cell>
          <cell r="B1509" t="str">
            <v>Andrew Rose Maluki</v>
          </cell>
          <cell r="E1509" t="str">
            <v>LG</v>
          </cell>
        </row>
        <row r="1510">
          <cell r="A1510" t="str">
            <v>AB024FG</v>
          </cell>
          <cell r="B1510" t="str">
            <v>Andrew Luseno</v>
          </cell>
          <cell r="E1510" t="str">
            <v>LG</v>
          </cell>
        </row>
        <row r="1511">
          <cell r="A1511" t="str">
            <v>LG06961</v>
          </cell>
          <cell r="B1511" t="str">
            <v xml:space="preserve">Andisi Marion </v>
          </cell>
          <cell r="E1511" t="str">
            <v>LG</v>
          </cell>
        </row>
        <row r="1512">
          <cell r="A1512" t="str">
            <v>ABAN613</v>
          </cell>
          <cell r="B1512" t="str">
            <v>Ancetar Ngungu Mulili</v>
          </cell>
          <cell r="E1512" t="str">
            <v>ALAK</v>
          </cell>
        </row>
        <row r="1513">
          <cell r="A1513" t="str">
            <v>LG19905</v>
          </cell>
          <cell r="B1513" t="str">
            <v>Anastacia Nyawira Njoroge</v>
          </cell>
          <cell r="E1513" t="str">
            <v>LG</v>
          </cell>
        </row>
        <row r="1514">
          <cell r="A1514" t="str">
            <v>BB10542</v>
          </cell>
          <cell r="B1514" t="str">
            <v>Amos Mwangi Waithaka</v>
          </cell>
          <cell r="E1514" t="str">
            <v>UB</v>
          </cell>
        </row>
        <row r="1515">
          <cell r="A1515" t="str">
            <v>AB027CT</v>
          </cell>
          <cell r="B1515" t="str">
            <v>Amorkirsten Mabubi</v>
          </cell>
          <cell r="E1515" t="str">
            <v>LG</v>
          </cell>
        </row>
        <row r="1516">
          <cell r="A1516" t="str">
            <v>LG23519</v>
          </cell>
          <cell r="B1516" t="str">
            <v>Amina Wakio Ochieng</v>
          </cell>
          <cell r="E1516" t="str">
            <v>LG</v>
          </cell>
        </row>
        <row r="1517">
          <cell r="A1517" t="str">
            <v>BB12722</v>
          </cell>
          <cell r="B1517" t="str">
            <v>Amina Mohamed Ibrahim</v>
          </cell>
          <cell r="E1517" t="str">
            <v>UB</v>
          </cell>
        </row>
        <row r="1518">
          <cell r="A1518" t="str">
            <v>LG23502</v>
          </cell>
          <cell r="B1518" t="str">
            <v>Alphonce Otieno Okeyo</v>
          </cell>
          <cell r="E1518" t="str">
            <v>LG</v>
          </cell>
        </row>
        <row r="1519">
          <cell r="A1519" t="str">
            <v>LG24593</v>
          </cell>
          <cell r="B1519" t="str">
            <v>Alphonce Muendo Mwakuya</v>
          </cell>
          <cell r="E1519" t="str">
            <v>LG</v>
          </cell>
        </row>
        <row r="1520">
          <cell r="A1520" t="str">
            <v>HISA0008</v>
          </cell>
          <cell r="B1520" t="str">
            <v>ALPHAYO NYAKUNDI</v>
          </cell>
          <cell r="E1520" t="str">
            <v>ALAK</v>
          </cell>
        </row>
        <row r="1521">
          <cell r="A1521" t="str">
            <v>LG23550</v>
          </cell>
          <cell r="B1521" t="str">
            <v>Ally Joel Osiare</v>
          </cell>
          <cell r="E1521" t="str">
            <v>LG</v>
          </cell>
        </row>
        <row r="1522">
          <cell r="A1522" t="str">
            <v>AB022TJ</v>
          </cell>
          <cell r="B1522" t="str">
            <v>Alloys Onyisi Angaga</v>
          </cell>
          <cell r="E1522" t="str">
            <v>LG</v>
          </cell>
        </row>
        <row r="1523">
          <cell r="A1523" t="str">
            <v>LG23433</v>
          </cell>
          <cell r="B1523" t="str">
            <v>Allan Otieno Ogola</v>
          </cell>
          <cell r="E1523" t="str">
            <v>LG</v>
          </cell>
        </row>
        <row r="1524">
          <cell r="A1524" t="str">
            <v>LG24395</v>
          </cell>
          <cell r="B1524" t="str">
            <v>Allan Mmbaya Kai</v>
          </cell>
          <cell r="E1524" t="str">
            <v>LG</v>
          </cell>
        </row>
        <row r="1525">
          <cell r="A1525" t="str">
            <v>BB23218</v>
          </cell>
          <cell r="B1525" t="str">
            <v>Allan Kemboi Kpsang</v>
          </cell>
          <cell r="E1525" t="str">
            <v>LG</v>
          </cell>
        </row>
        <row r="1526">
          <cell r="A1526" t="str">
            <v>LG25597</v>
          </cell>
          <cell r="B1526" t="str">
            <v xml:space="preserve">Alice Wanja Kabaru </v>
          </cell>
          <cell r="E1526" t="str">
            <v>LG</v>
          </cell>
        </row>
        <row r="1527">
          <cell r="A1527" t="str">
            <v>LG17858</v>
          </cell>
          <cell r="B1527" t="str">
            <v>Alice Minage Okole</v>
          </cell>
          <cell r="E1527" t="str">
            <v>LG</v>
          </cell>
        </row>
        <row r="1528">
          <cell r="A1528" t="str">
            <v>AB0171Z</v>
          </cell>
          <cell r="B1528" t="str">
            <v>Alice Kiragu</v>
          </cell>
          <cell r="E1528" t="str">
            <v>LG</v>
          </cell>
        </row>
        <row r="1529">
          <cell r="A1529" t="str">
            <v>BB06826</v>
          </cell>
          <cell r="B1529" t="str">
            <v xml:space="preserve">Alice Kellong </v>
          </cell>
          <cell r="E1529" t="str">
            <v>UB</v>
          </cell>
        </row>
        <row r="1530">
          <cell r="A1530" t="str">
            <v>LG18902</v>
          </cell>
          <cell r="B1530" t="str">
            <v>Alice Akinyi Ogutu</v>
          </cell>
          <cell r="E1530" t="str">
            <v>LG</v>
          </cell>
        </row>
        <row r="1531">
          <cell r="A1531" t="str">
            <v>LG06454</v>
          </cell>
          <cell r="B1531" t="str">
            <v>Alice Achieng Wamidha</v>
          </cell>
          <cell r="E1531" t="str">
            <v>LG</v>
          </cell>
        </row>
        <row r="1532">
          <cell r="A1532" t="str">
            <v>BB09243</v>
          </cell>
          <cell r="B1532" t="str">
            <v>Ali Mohamed Mohamed</v>
          </cell>
          <cell r="E1532" t="str">
            <v>UB</v>
          </cell>
        </row>
        <row r="1533">
          <cell r="A1533" t="str">
            <v>BB07558</v>
          </cell>
          <cell r="B1533" t="str">
            <v>Alfonce Nguu Mbengei</v>
          </cell>
          <cell r="E1533" t="str">
            <v>UB</v>
          </cell>
        </row>
        <row r="1534">
          <cell r="A1534" t="str">
            <v>LG17833</v>
          </cell>
          <cell r="B1534" t="str">
            <v>Alexender Lotiolo Ptiyos</v>
          </cell>
          <cell r="E1534" t="str">
            <v>LG</v>
          </cell>
        </row>
        <row r="1535">
          <cell r="A1535" t="str">
            <v>AB026QM</v>
          </cell>
          <cell r="B1535" t="str">
            <v>Alexandria Murage</v>
          </cell>
          <cell r="E1535" t="str">
            <v>LG</v>
          </cell>
        </row>
        <row r="1536">
          <cell r="A1536" t="str">
            <v>AB023SI</v>
          </cell>
          <cell r="B1536" t="str">
            <v>Alexander Mutia</v>
          </cell>
          <cell r="E1536" t="str">
            <v>LG</v>
          </cell>
        </row>
        <row r="1537">
          <cell r="A1537" t="str">
            <v>AB019LB</v>
          </cell>
          <cell r="B1537" t="str">
            <v>Alex Onkwani Ombworo</v>
          </cell>
          <cell r="E1537" t="str">
            <v>LG</v>
          </cell>
        </row>
        <row r="1538">
          <cell r="A1538" t="str">
            <v>LG10733</v>
          </cell>
          <cell r="B1538" t="str">
            <v>Alex Mutisya Wambua</v>
          </cell>
          <cell r="E1538" t="str">
            <v>LG</v>
          </cell>
        </row>
        <row r="1539">
          <cell r="A1539" t="str">
            <v>LG21648</v>
          </cell>
          <cell r="B1539" t="str">
            <v>Alex Mutinda Matheka</v>
          </cell>
          <cell r="E1539" t="str">
            <v>LG</v>
          </cell>
        </row>
        <row r="1540">
          <cell r="A1540" t="str">
            <v>LG24226</v>
          </cell>
          <cell r="B1540" t="str">
            <v>Alex Muhoro Muito</v>
          </cell>
          <cell r="E1540" t="str">
            <v>LG</v>
          </cell>
        </row>
        <row r="1541">
          <cell r="A1541" t="str">
            <v>BB07419</v>
          </cell>
          <cell r="B1541" t="str">
            <v>Alex Gathui Muthua</v>
          </cell>
          <cell r="E1541" t="str">
            <v>UB</v>
          </cell>
        </row>
        <row r="1542">
          <cell r="A1542" t="str">
            <v>LG23275</v>
          </cell>
          <cell r="B1542" t="str">
            <v>Alex  Kavoi</v>
          </cell>
          <cell r="E1542" t="str">
            <v>LG</v>
          </cell>
        </row>
        <row r="1543">
          <cell r="A1543" t="str">
            <v>LG24305</v>
          </cell>
          <cell r="B1543" t="str">
            <v>Akuma Dancan Bikundo</v>
          </cell>
          <cell r="E1543" t="str">
            <v>LG</v>
          </cell>
        </row>
        <row r="1544">
          <cell r="A1544" t="str">
            <v>AB010VD</v>
          </cell>
          <cell r="B1544" t="str">
            <v>Akuku Phelix</v>
          </cell>
          <cell r="E1544" t="str">
            <v>LG</v>
          </cell>
        </row>
        <row r="1545">
          <cell r="A1545" t="str">
            <v>AB019XH</v>
          </cell>
          <cell r="B1545" t="str">
            <v>Aisha Nabwire Ahmed</v>
          </cell>
          <cell r="E1545" t="str">
            <v>LG</v>
          </cell>
        </row>
        <row r="1546">
          <cell r="A1546" t="str">
            <v>13035</v>
          </cell>
          <cell r="B1546" t="str">
            <v>Aida Wanjiku Kimani</v>
          </cell>
          <cell r="E1546" t="str">
            <v>ALAK</v>
          </cell>
        </row>
        <row r="1547">
          <cell r="A1547" t="str">
            <v>LG16991</v>
          </cell>
          <cell r="B1547" t="str">
            <v>Agnetta Kavulu Musangi</v>
          </cell>
          <cell r="E1547" t="str">
            <v>LG</v>
          </cell>
        </row>
        <row r="1548">
          <cell r="A1548" t="str">
            <v>BB11463</v>
          </cell>
          <cell r="B1548" t="str">
            <v>Agnes Wanjiku Kiruai</v>
          </cell>
          <cell r="E1548" t="str">
            <v>UB</v>
          </cell>
        </row>
        <row r="1549">
          <cell r="A1549" t="str">
            <v>BB10710</v>
          </cell>
          <cell r="B1549" t="str">
            <v>Agnes Wangari Waithira</v>
          </cell>
          <cell r="E1549" t="str">
            <v>UB</v>
          </cell>
        </row>
        <row r="1550">
          <cell r="A1550" t="str">
            <v>LG10710</v>
          </cell>
          <cell r="B1550" t="str">
            <v xml:space="preserve">Agnes Wangari Waithera </v>
          </cell>
          <cell r="E1550" t="str">
            <v>LG</v>
          </cell>
        </row>
        <row r="1551">
          <cell r="A1551" t="str">
            <v>LG12473</v>
          </cell>
          <cell r="B1551" t="str">
            <v>Agnes Ngusye Mulinge</v>
          </cell>
          <cell r="E1551" t="str">
            <v>LG</v>
          </cell>
        </row>
        <row r="1552">
          <cell r="A1552" t="str">
            <v>AB023JL</v>
          </cell>
          <cell r="B1552" t="str">
            <v>Agnes Kilungu</v>
          </cell>
          <cell r="E1552" t="str">
            <v>LG</v>
          </cell>
        </row>
        <row r="1553">
          <cell r="A1553" t="str">
            <v>LG09213</v>
          </cell>
          <cell r="B1553" t="str">
            <v>Agnes Karimi Imanene</v>
          </cell>
          <cell r="E1553" t="str">
            <v>LG</v>
          </cell>
        </row>
        <row r="1554">
          <cell r="A1554" t="str">
            <v>AB011JV</v>
          </cell>
          <cell r="B1554" t="str">
            <v>Agnes Amata Adhiambo</v>
          </cell>
          <cell r="E1554" t="str">
            <v>LG</v>
          </cell>
        </row>
        <row r="1555">
          <cell r="A1555" t="str">
            <v>LG11997</v>
          </cell>
          <cell r="B1555" t="str">
            <v>Aggrey Imbai Azenga</v>
          </cell>
          <cell r="E1555" t="str">
            <v>LG</v>
          </cell>
        </row>
        <row r="1556">
          <cell r="A1556" t="str">
            <v>AB019WO</v>
          </cell>
          <cell r="B1556" t="str">
            <v>Adrianna Lang'at</v>
          </cell>
          <cell r="E1556" t="str">
            <v>LG</v>
          </cell>
        </row>
        <row r="1557">
          <cell r="A1557" t="str">
            <v>LG24887</v>
          </cell>
          <cell r="B1557" t="str">
            <v xml:space="preserve">Adan Hussein Abdulla </v>
          </cell>
          <cell r="E1557" t="str">
            <v>LG</v>
          </cell>
        </row>
        <row r="1558">
          <cell r="A1558" t="str">
            <v>BB17115</v>
          </cell>
          <cell r="B1558" t="str">
            <v>Adan Abdi Issack</v>
          </cell>
          <cell r="E1558" t="str">
            <v>UB</v>
          </cell>
        </row>
        <row r="1559">
          <cell r="A1559" t="str">
            <v>LG13467</v>
          </cell>
          <cell r="B1559" t="str">
            <v>Abraham Peter Ogola</v>
          </cell>
          <cell r="E1559" t="str">
            <v>LG</v>
          </cell>
        </row>
        <row r="1560">
          <cell r="A1560" t="str">
            <v>BB21413</v>
          </cell>
          <cell r="B1560" t="str">
            <v>Abishag Joy Muriuki</v>
          </cell>
          <cell r="E1560" t="str">
            <v>UB</v>
          </cell>
        </row>
        <row r="1561">
          <cell r="A1561" t="str">
            <v>BB05722</v>
          </cell>
          <cell r="B1561" t="str">
            <v>Abigael Manoti Onyancha</v>
          </cell>
          <cell r="E1561" t="str">
            <v>UB</v>
          </cell>
        </row>
        <row r="1562">
          <cell r="A1562" t="str">
            <v>AB017W2</v>
          </cell>
          <cell r="B1562" t="str">
            <v>Abigael Kavinya Joseph</v>
          </cell>
          <cell r="E1562" t="str">
            <v>LG</v>
          </cell>
        </row>
        <row r="1563">
          <cell r="A1563" t="str">
            <v>LG24344</v>
          </cell>
          <cell r="B1563" t="str">
            <v>Abel Nyamboki Ondima</v>
          </cell>
          <cell r="E1563" t="str">
            <v>LG</v>
          </cell>
        </row>
        <row r="1564">
          <cell r="A1564" t="str">
            <v>ZBRG051</v>
          </cell>
          <cell r="B1564" t="str">
            <v>Abednego Mwinzi</v>
          </cell>
          <cell r="E1564" t="str">
            <v>ALAK</v>
          </cell>
        </row>
        <row r="1565">
          <cell r="A1565" t="str">
            <v>LG19364</v>
          </cell>
          <cell r="B1565" t="str">
            <v>Abednego Lucas Olwako</v>
          </cell>
          <cell r="E1565" t="str">
            <v>LG</v>
          </cell>
        </row>
        <row r="1566">
          <cell r="A1566" t="str">
            <v>BB13134</v>
          </cell>
          <cell r="B1566" t="str">
            <v>Abdulrahman Abdallah Kofa Hyssein</v>
          </cell>
          <cell r="E1566" t="str">
            <v>UB</v>
          </cell>
        </row>
        <row r="1567">
          <cell r="A1567" t="str">
            <v>LG24888</v>
          </cell>
          <cell r="B1567" t="str">
            <v xml:space="preserve">Abdullahi Alio Sheikh </v>
          </cell>
          <cell r="E1567" t="str">
            <v>LG</v>
          </cell>
        </row>
        <row r="1568">
          <cell r="A1568" t="str">
            <v>BB18983</v>
          </cell>
          <cell r="B1568" t="str">
            <v>Abdinasir Hussein Abdullahi</v>
          </cell>
          <cell r="E1568" t="str">
            <v>UB</v>
          </cell>
        </row>
        <row r="1569">
          <cell r="A1569" t="str">
            <v>LG24893</v>
          </cell>
          <cell r="B1569" t="str">
            <v xml:space="preserve">Abdikafar Hassan Ibrahim </v>
          </cell>
          <cell r="E1569" t="str">
            <v>LG</v>
          </cell>
        </row>
        <row r="1570">
          <cell r="A1570" t="str">
            <v>LG24897</v>
          </cell>
          <cell r="B1570" t="str">
            <v xml:space="preserve">Abdiaziz Ali Abdi </v>
          </cell>
          <cell r="E1570" t="str">
            <v>LG</v>
          </cell>
        </row>
        <row r="1571">
          <cell r="A1571" t="str">
            <v>LG24922</v>
          </cell>
          <cell r="B1571" t="str">
            <v xml:space="preserve"> Hassan Abdi Ali </v>
          </cell>
          <cell r="E1571" t="str">
            <v>LG</v>
          </cell>
        </row>
        <row r="1572">
          <cell r="A1572" t="str">
            <v>LG23537</v>
          </cell>
        </row>
        <row r="1573">
          <cell r="A1573" t="str">
            <v/>
          </cell>
          <cell r="E1573" t="str">
            <v>ALAK</v>
          </cell>
        </row>
        <row r="1574">
          <cell r="A1574" t="str">
            <v>AB030XO</v>
          </cell>
          <cell r="B1574" t="str">
            <v>Moses Baki</v>
          </cell>
          <cell r="E1574" t="str">
            <v>ALAK</v>
          </cell>
        </row>
        <row r="1575">
          <cell r="A1575" t="str">
            <v>AB029OT</v>
          </cell>
          <cell r="B1575" t="str">
            <v>Jane Maria</v>
          </cell>
          <cell r="E1575" t="str">
            <v>LG</v>
          </cell>
        </row>
        <row r="1576">
          <cell r="A1576" t="str">
            <v>AB029OV</v>
          </cell>
          <cell r="B1576" t="str">
            <v>Brian Njeru</v>
          </cell>
          <cell r="E1576" t="str">
            <v>LG</v>
          </cell>
        </row>
        <row r="1577">
          <cell r="A1577" t="str">
            <v>ABPK281</v>
          </cell>
          <cell r="B1577" t="str">
            <v>Paul Kithuka</v>
          </cell>
          <cell r="E1577" t="str">
            <v>LG</v>
          </cell>
        </row>
        <row r="1578">
          <cell r="A1578" t="str">
            <v>BB21841</v>
          </cell>
          <cell r="B1578" t="str">
            <v>Janet Kitaka</v>
          </cell>
          <cell r="E1578" t="str">
            <v>LG</v>
          </cell>
        </row>
        <row r="1579">
          <cell r="A1579" t="str">
            <v>C.1986</v>
          </cell>
          <cell r="B1579" t="str">
            <v>Claire Muhoro</v>
          </cell>
          <cell r="E1579" t="str">
            <v>ALAK</v>
          </cell>
        </row>
        <row r="1580">
          <cell r="A1580" t="str">
            <v>HISA0027</v>
          </cell>
          <cell r="B1580" t="str">
            <v>KT Shield Insurance Agency</v>
          </cell>
          <cell r="E1580" t="str">
            <v>ALAK</v>
          </cell>
        </row>
        <row r="1581">
          <cell r="A1581" t="str">
            <v>ABEMA41</v>
          </cell>
          <cell r="B1581" t="str">
            <v>Esther Maina</v>
          </cell>
          <cell r="E1581" t="str">
            <v>UB</v>
          </cell>
        </row>
        <row r="1582">
          <cell r="A1582" t="str">
            <v>ABCMAAV</v>
          </cell>
          <cell r="B1582" t="str">
            <v>Clinton Morang'a</v>
          </cell>
          <cell r="E1582" t="str">
            <v>LG</v>
          </cell>
        </row>
        <row r="1583">
          <cell r="A1583" t="str">
            <v>AB028K1</v>
          </cell>
          <cell r="B1583" t="str">
            <v>Moses Mabonga</v>
          </cell>
          <cell r="E1583" t="str">
            <v>UB</v>
          </cell>
        </row>
        <row r="1584">
          <cell r="A1584" t="str">
            <v>HISA0026</v>
          </cell>
          <cell r="B1584" t="str">
            <v>Charlene Kimara</v>
          </cell>
          <cell r="E1584" t="str">
            <v>ALAK</v>
          </cell>
        </row>
        <row r="1585">
          <cell r="A1585" t="str">
            <v>ABD0139</v>
          </cell>
          <cell r="B1585" t="str">
            <v>Dorcus Ayuma Ong'ondo</v>
          </cell>
          <cell r="E1585" t="str">
            <v>LG</v>
          </cell>
        </row>
        <row r="1586">
          <cell r="A1586" t="str">
            <v>AB02025</v>
          </cell>
          <cell r="B1586" t="str">
            <v>Rahab Gichure</v>
          </cell>
          <cell r="E1586" t="str">
            <v>LG</v>
          </cell>
        </row>
        <row r="1587">
          <cell r="A1587" t="str">
            <v>ABJR643</v>
          </cell>
          <cell r="B1587" t="str">
            <v>Joshua Riandi</v>
          </cell>
          <cell r="E1587" t="str">
            <v>LG</v>
          </cell>
        </row>
        <row r="1588">
          <cell r="A1588" t="str">
            <v>AB027D9</v>
          </cell>
          <cell r="B1588" t="str">
            <v>Loret Angelyne Wamkoya</v>
          </cell>
          <cell r="E1588" t="str">
            <v>LG</v>
          </cell>
        </row>
        <row r="1589">
          <cell r="A1589" t="str">
            <v>ABPMAN0</v>
          </cell>
          <cell r="B1589" t="str">
            <v>Patrick Githui Matu</v>
          </cell>
          <cell r="E1589" t="str">
            <v>UB</v>
          </cell>
        </row>
        <row r="1590">
          <cell r="A1590" t="str">
            <v>AB0309O</v>
          </cell>
          <cell r="B1590" t="str">
            <v>Kennedy Owuor</v>
          </cell>
          <cell r="E1590" t="str">
            <v>LG</v>
          </cell>
        </row>
        <row r="1591">
          <cell r="A1591" t="str">
            <v>AB030RL</v>
          </cell>
          <cell r="B1591" t="str">
            <v>Faith Mugure Ndungu</v>
          </cell>
          <cell r="E1591" t="str">
            <v>LG</v>
          </cell>
        </row>
        <row r="1592">
          <cell r="A1592" t="str">
            <v>ABEA272</v>
          </cell>
          <cell r="B1592" t="str">
            <v xml:space="preserve">Edita Anyango Amadi </v>
          </cell>
          <cell r="E1592" t="str">
            <v>LG</v>
          </cell>
        </row>
        <row r="1593">
          <cell r="A1593" t="str">
            <v>AB031FI</v>
          </cell>
          <cell r="B1593" t="str">
            <v>John Njenga Githama</v>
          </cell>
          <cell r="E1593" t="str">
            <v>LG</v>
          </cell>
        </row>
        <row r="1594">
          <cell r="A1594" t="str">
            <v>AB0261T</v>
          </cell>
          <cell r="B1594" t="str">
            <v>Grace Mutave Kavisi</v>
          </cell>
          <cell r="E1594" t="str">
            <v>LG</v>
          </cell>
        </row>
        <row r="1595">
          <cell r="A1595" t="str">
            <v>AB030QS</v>
          </cell>
          <cell r="B1595" t="str">
            <v>Isaiah Pseret</v>
          </cell>
          <cell r="E1595" t="str">
            <v>LG</v>
          </cell>
        </row>
        <row r="1596">
          <cell r="A1596" t="str">
            <v>LG25274</v>
          </cell>
          <cell r="B1596" t="str">
            <v xml:space="preserve">Mariam Nasimiyu </v>
          </cell>
          <cell r="E1596" t="str">
            <v>LG</v>
          </cell>
        </row>
        <row r="1597">
          <cell r="A1597" t="str">
            <v>ABE5753</v>
          </cell>
          <cell r="B1597" t="str">
            <v xml:space="preserve">Everlyne Mangala Singa </v>
          </cell>
          <cell r="E1597" t="str">
            <v>LG</v>
          </cell>
        </row>
        <row r="1598">
          <cell r="A1598" t="str">
            <v>AB02416</v>
          </cell>
          <cell r="B1598" t="str">
            <v>Sheila C. Adhiambo</v>
          </cell>
          <cell r="E1598" t="str">
            <v>UB</v>
          </cell>
        </row>
        <row r="1599">
          <cell r="A1599" t="str">
            <v>AB030ZR</v>
          </cell>
          <cell r="B1599" t="str">
            <v>Zedekiah Mburu</v>
          </cell>
          <cell r="E1599" t="str">
            <v>ALAK</v>
          </cell>
        </row>
        <row r="1600">
          <cell r="A1600" t="str">
            <v>AB0253L</v>
          </cell>
          <cell r="B1600" t="str">
            <v>James Machini</v>
          </cell>
          <cell r="E1600" t="str">
            <v>LG</v>
          </cell>
        </row>
        <row r="1601">
          <cell r="A1601" t="str">
            <v>AB029H5</v>
          </cell>
          <cell r="B1601" t="str">
            <v>Mercy Muli</v>
          </cell>
          <cell r="E1601" t="str">
            <v>LG</v>
          </cell>
        </row>
        <row r="1602">
          <cell r="A1602" t="str">
            <v>AB023XI</v>
          </cell>
          <cell r="B1602" t="str">
            <v xml:space="preserve">Carolyne Mule </v>
          </cell>
          <cell r="E1602" t="str">
            <v>LG</v>
          </cell>
        </row>
        <row r="1603">
          <cell r="A1603" t="str">
            <v>AB0297I</v>
          </cell>
          <cell r="B1603" t="str">
            <v>Anthony Macharia</v>
          </cell>
          <cell r="E1603" t="str">
            <v>LG</v>
          </cell>
        </row>
        <row r="1604">
          <cell r="A1604" t="str">
            <v>AB032CI</v>
          </cell>
          <cell r="B1604" t="str">
            <v>Janet Nanjala</v>
          </cell>
          <cell r="E1604" t="str">
            <v>LG</v>
          </cell>
        </row>
        <row r="1605">
          <cell r="A1605" t="str">
            <v>CN269</v>
          </cell>
          <cell r="B1605" t="str">
            <v>Selestine Magayu</v>
          </cell>
          <cell r="E1605" t="str">
            <v>ALAK</v>
          </cell>
        </row>
        <row r="1606">
          <cell r="A1606" t="str">
            <v>CN262</v>
          </cell>
          <cell r="B1606" t="str">
            <v>Selestine Magayu</v>
          </cell>
          <cell r="E1606" t="str">
            <v>ALAK</v>
          </cell>
        </row>
        <row r="1607">
          <cell r="A1607" t="str">
            <v>CN265</v>
          </cell>
          <cell r="B1607" t="str">
            <v>Selestine Magayu</v>
          </cell>
          <cell r="E1607" t="str">
            <v>ALAK</v>
          </cell>
        </row>
        <row r="1608">
          <cell r="A1608" t="str">
            <v>CN268</v>
          </cell>
          <cell r="B1608" t="str">
            <v>Selestine Magayu</v>
          </cell>
          <cell r="E1608" t="str">
            <v>ALAK</v>
          </cell>
        </row>
        <row r="1609">
          <cell r="A1609" t="str">
            <v>CN263</v>
          </cell>
          <cell r="B1609" t="str">
            <v>Joel Mbogo</v>
          </cell>
          <cell r="E1609" t="str">
            <v>ALAK</v>
          </cell>
        </row>
        <row r="1610">
          <cell r="A1610" t="str">
            <v>CN268</v>
          </cell>
          <cell r="B1610" t="str">
            <v>Selestine Magayu</v>
          </cell>
          <cell r="E1610" t="str">
            <v>ALAK</v>
          </cell>
        </row>
        <row r="1611">
          <cell r="A1611" t="str">
            <v>CN270</v>
          </cell>
          <cell r="B1611" t="str">
            <v>Joel Mbogo</v>
          </cell>
          <cell r="E1611" t="str">
            <v>ALAK</v>
          </cell>
        </row>
        <row r="1612">
          <cell r="A1612" t="str">
            <v>CN261</v>
          </cell>
          <cell r="B1612" t="str">
            <v>Joel Mbogo</v>
          </cell>
          <cell r="E1612" t="str">
            <v>ALAK</v>
          </cell>
        </row>
        <row r="1613">
          <cell r="A1613" t="str">
            <v>CN261</v>
          </cell>
          <cell r="B1613" t="str">
            <v>Joel Mbogo</v>
          </cell>
          <cell r="E1613" t="str">
            <v>ALAK</v>
          </cell>
        </row>
        <row r="1614">
          <cell r="A1614" t="str">
            <v>CN827</v>
          </cell>
          <cell r="B1614" t="str">
            <v>Joel Mbogo</v>
          </cell>
          <cell r="E1614" t="str">
            <v>ALAK</v>
          </cell>
        </row>
        <row r="1615">
          <cell r="A1615" t="str">
            <v>HISA0047</v>
          </cell>
          <cell r="B1615" t="str">
            <v>Caroline Ng'ang'a</v>
          </cell>
          <cell r="E1615" t="str">
            <v>ALAK</v>
          </cell>
        </row>
        <row r="1616">
          <cell r="A1616" t="str">
            <v>HISA0007</v>
          </cell>
          <cell r="B1616" t="str">
            <v>Consolata Wandia Maina</v>
          </cell>
          <cell r="E1616" t="str">
            <v>ALAK</v>
          </cell>
        </row>
        <row r="1617">
          <cell r="A1617" t="str">
            <v>HISA0076</v>
          </cell>
          <cell r="B1617" t="str">
            <v>Fouzia Nicole Rashid</v>
          </cell>
          <cell r="E1617" t="str">
            <v>ALAK</v>
          </cell>
        </row>
        <row r="1618">
          <cell r="A1618" t="str">
            <v>HISA0076</v>
          </cell>
          <cell r="B1618" t="str">
            <v>Grace Wahome</v>
          </cell>
          <cell r="E1618" t="str">
            <v>ALAK</v>
          </cell>
        </row>
        <row r="1619">
          <cell r="A1619" t="str">
            <v>HISA0086</v>
          </cell>
          <cell r="B1619" t="str">
            <v>Margaret Wangui Mbugua</v>
          </cell>
          <cell r="E1619" t="str">
            <v>ALAK</v>
          </cell>
        </row>
        <row r="1620">
          <cell r="A1620" t="str">
            <v>HISA0040</v>
          </cell>
          <cell r="B1620" t="str">
            <v>Martin Kamande</v>
          </cell>
          <cell r="E1620" t="str">
            <v>ALAK</v>
          </cell>
        </row>
        <row r="1621">
          <cell r="A1621" t="str">
            <v>HISA0052</v>
          </cell>
          <cell r="B1621" t="str">
            <v>Pauline Mkanjumwa Maza</v>
          </cell>
          <cell r="E1621" t="str">
            <v>ALAK</v>
          </cell>
        </row>
        <row r="1622">
          <cell r="A1622" t="str">
            <v>HISA0096</v>
          </cell>
          <cell r="B1622" t="str">
            <v>Peris Wakanyi Kamau</v>
          </cell>
          <cell r="E1622" t="str">
            <v>ALAK</v>
          </cell>
        </row>
        <row r="1623">
          <cell r="A1623" t="str">
            <v>HISA0028</v>
          </cell>
          <cell r="B1623" t="str">
            <v>Rhoda Nyaanga Wanjuki</v>
          </cell>
          <cell r="E1623" t="str">
            <v>ALAK</v>
          </cell>
        </row>
        <row r="1624">
          <cell r="A1624" t="str">
            <v>HISA0033</v>
          </cell>
          <cell r="B1624" t="str">
            <v>Susan Omondi</v>
          </cell>
          <cell r="E1624" t="str">
            <v>ALAK</v>
          </cell>
        </row>
        <row r="1625">
          <cell r="A1625" t="str">
            <v>HISA0080</v>
          </cell>
          <cell r="B1625" t="str">
            <v>Sylvia Mutitu Njagi</v>
          </cell>
          <cell r="E1625" t="str">
            <v>ALAK</v>
          </cell>
        </row>
        <row r="1626">
          <cell r="A1626" t="str">
            <v>HISA0061</v>
          </cell>
          <cell r="B1626" t="str">
            <v>Virginia Wambui Mbugua</v>
          </cell>
          <cell r="E1626" t="str">
            <v>ALAK</v>
          </cell>
        </row>
        <row r="1627">
          <cell r="A1627" t="str">
            <v>HISA0012</v>
          </cell>
          <cell r="B1627" t="str">
            <v>Vivian Mlati</v>
          </cell>
          <cell r="E1627" t="str">
            <v>ALAK</v>
          </cell>
        </row>
        <row r="1628">
          <cell r="A1628" t="str">
            <v>HISA0025</v>
          </cell>
          <cell r="B1628" t="str">
            <v>Wainaina Joseph Kiarie</v>
          </cell>
          <cell r="E1628" t="str">
            <v>ALAK</v>
          </cell>
        </row>
        <row r="1629">
          <cell r="A1629" t="str">
            <v>HISA0041</v>
          </cell>
          <cell r="B1629" t="str">
            <v>Agnes Wachuka Waruingi</v>
          </cell>
          <cell r="E1629" t="str">
            <v>ALAK</v>
          </cell>
        </row>
        <row r="1630">
          <cell r="A1630" t="str">
            <v>HISA0054</v>
          </cell>
          <cell r="B1630" t="str">
            <v>Amos Chege Karanja</v>
          </cell>
          <cell r="E1630" t="str">
            <v>ALAK</v>
          </cell>
        </row>
        <row r="1631">
          <cell r="A1631" t="str">
            <v>HISA0027</v>
          </cell>
          <cell r="B1631" t="str">
            <v>Carolyne Njoki Muhoro</v>
          </cell>
          <cell r="E1631" t="str">
            <v>ALAK</v>
          </cell>
        </row>
        <row r="1632">
          <cell r="A1632" t="str">
            <v>HISA0067</v>
          </cell>
          <cell r="B1632" t="str">
            <v>Catherine Koli Mutua</v>
          </cell>
          <cell r="E1632" t="str">
            <v>ALAK</v>
          </cell>
        </row>
        <row r="1633">
          <cell r="A1633" t="str">
            <v>HISA0002</v>
          </cell>
          <cell r="B1633" t="str">
            <v>Jacky Muiga</v>
          </cell>
          <cell r="E1633" t="str">
            <v>ALAK</v>
          </cell>
        </row>
        <row r="1634">
          <cell r="A1634" t="str">
            <v>HISA0069</v>
          </cell>
          <cell r="B1634" t="str">
            <v>James Giathi Karugu</v>
          </cell>
          <cell r="E1634" t="str">
            <v>ALAK</v>
          </cell>
        </row>
        <row r="1635">
          <cell r="A1635" t="str">
            <v>HISA0003</v>
          </cell>
          <cell r="B1635" t="str">
            <v>Joseph Munyao Manyala</v>
          </cell>
          <cell r="E1635" t="str">
            <v>ALAK</v>
          </cell>
        </row>
        <row r="1636">
          <cell r="A1636" t="str">
            <v>HISA0011</v>
          </cell>
          <cell r="B1636" t="str">
            <v>Julia Kamau</v>
          </cell>
          <cell r="E1636" t="str">
            <v>ALAK</v>
          </cell>
        </row>
        <row r="1637">
          <cell r="A1637" t="str">
            <v>HISA0060</v>
          </cell>
          <cell r="B1637" t="str">
            <v>Lovelyn Atwiine</v>
          </cell>
          <cell r="E1637" t="str">
            <v>ALAK</v>
          </cell>
        </row>
        <row r="1638">
          <cell r="A1638" t="str">
            <v>HISA0020</v>
          </cell>
          <cell r="B1638" t="str">
            <v>Maureen Ichaura</v>
          </cell>
          <cell r="E1638" t="str">
            <v>ALAK</v>
          </cell>
        </row>
        <row r="1639">
          <cell r="A1639" t="str">
            <v>HISA0039</v>
          </cell>
          <cell r="B1639" t="str">
            <v>Robinson Nduati Kimani</v>
          </cell>
          <cell r="E1639" t="str">
            <v>ALAK</v>
          </cell>
        </row>
        <row r="1640">
          <cell r="A1640" t="str">
            <v>HISA0018</v>
          </cell>
          <cell r="B1640" t="str">
            <v>Sammy Gikiri</v>
          </cell>
          <cell r="E1640" t="str">
            <v>ALAK</v>
          </cell>
        </row>
        <row r="1641">
          <cell r="A1641" t="str">
            <v>HISA0016</v>
          </cell>
          <cell r="B1641" t="str">
            <v>Victor Nyamunga</v>
          </cell>
          <cell r="E1641" t="str">
            <v>ALAK</v>
          </cell>
        </row>
        <row r="1642">
          <cell r="A1642" t="str">
            <v>HISA0045</v>
          </cell>
          <cell r="B1642" t="str">
            <v>Winnie Wanjiku Kiragu</v>
          </cell>
          <cell r="E1642" t="str">
            <v>ALAK</v>
          </cell>
        </row>
        <row r="1643">
          <cell r="A1643" t="str">
            <v>HISA0001</v>
          </cell>
          <cell r="B1643" t="str">
            <v>Alfred Mathu</v>
          </cell>
          <cell r="E1643" t="str">
            <v>ALAK</v>
          </cell>
        </row>
        <row r="1644">
          <cell r="A1644" t="str">
            <v>AB027V0</v>
          </cell>
          <cell r="B1644" t="str">
            <v xml:space="preserve">Kenneth Mugendi Kinoti </v>
          </cell>
          <cell r="E1644" t="str">
            <v>LG</v>
          </cell>
        </row>
        <row r="1645">
          <cell r="A1645" t="str">
            <v>AB011FS</v>
          </cell>
          <cell r="B1645" t="str">
            <v>Hillary Owiti</v>
          </cell>
          <cell r="E1645" t="str">
            <v>ALAK</v>
          </cell>
        </row>
        <row r="1646">
          <cell r="A1646" t="str">
            <v>AB02797</v>
          </cell>
          <cell r="B1646" t="str">
            <v>Faith Lugard</v>
          </cell>
          <cell r="E1646" t="str">
            <v>LG</v>
          </cell>
        </row>
        <row r="1647">
          <cell r="A1647" t="str">
            <v>AB027FQ</v>
          </cell>
          <cell r="B1647" t="str">
            <v>Victor Otieno Ngata</v>
          </cell>
          <cell r="E1647" t="str">
            <v>LG</v>
          </cell>
        </row>
        <row r="1648">
          <cell r="A1648" t="str">
            <v>AB029PB</v>
          </cell>
          <cell r="B1648" t="str">
            <v>Leakey Ogolla</v>
          </cell>
          <cell r="E1648" t="str">
            <v>LG</v>
          </cell>
        </row>
        <row r="1649">
          <cell r="A1649" t="str">
            <v>AB032XS</v>
          </cell>
          <cell r="B1649" t="str">
            <v>Valentine Kerubo</v>
          </cell>
          <cell r="E1649" t="str">
            <v>LG</v>
          </cell>
        </row>
        <row r="1650">
          <cell r="A1650" t="str">
            <v>AB0320J</v>
          </cell>
          <cell r="B1650" t="str">
            <v>Denis Kemboi</v>
          </cell>
          <cell r="E1650" t="str">
            <v>UB</v>
          </cell>
        </row>
        <row r="1651">
          <cell r="A1651" t="str">
            <v>AB022FF</v>
          </cell>
          <cell r="B1651" t="str">
            <v>Jeff Kariuki</v>
          </cell>
          <cell r="E1651" t="str">
            <v>LG</v>
          </cell>
        </row>
        <row r="1652">
          <cell r="A1652" t="str">
            <v>AB0313X</v>
          </cell>
          <cell r="B1652" t="str">
            <v>Renhard Bonke</v>
          </cell>
          <cell r="E1652" t="str">
            <v>LG</v>
          </cell>
        </row>
        <row r="1653">
          <cell r="A1653" t="str">
            <v>AB0311U</v>
          </cell>
          <cell r="B1653" t="str">
            <v>Doris Makena</v>
          </cell>
          <cell r="E1653" t="str">
            <v>LG</v>
          </cell>
        </row>
        <row r="1654">
          <cell r="A1654" t="str">
            <v>AB032B9</v>
          </cell>
          <cell r="B1654" t="str">
            <v xml:space="preserve">Everlyn Karani </v>
          </cell>
          <cell r="E1654" t="str">
            <v>LG</v>
          </cell>
        </row>
        <row r="1655">
          <cell r="A1655" t="str">
            <v>AB031ZL</v>
          </cell>
          <cell r="B1655" t="str">
            <v xml:space="preserve">Agaphio Njue </v>
          </cell>
          <cell r="E1655" t="str">
            <v>UB</v>
          </cell>
        </row>
        <row r="1656">
          <cell r="A1656" t="str">
            <v>AB027CZ</v>
          </cell>
          <cell r="B1656" t="str">
            <v xml:space="preserve">Joyce Juma </v>
          </cell>
          <cell r="E1656" t="str">
            <v>LG</v>
          </cell>
        </row>
        <row r="1657">
          <cell r="A1657" t="str">
            <v>AB031DU</v>
          </cell>
          <cell r="B1657" t="str">
            <v xml:space="preserve">Linet Macharia </v>
          </cell>
          <cell r="E1657" t="str">
            <v>LG</v>
          </cell>
        </row>
        <row r="1658">
          <cell r="A1658" t="str">
            <v>HISA0018</v>
          </cell>
          <cell r="B1658" t="str">
            <v>SAMMY GIKIRI</v>
          </cell>
          <cell r="E1658" t="str">
            <v>ALAK</v>
          </cell>
        </row>
        <row r="1659">
          <cell r="A1659" t="str">
            <v>ABMO247</v>
          </cell>
          <cell r="B1659" t="str">
            <v>Maurine Opiyo</v>
          </cell>
          <cell r="E1659" t="str">
            <v>LG</v>
          </cell>
        </row>
        <row r="1660">
          <cell r="A1660" t="str">
            <v>AB0318L</v>
          </cell>
          <cell r="B1660" t="str">
            <v>Josepehin Oluoch</v>
          </cell>
          <cell r="E1660" t="str">
            <v>LG</v>
          </cell>
        </row>
        <row r="1661">
          <cell r="A1661" t="str">
            <v>BB06696</v>
          </cell>
          <cell r="B1661" t="str">
            <v>Peter Ochieng Odhiambo</v>
          </cell>
          <cell r="E1661" t="str">
            <v>LG</v>
          </cell>
        </row>
        <row r="1662">
          <cell r="A1662" t="str">
            <v>AB027DA</v>
          </cell>
          <cell r="B1662" t="str">
            <v>Antonine Minayo Lukayu</v>
          </cell>
          <cell r="E1662" t="str">
            <v>LG</v>
          </cell>
        </row>
        <row r="1663">
          <cell r="A1663" t="str">
            <v>AB032XY</v>
          </cell>
          <cell r="B1663" t="str">
            <v>Ruth Katela</v>
          </cell>
          <cell r="E1663" t="str">
            <v>UB</v>
          </cell>
        </row>
        <row r="1664">
          <cell r="A1664" t="str">
            <v>HISA0032</v>
          </cell>
          <cell r="B1664" t="str">
            <v>Teresia Munene</v>
          </cell>
          <cell r="E1664" t="str">
            <v>ALAK</v>
          </cell>
        </row>
        <row r="1665">
          <cell r="A1665" t="str">
            <v>AB032XR</v>
          </cell>
          <cell r="B1665" t="str">
            <v>Gillian Nyanchama</v>
          </cell>
          <cell r="E1665" t="str">
            <v>LG</v>
          </cell>
        </row>
        <row r="1666">
          <cell r="A1666" t="str">
            <v>AB032Ok</v>
          </cell>
          <cell r="B1666" t="str">
            <v>Luncy Mwongeli Muli</v>
          </cell>
          <cell r="E1666" t="str">
            <v>LG</v>
          </cell>
        </row>
        <row r="1667">
          <cell r="A1667" t="str">
            <v>AB029LS</v>
          </cell>
          <cell r="B1667" t="str">
            <v>Joseph Kimundi</v>
          </cell>
          <cell r="E1667" t="str">
            <v>LG</v>
          </cell>
        </row>
        <row r="1668">
          <cell r="A1668" t="str">
            <v>AB031A8</v>
          </cell>
          <cell r="B1668" t="str">
            <v>Brian Ondiek</v>
          </cell>
          <cell r="E1668" t="str">
            <v>LG</v>
          </cell>
        </row>
        <row r="1669">
          <cell r="A1669" t="str">
            <v>AB02027</v>
          </cell>
          <cell r="B1669" t="str">
            <v>Hezron Mbebi</v>
          </cell>
          <cell r="E1669" t="str">
            <v>LG</v>
          </cell>
        </row>
        <row r="1670">
          <cell r="A1670" t="str">
            <v>AB032CI</v>
          </cell>
          <cell r="B1670" t="str">
            <v>Gillian Nyanchama</v>
          </cell>
          <cell r="E1670" t="str">
            <v>LG</v>
          </cell>
        </row>
        <row r="1671">
          <cell r="A1671" t="str">
            <v>AB023VY</v>
          </cell>
          <cell r="B1671" t="str">
            <v>Abednego Kitonga Munguti</v>
          </cell>
          <cell r="E1671" t="str">
            <v>LG</v>
          </cell>
        </row>
        <row r="1672">
          <cell r="A1672" t="str">
            <v>AB024YT</v>
          </cell>
          <cell r="B1672" t="str">
            <v>Morgan Mwangi</v>
          </cell>
          <cell r="E1672" t="str">
            <v>ALAK</v>
          </cell>
        </row>
        <row r="1673">
          <cell r="A1673" t="str">
            <v>AB03147</v>
          </cell>
          <cell r="B1673" t="str">
            <v>Charity Watene</v>
          </cell>
          <cell r="E1673" t="str">
            <v>LG</v>
          </cell>
        </row>
        <row r="1674">
          <cell r="A1674" t="str">
            <v>AB0248D</v>
          </cell>
          <cell r="B1674" t="str">
            <v>Roselyne Maina</v>
          </cell>
          <cell r="E1674" t="str">
            <v>LG</v>
          </cell>
        </row>
        <row r="1675">
          <cell r="A1675" t="str">
            <v>AB030F7</v>
          </cell>
          <cell r="B1675" t="str">
            <v xml:space="preserve">Lucky Ong'ayi </v>
          </cell>
          <cell r="E1675" t="str">
            <v>LG</v>
          </cell>
        </row>
        <row r="1676">
          <cell r="A1676" t="str">
            <v>ABJK582</v>
          </cell>
          <cell r="B1676" t="str">
            <v>Jane Nduta Karanja</v>
          </cell>
          <cell r="E1676" t="str">
            <v>ALAK</v>
          </cell>
        </row>
        <row r="1677">
          <cell r="A1677" t="str">
            <v>ABMKA1Y</v>
          </cell>
          <cell r="B1677" t="str">
            <v>Mary Kazungu</v>
          </cell>
          <cell r="E1677" t="str">
            <v>UB</v>
          </cell>
        </row>
        <row r="1678">
          <cell r="A1678" t="str">
            <v>AB032ZD</v>
          </cell>
          <cell r="B1678" t="str">
            <v>Irene Akoth Sylvetser</v>
          </cell>
          <cell r="E1678" t="str">
            <v>LG</v>
          </cell>
        </row>
        <row r="1679">
          <cell r="A1679" t="str">
            <v>BB07457</v>
          </cell>
          <cell r="B1679" t="str">
            <v>Samson Wanzala</v>
          </cell>
          <cell r="E1679" t="str">
            <v>LG</v>
          </cell>
        </row>
        <row r="1680">
          <cell r="A1680" t="str">
            <v>AB018DG</v>
          </cell>
          <cell r="B1680" t="str">
            <v xml:space="preserve">Patrick kiprono Arap ketiptany  </v>
          </cell>
          <cell r="E1680" t="str">
            <v>LG</v>
          </cell>
        </row>
        <row r="1681">
          <cell r="A1681" t="str">
            <v>AB019LS</v>
          </cell>
          <cell r="B1681" t="str">
            <v>Lucas Kimutai Korir</v>
          </cell>
          <cell r="E1681" t="str">
            <v>LG</v>
          </cell>
        </row>
        <row r="1682">
          <cell r="A1682" t="str">
            <v>AB019M2</v>
          </cell>
          <cell r="B1682" t="str">
            <v>Norah Wamalwa</v>
          </cell>
          <cell r="E1682" t="str">
            <v>LG</v>
          </cell>
        </row>
        <row r="1683">
          <cell r="A1683" t="str">
            <v>AB032OC</v>
          </cell>
          <cell r="B1683" t="str">
            <v>Purity Cherop Jeruto</v>
          </cell>
          <cell r="E1683" t="str">
            <v>LG</v>
          </cell>
        </row>
        <row r="1684">
          <cell r="A1684" t="str">
            <v>AB025DY</v>
          </cell>
          <cell r="B1684" t="str">
            <v>Benedict Roy Situma</v>
          </cell>
          <cell r="E1684" t="str">
            <v>LG</v>
          </cell>
        </row>
        <row r="1685">
          <cell r="A1685" t="str">
            <v>AB0281U</v>
          </cell>
          <cell r="B1685" t="str">
            <v>Jacob Adienge</v>
          </cell>
          <cell r="E1685" t="str">
            <v>LG</v>
          </cell>
        </row>
        <row r="1686">
          <cell r="A1686" t="str">
            <v>AB034F1</v>
          </cell>
          <cell r="B1686" t="str">
            <v>Evans Githinji</v>
          </cell>
          <cell r="E1686" t="str">
            <v>UB</v>
          </cell>
        </row>
        <row r="1687">
          <cell r="A1687" t="str">
            <v>AB032HL</v>
          </cell>
          <cell r="B1687" t="str">
            <v>Paul Mteti</v>
          </cell>
          <cell r="E1687" t="str">
            <v>LG</v>
          </cell>
        </row>
        <row r="1688">
          <cell r="A1688" t="str">
            <v>AB0293U</v>
          </cell>
          <cell r="B1688" t="str">
            <v>Christpher Maina Wakanyi</v>
          </cell>
          <cell r="E1688" t="str">
            <v>LG</v>
          </cell>
        </row>
        <row r="1689">
          <cell r="A1689" t="str">
            <v>AB019W0</v>
          </cell>
          <cell r="B1689" t="str">
            <v>Vincent Mulwa Munywoki</v>
          </cell>
          <cell r="E1689" t="str">
            <v>LG</v>
          </cell>
        </row>
        <row r="1690">
          <cell r="A1690" t="str">
            <v>ABVM540</v>
          </cell>
          <cell r="B1690" t="str">
            <v>Direct-Valentine</v>
          </cell>
          <cell r="E1690" t="str">
            <v>ALAK</v>
          </cell>
        </row>
        <row r="1691">
          <cell r="A1691" t="str">
            <v>AB0257N</v>
          </cell>
          <cell r="B1691" t="str">
            <v>Brian Khamadi</v>
          </cell>
          <cell r="E1691" t="str">
            <v>ALAK</v>
          </cell>
        </row>
        <row r="1692">
          <cell r="A1692" t="str">
            <v>ABMBAC2</v>
          </cell>
          <cell r="B1692" t="str">
            <v>Mwanaisha Bakari</v>
          </cell>
          <cell r="E1692" t="str">
            <v>LG</v>
          </cell>
        </row>
        <row r="1693">
          <cell r="A1693" t="str">
            <v>AB029OZ</v>
          </cell>
          <cell r="B1693" t="str">
            <v>Rachael Mumbi</v>
          </cell>
          <cell r="E1693" t="str">
            <v>LG</v>
          </cell>
        </row>
        <row r="1694">
          <cell r="A1694" t="str">
            <v>ABPMAOB</v>
          </cell>
          <cell r="B1694" t="str">
            <v>Peris Muhia</v>
          </cell>
          <cell r="E1694" t="str">
            <v>LG</v>
          </cell>
        </row>
        <row r="1695">
          <cell r="A1695" t="str">
            <v>AB024GQ</v>
          </cell>
          <cell r="B1695" t="str">
            <v>Marion Ojiem</v>
          </cell>
          <cell r="E1695" t="str">
            <v>LG</v>
          </cell>
        </row>
        <row r="1696">
          <cell r="A1696" t="str">
            <v>ABJMAG8</v>
          </cell>
          <cell r="B1696" t="str">
            <v>Jacinta Mutuku Nyiva</v>
          </cell>
          <cell r="E1696" t="str">
            <v>LG</v>
          </cell>
        </row>
        <row r="1697">
          <cell r="A1697" t="str">
            <v>AB032QC</v>
          </cell>
          <cell r="B1697" t="str">
            <v>Mercy Ndwiga</v>
          </cell>
          <cell r="E1697" t="str">
            <v>UB</v>
          </cell>
        </row>
        <row r="1698">
          <cell r="A1698" t="str">
            <v>AB0324W</v>
          </cell>
          <cell r="B1698" t="str">
            <v>Francis Murigi</v>
          </cell>
          <cell r="E1698" t="str">
            <v>UB</v>
          </cell>
        </row>
        <row r="1699">
          <cell r="A1699" t="str">
            <v>ABEMA3B</v>
          </cell>
          <cell r="B1699" t="str">
            <v>Edward Mulanghui</v>
          </cell>
          <cell r="E1699" t="str">
            <v>LG</v>
          </cell>
        </row>
        <row r="1700">
          <cell r="A1700" t="str">
            <v>HISA0028</v>
          </cell>
          <cell r="B1700" t="str">
            <v>Rhoda Nyaanga Wanjuki</v>
          </cell>
          <cell r="E1700" t="str">
            <v>ALAK</v>
          </cell>
        </row>
        <row r="1701">
          <cell r="A1701" t="str">
            <v>ABMA653</v>
          </cell>
          <cell r="B1701" t="str">
            <v>Moses Atik Omondi</v>
          </cell>
          <cell r="E1701" t="str">
            <v>LG</v>
          </cell>
        </row>
        <row r="1702">
          <cell r="A1702" t="str">
            <v>AB034KH</v>
          </cell>
          <cell r="B1702" t="str">
            <v>Lydia Nyagwoka</v>
          </cell>
          <cell r="E1702" t="str">
            <v>LG</v>
          </cell>
        </row>
        <row r="1703">
          <cell r="A1703" t="str">
            <v>Hisa0039</v>
          </cell>
          <cell r="B1703" t="str">
            <v>Robinson Nduati Kimani</v>
          </cell>
          <cell r="E1703" t="str">
            <v>ALAK</v>
          </cell>
        </row>
        <row r="1704">
          <cell r="A1704" t="str">
            <v>Hisa0036</v>
          </cell>
          <cell r="B1704" t="str">
            <v>Grace Wahome</v>
          </cell>
          <cell r="E1704" t="str">
            <v>ALAK</v>
          </cell>
        </row>
        <row r="1705">
          <cell r="A1705" t="str">
            <v>ABEO127</v>
          </cell>
          <cell r="B1705" t="str">
            <v>Emmah Omollo</v>
          </cell>
          <cell r="E1705" t="str">
            <v>UB</v>
          </cell>
        </row>
        <row r="1706">
          <cell r="A1706" t="str">
            <v>AB031LP</v>
          </cell>
          <cell r="B1706" t="str">
            <v>Joseph Mutiga</v>
          </cell>
          <cell r="E1706" t="str">
            <v>LG</v>
          </cell>
        </row>
        <row r="1707">
          <cell r="A1707" t="str">
            <v>AB033DY</v>
          </cell>
          <cell r="B1707" t="str">
            <v>Winnie Wambui</v>
          </cell>
          <cell r="E1707" t="str">
            <v>LG</v>
          </cell>
        </row>
        <row r="1708">
          <cell r="A1708" t="str">
            <v>Hisa0017</v>
          </cell>
          <cell r="B1708" t="str">
            <v>Solomon Karanja</v>
          </cell>
          <cell r="E1708" t="str">
            <v>LG</v>
          </cell>
        </row>
        <row r="1709">
          <cell r="A1709" t="str">
            <v>AB019MS</v>
          </cell>
          <cell r="B1709" t="str">
            <v>Jerusha Mwangi</v>
          </cell>
          <cell r="E1709" t="str">
            <v>LG</v>
          </cell>
        </row>
        <row r="1710">
          <cell r="A1710" t="str">
            <v>AB032J5</v>
          </cell>
          <cell r="B1710" t="str">
            <v>Irene Kagiri</v>
          </cell>
          <cell r="E1710" t="str">
            <v>UB</v>
          </cell>
        </row>
        <row r="1711">
          <cell r="A1711" t="str">
            <v>AB030QU</v>
          </cell>
          <cell r="B1711" t="str">
            <v>Lydia Yator</v>
          </cell>
          <cell r="E1711" t="str">
            <v>LG</v>
          </cell>
        </row>
        <row r="1712">
          <cell r="A1712" t="str">
            <v>AB02899</v>
          </cell>
          <cell r="B1712" t="str">
            <v>Iddi Sameera</v>
          </cell>
          <cell r="E1712" t="str">
            <v>LG</v>
          </cell>
        </row>
        <row r="1713">
          <cell r="A1713" t="str">
            <v>AB032G4</v>
          </cell>
          <cell r="B1713" t="str">
            <v>Morris Mwamure</v>
          </cell>
          <cell r="E1713" t="str">
            <v>LG</v>
          </cell>
        </row>
        <row r="1714">
          <cell r="A1714" t="str">
            <v>AB019FB</v>
          </cell>
          <cell r="B1714" t="str">
            <v>Susan Karanja</v>
          </cell>
          <cell r="E1714" t="str">
            <v>LG</v>
          </cell>
        </row>
        <row r="1715">
          <cell r="A1715" t="str">
            <v>AB033EQ</v>
          </cell>
          <cell r="B1715" t="str">
            <v>Jane Anyange</v>
          </cell>
          <cell r="E1715" t="str">
            <v>LG</v>
          </cell>
        </row>
        <row r="1716">
          <cell r="A1716" t="str">
            <v>AB033T3</v>
          </cell>
          <cell r="B1716" t="str">
            <v>Wickliff Muthomi Kibori</v>
          </cell>
          <cell r="E1716" t="str">
            <v>RM</v>
          </cell>
        </row>
        <row r="1717">
          <cell r="A1717" t="str">
            <v>AB031XV</v>
          </cell>
          <cell r="B1717" t="str">
            <v>Maithya Kyove</v>
          </cell>
          <cell r="E1717" t="str">
            <v>LG</v>
          </cell>
        </row>
        <row r="1718">
          <cell r="A1718" t="str">
            <v>AB034VO</v>
          </cell>
          <cell r="B1718" t="str">
            <v>Zamzam Kathra</v>
          </cell>
          <cell r="E1718" t="str">
            <v>LG</v>
          </cell>
        </row>
        <row r="1719">
          <cell r="A1719" t="str">
            <v>AB011G9</v>
          </cell>
          <cell r="B1719" t="str">
            <v>Veronicah Cherono Chumo</v>
          </cell>
          <cell r="E1719" t="str">
            <v>LG</v>
          </cell>
        </row>
        <row r="1720">
          <cell r="A1720" t="str">
            <v>AB032Q9</v>
          </cell>
          <cell r="B1720" t="str">
            <v>Paul Wanjiru</v>
          </cell>
          <cell r="E1720" t="str">
            <v>UB</v>
          </cell>
        </row>
        <row r="1721">
          <cell r="A1721" t="str">
            <v>AB034JM</v>
          </cell>
          <cell r="B1721" t="str">
            <v>Joylindah Mwangi</v>
          </cell>
          <cell r="E1721" t="str">
            <v>LG</v>
          </cell>
        </row>
        <row r="1722">
          <cell r="A1722" t="str">
            <v>AB035AC</v>
          </cell>
          <cell r="B1722" t="str">
            <v>Angela Ndunda</v>
          </cell>
          <cell r="E1722" t="str">
            <v>LG</v>
          </cell>
        </row>
        <row r="1723">
          <cell r="A1723" t="str">
            <v>AB033XO</v>
          </cell>
          <cell r="B1723" t="str">
            <v>Robert Rotich</v>
          </cell>
          <cell r="E1723" t="str">
            <v>LG</v>
          </cell>
        </row>
        <row r="1724">
          <cell r="A1724" t="str">
            <v>AB0228Z</v>
          </cell>
          <cell r="B1724" t="str">
            <v>Wallace Opiayo</v>
          </cell>
          <cell r="E1724" t="str">
            <v>LG</v>
          </cell>
        </row>
        <row r="1725">
          <cell r="A1725" t="str">
            <v>AB031A6</v>
          </cell>
          <cell r="B1725" t="str">
            <v>Ismael Kipchumba</v>
          </cell>
          <cell r="E1725" t="str">
            <v>LG</v>
          </cell>
        </row>
        <row r="1726">
          <cell r="A1726" t="str">
            <v>AB031AJ</v>
          </cell>
          <cell r="B1726" t="str">
            <v>Jackson Irungu</v>
          </cell>
          <cell r="E1726" t="str">
            <v>LG</v>
          </cell>
        </row>
        <row r="1727">
          <cell r="A1727" t="str">
            <v>AB034VH</v>
          </cell>
          <cell r="B1727" t="str">
            <v>Ida Wambua</v>
          </cell>
          <cell r="E1727" t="str">
            <v>LG</v>
          </cell>
        </row>
        <row r="1728">
          <cell r="A1728" t="str">
            <v>AB032XX</v>
          </cell>
          <cell r="B1728" t="str">
            <v>Nicholus Kibaara</v>
          </cell>
          <cell r="E1728" t="str">
            <v>UB</v>
          </cell>
        </row>
        <row r="1729">
          <cell r="A1729" t="str">
            <v>Hisa0046</v>
          </cell>
          <cell r="B1729" t="str">
            <v>Nancy Akungwi</v>
          </cell>
          <cell r="E1729" t="str">
            <v>ALAK</v>
          </cell>
        </row>
        <row r="1730">
          <cell r="A1730" t="str">
            <v>AB031AI</v>
          </cell>
          <cell r="B1730" t="str">
            <v xml:space="preserve">Redempta Mutindi Kilonzo </v>
          </cell>
          <cell r="E1730" t="str">
            <v>LG</v>
          </cell>
        </row>
        <row r="1731">
          <cell r="A1731" t="str">
            <v>ABPB463</v>
          </cell>
          <cell r="B1731" t="str">
            <v>Peter Bosse</v>
          </cell>
          <cell r="E1731" t="str">
            <v>LG</v>
          </cell>
        </row>
        <row r="1732">
          <cell r="A1732" t="str">
            <v>ABMA473</v>
          </cell>
          <cell r="B1732" t="str">
            <v>Meroline Anyango Abade</v>
          </cell>
          <cell r="E1732" t="str">
            <v>LG</v>
          </cell>
        </row>
        <row r="1733">
          <cell r="A1733" t="str">
            <v>AB0354A</v>
          </cell>
          <cell r="B1733" t="str">
            <v>Felix Langat</v>
          </cell>
          <cell r="E1733" t="str">
            <v>UB</v>
          </cell>
        </row>
        <row r="1734">
          <cell r="A1734" t="str">
            <v>AB032ZY</v>
          </cell>
          <cell r="B1734" t="str">
            <v>Margaret Nditi Maina</v>
          </cell>
          <cell r="E1734" t="str">
            <v>LG</v>
          </cell>
        </row>
        <row r="1735">
          <cell r="A1735" t="str">
            <v>AB033WR</v>
          </cell>
          <cell r="B1735" t="str">
            <v>Kellen Murage</v>
          </cell>
          <cell r="E1735" t="str">
            <v>LG</v>
          </cell>
        </row>
        <row r="1736">
          <cell r="A1736" t="str">
            <v>AB032VW</v>
          </cell>
          <cell r="B1736" t="str">
            <v>Jesca Chepkemoi</v>
          </cell>
          <cell r="E1736" t="str">
            <v>LG</v>
          </cell>
        </row>
        <row r="1737">
          <cell r="A1737" t="str">
            <v>ABVC131</v>
          </cell>
          <cell r="B1737" t="str">
            <v>Verah Chelimo Chongwony</v>
          </cell>
          <cell r="E1737" t="str">
            <v>LG</v>
          </cell>
        </row>
        <row r="1738">
          <cell r="A1738" t="str">
            <v>AB029QM</v>
          </cell>
          <cell r="B1738" t="str">
            <v>Denis Rachami</v>
          </cell>
          <cell r="E1738" t="str">
            <v>LG</v>
          </cell>
        </row>
        <row r="1739">
          <cell r="A1739" t="str">
            <v>AB034AM</v>
          </cell>
          <cell r="B1739" t="str">
            <v>Emily Onyango</v>
          </cell>
          <cell r="E1739" t="str">
            <v>LG</v>
          </cell>
        </row>
        <row r="1740">
          <cell r="A1740" t="str">
            <v>AB019F7</v>
          </cell>
          <cell r="B1740" t="str">
            <v xml:space="preserve">Job muchui Ntongai </v>
          </cell>
          <cell r="E1740" t="str">
            <v>LG</v>
          </cell>
        </row>
        <row r="1741">
          <cell r="A1741" t="str">
            <v>ABCN533</v>
          </cell>
          <cell r="B1741" t="str">
            <v>Catherine Kyenze</v>
          </cell>
          <cell r="E1741" t="str">
            <v>LG</v>
          </cell>
        </row>
        <row r="1742">
          <cell r="A1742" t="str">
            <v>AB029P6</v>
          </cell>
          <cell r="B1742" t="str">
            <v>Hassan Ochieng'</v>
          </cell>
          <cell r="E1742" t="str">
            <v>LG</v>
          </cell>
        </row>
        <row r="1743">
          <cell r="A1743" t="str">
            <v>AB0314T</v>
          </cell>
          <cell r="B1743" t="str">
            <v>Charity Watene</v>
          </cell>
          <cell r="E1743" t="str">
            <v>LG</v>
          </cell>
        </row>
        <row r="1744">
          <cell r="A1744" t="str">
            <v>AB0257X</v>
          </cell>
          <cell r="B1744" t="str">
            <v>Joel Kyatha</v>
          </cell>
          <cell r="E1744" t="str">
            <v>LG</v>
          </cell>
        </row>
        <row r="1745">
          <cell r="A1745" t="str">
            <v>ABBW169</v>
          </cell>
          <cell r="B1745" t="str">
            <v>Bilha Wachira</v>
          </cell>
          <cell r="E1745" t="str">
            <v>ALAK</v>
          </cell>
        </row>
        <row r="1746">
          <cell r="A1746" t="str">
            <v>AB028ZV</v>
          </cell>
          <cell r="B1746" t="str">
            <v>Victor Obwocha</v>
          </cell>
          <cell r="E1746" t="str">
            <v>LG</v>
          </cell>
        </row>
        <row r="1747">
          <cell r="A1747" t="str">
            <v>AB0336O</v>
          </cell>
          <cell r="B1747" t="str">
            <v>Polycarp Osinga</v>
          </cell>
          <cell r="E1747" t="str">
            <v>LG</v>
          </cell>
        </row>
        <row r="1748">
          <cell r="A1748" t="str">
            <v>AB034JW</v>
          </cell>
          <cell r="B1748" t="str">
            <v>Daniel Mutuku Nyile</v>
          </cell>
          <cell r="E1748" t="str">
            <v>LG</v>
          </cell>
        </row>
        <row r="1749">
          <cell r="A1749" t="str">
            <v>AB034XM</v>
          </cell>
          <cell r="B1749" t="str">
            <v xml:space="preserve">Anne Njuguna </v>
          </cell>
          <cell r="E1749" t="str">
            <v>LG</v>
          </cell>
        </row>
        <row r="1750">
          <cell r="A1750" t="str">
            <v>AB034F0</v>
          </cell>
          <cell r="B1750" t="str">
            <v>Caroline Mutinda</v>
          </cell>
          <cell r="E1750" t="str">
            <v>LG</v>
          </cell>
        </row>
        <row r="1751">
          <cell r="A1751" t="str">
            <v>AB03541</v>
          </cell>
          <cell r="B1751" t="str">
            <v>Faith Gichuru</v>
          </cell>
          <cell r="E1751" t="str">
            <v>LG</v>
          </cell>
        </row>
        <row r="1752">
          <cell r="A1752" t="str">
            <v>ABJL557</v>
          </cell>
          <cell r="B1752" t="str">
            <v>Jacobeth Liboi</v>
          </cell>
          <cell r="E1752" t="str">
            <v>LG</v>
          </cell>
        </row>
        <row r="1753">
          <cell r="A1753" t="str">
            <v>AB032G3</v>
          </cell>
          <cell r="B1753" t="str">
            <v xml:space="preserve">Dalcy Muhonja </v>
          </cell>
          <cell r="E1753" t="str">
            <v>RM</v>
          </cell>
        </row>
        <row r="1754">
          <cell r="A1754" t="str">
            <v>AB034AJ</v>
          </cell>
          <cell r="B1754" t="str">
            <v>Esther Wambua</v>
          </cell>
          <cell r="E1754" t="str">
            <v>LG</v>
          </cell>
        </row>
        <row r="1755">
          <cell r="A1755" t="str">
            <v>AB0352Y</v>
          </cell>
          <cell r="B1755" t="str">
            <v>Maurice Mbuvi</v>
          </cell>
          <cell r="E1755" t="str">
            <v>LG</v>
          </cell>
        </row>
        <row r="1756">
          <cell r="A1756" t="str">
            <v>Hisa63320</v>
          </cell>
          <cell r="B1756" t="str">
            <v>Martin Kamande</v>
          </cell>
          <cell r="E1756" t="str">
            <v>ALAK</v>
          </cell>
        </row>
        <row r="1757">
          <cell r="A1757" t="str">
            <v>Hisa033</v>
          </cell>
          <cell r="B1757" t="str">
            <v>Susan Omondi</v>
          </cell>
          <cell r="E1757" t="str">
            <v>ALAK</v>
          </cell>
        </row>
        <row r="1758">
          <cell r="A1758" t="str">
            <v>ABEMA4F</v>
          </cell>
          <cell r="B1758" t="str">
            <v>Emily Muga</v>
          </cell>
          <cell r="E1758" t="str">
            <v>LG</v>
          </cell>
        </row>
        <row r="1759">
          <cell r="A1759" t="str">
            <v>AB034XY</v>
          </cell>
          <cell r="B1759" t="str">
            <v>Brigit Kitil</v>
          </cell>
          <cell r="E1759" t="str">
            <v>UB</v>
          </cell>
        </row>
        <row r="1760">
          <cell r="A1760" t="str">
            <v>ABDK371</v>
          </cell>
          <cell r="B1760" t="str">
            <v>Duncan Muthusi</v>
          </cell>
          <cell r="E1760" t="str">
            <v>RM</v>
          </cell>
        </row>
        <row r="1761">
          <cell r="A1761" t="str">
            <v>AB033ET</v>
          </cell>
          <cell r="B1761" t="str">
            <v>Lornah Nyandago</v>
          </cell>
          <cell r="E1761" t="str">
            <v>LG</v>
          </cell>
        </row>
        <row r="1762">
          <cell r="A1762" t="str">
            <v>Hisa0021</v>
          </cell>
          <cell r="B1762" t="str">
            <v>Fridah Makena Thirari</v>
          </cell>
          <cell r="E1762" t="str">
            <v>ALAK</v>
          </cell>
        </row>
        <row r="1763">
          <cell r="A1763" t="str">
            <v>AB033DV</v>
          </cell>
          <cell r="B1763" t="str">
            <v xml:space="preserve">Judy Ng'ang'a </v>
          </cell>
          <cell r="E1763" t="str">
            <v>LG</v>
          </cell>
        </row>
        <row r="1764">
          <cell r="A1764" t="str">
            <v>AB035K6</v>
          </cell>
          <cell r="B1764" t="str">
            <v>Victor Mboya</v>
          </cell>
          <cell r="E1764" t="str">
            <v>LG</v>
          </cell>
        </row>
        <row r="1765">
          <cell r="A1765" t="str">
            <v>AB027GM</v>
          </cell>
          <cell r="B1765" t="str">
            <v xml:space="preserve">Antony Macharia </v>
          </cell>
          <cell r="E1765" t="str">
            <v>UB</v>
          </cell>
        </row>
        <row r="1766">
          <cell r="A1766" t="str">
            <v>AB032ZB</v>
          </cell>
          <cell r="B1766" t="str">
            <v>Mercy Mutia</v>
          </cell>
          <cell r="E1766" t="str">
            <v>LG</v>
          </cell>
        </row>
        <row r="1767">
          <cell r="A1767" t="str">
            <v>AB034XN</v>
          </cell>
          <cell r="B1767" t="str">
            <v>Maurine Usenge</v>
          </cell>
          <cell r="E1767" t="str">
            <v>UB</v>
          </cell>
        </row>
        <row r="1768">
          <cell r="A1768" t="str">
            <v>AB030T3</v>
          </cell>
          <cell r="B1768" t="str">
            <v>Hirum Thamu</v>
          </cell>
          <cell r="E1768" t="str">
            <v>LG</v>
          </cell>
        </row>
        <row r="1769">
          <cell r="A1769" t="str">
            <v>AB034YX</v>
          </cell>
          <cell r="B1769" t="str">
            <v>Stephen Mlanya</v>
          </cell>
          <cell r="E1769" t="str">
            <v>LG</v>
          </cell>
        </row>
        <row r="1770">
          <cell r="A1770" t="str">
            <v>AB032Q6</v>
          </cell>
          <cell r="B1770" t="str">
            <v xml:space="preserve">Exodus Musyoki </v>
          </cell>
          <cell r="E1770" t="str">
            <v>LG</v>
          </cell>
        </row>
        <row r="1771">
          <cell r="A1771" t="str">
            <v>AB03545</v>
          </cell>
          <cell r="B1771" t="str">
            <v>Mercy Karimi</v>
          </cell>
          <cell r="E1771" t="str">
            <v>LG</v>
          </cell>
        </row>
        <row r="1772">
          <cell r="A1772" t="str">
            <v>Hisa00020</v>
          </cell>
          <cell r="B1772" t="str">
            <v>Ruth Maureen Khaura</v>
          </cell>
          <cell r="E1772" t="str">
            <v>ALAK</v>
          </cell>
        </row>
        <row r="1773">
          <cell r="A1773" t="str">
            <v>AB032Q8</v>
          </cell>
          <cell r="B1773" t="str">
            <v>Nancy Okello</v>
          </cell>
          <cell r="E1773" t="str">
            <v>LG</v>
          </cell>
        </row>
        <row r="1774">
          <cell r="A1774" t="str">
            <v>AB033ED</v>
          </cell>
          <cell r="B1774" t="str">
            <v>Daniel Ombasa</v>
          </cell>
          <cell r="E1774" t="str">
            <v>LG</v>
          </cell>
        </row>
        <row r="1775">
          <cell r="A1775" t="str">
            <v>ABDMA8Y</v>
          </cell>
          <cell r="B1775" t="str">
            <v xml:space="preserve">Duncan Muhoro </v>
          </cell>
          <cell r="E1775" t="str">
            <v>LG</v>
          </cell>
        </row>
        <row r="1777">
          <cell r="A1777" t="str">
            <v>AB033WS</v>
          </cell>
          <cell r="B1777" t="str">
            <v>Duncan Marangu</v>
          </cell>
          <cell r="E1777" t="str">
            <v>LG</v>
          </cell>
        </row>
        <row r="1778">
          <cell r="A1778" t="str">
            <v>AB032Q5</v>
          </cell>
          <cell r="B1778" t="str">
            <v>Victor Odhiambo</v>
          </cell>
          <cell r="E1778" t="str">
            <v>LG</v>
          </cell>
        </row>
        <row r="1779">
          <cell r="A1779" t="str">
            <v>AB026FO</v>
          </cell>
          <cell r="B1779" t="str">
            <v>Benyle Obisa</v>
          </cell>
          <cell r="E1779" t="str">
            <v>LG</v>
          </cell>
        </row>
        <row r="1780">
          <cell r="A1780" t="str">
            <v>AB03549</v>
          </cell>
          <cell r="B1780" t="str">
            <v>Lucy s Mwasya</v>
          </cell>
          <cell r="E1780" t="str">
            <v>LG</v>
          </cell>
        </row>
        <row r="1781">
          <cell r="A1781" t="str">
            <v>AB034U2</v>
          </cell>
          <cell r="B1781" t="str">
            <v>BERYL ONGANYO</v>
          </cell>
          <cell r="E1781" t="str">
            <v>LG</v>
          </cell>
        </row>
        <row r="1782">
          <cell r="A1782" t="str">
            <v>AB034VS</v>
          </cell>
          <cell r="B1782" t="str">
            <v>Joan Kalekye Khayadi</v>
          </cell>
          <cell r="E1782" t="str">
            <v>LG</v>
          </cell>
        </row>
        <row r="1783">
          <cell r="A1783" t="str">
            <v>AB035K1</v>
          </cell>
          <cell r="B1783" t="str">
            <v>Wayne Otieno</v>
          </cell>
          <cell r="E1783" t="str">
            <v>LG</v>
          </cell>
        </row>
        <row r="1784">
          <cell r="A1784" t="str">
            <v>Hisa0051</v>
          </cell>
          <cell r="B1784" t="str">
            <v>Njenga Isabella</v>
          </cell>
          <cell r="E1784" t="str">
            <v>ALAK</v>
          </cell>
        </row>
        <row r="1785">
          <cell r="A1785" t="str">
            <v>AB034VB</v>
          </cell>
          <cell r="B1785" t="str">
            <v>Desmond Odunga Mbuti</v>
          </cell>
          <cell r="E1785" t="str">
            <v>LG</v>
          </cell>
        </row>
        <row r="1786">
          <cell r="A1786" t="str">
            <v>AB033WL</v>
          </cell>
          <cell r="B1786" t="str">
            <v xml:space="preserve">Fraciah Muchangi </v>
          </cell>
          <cell r="E1786" t="str">
            <v>LG</v>
          </cell>
        </row>
        <row r="1788">
          <cell r="A1788" t="str">
            <v>AB019F9</v>
          </cell>
          <cell r="B1788" t="str">
            <v>Kioko Kariuki</v>
          </cell>
          <cell r="E1788" t="str">
            <v>LG</v>
          </cell>
        </row>
        <row r="1789">
          <cell r="A1789" t="str">
            <v>AB034XX</v>
          </cell>
          <cell r="B1789" t="str">
            <v>Ronny Ndungu</v>
          </cell>
          <cell r="E1789" t="str">
            <v>LG</v>
          </cell>
        </row>
        <row r="1790">
          <cell r="A1790" t="str">
            <v>ABEK348</v>
          </cell>
          <cell r="B1790" t="str">
            <v>Elvis Kalizo</v>
          </cell>
          <cell r="E1790" t="str">
            <v>LG</v>
          </cell>
        </row>
        <row r="1791">
          <cell r="A1791" t="str">
            <v>AB032T5</v>
          </cell>
          <cell r="B1791" t="str">
            <v xml:space="preserve">Joseph Kipino </v>
          </cell>
          <cell r="E1791" t="str">
            <v>UB</v>
          </cell>
        </row>
        <row r="1792">
          <cell r="A1792" t="str">
            <v>Hisa0033</v>
          </cell>
          <cell r="B1792" t="str">
            <v>Susan Omondi</v>
          </cell>
          <cell r="E1792" t="str">
            <v>ALAK</v>
          </cell>
        </row>
        <row r="1793">
          <cell r="A1793" t="str">
            <v>AB034L4</v>
          </cell>
          <cell r="B1793" t="str">
            <v xml:space="preserve">Polyne Obiero </v>
          </cell>
          <cell r="E1793" t="str">
            <v>UB</v>
          </cell>
        </row>
        <row r="1795">
          <cell r="A1795" t="str">
            <v>AB032AF</v>
          </cell>
          <cell r="B1795" t="str">
            <v xml:space="preserve">Franz Ochieng </v>
          </cell>
          <cell r="E1795" t="str">
            <v>LG</v>
          </cell>
        </row>
        <row r="1796">
          <cell r="A1796" t="str">
            <v>AB034JL</v>
          </cell>
          <cell r="B1796" t="str">
            <v>Grace Muriuki</v>
          </cell>
          <cell r="E1796" t="str">
            <v>LG</v>
          </cell>
        </row>
        <row r="1797">
          <cell r="A1797" t="str">
            <v>AB032ZX</v>
          </cell>
          <cell r="B1797" t="str">
            <v>Carol Kamoet</v>
          </cell>
          <cell r="E1797" t="str">
            <v>LG</v>
          </cell>
        </row>
        <row r="1799">
          <cell r="A1799" t="str">
            <v>AB035BS</v>
          </cell>
          <cell r="B1799" t="str">
            <v>Christabel Makero</v>
          </cell>
          <cell r="E1799" t="str">
            <v>LG</v>
          </cell>
        </row>
        <row r="1800">
          <cell r="A1800" t="str">
            <v>AB019LC</v>
          </cell>
          <cell r="B1800" t="str">
            <v>Ruth Nasipwoni Mukuusi</v>
          </cell>
          <cell r="E1800" t="str">
            <v>LG</v>
          </cell>
        </row>
        <row r="1801">
          <cell r="A1801" t="str">
            <v>Hisa0040</v>
          </cell>
          <cell r="B1801" t="str">
            <v>Martin Kamande</v>
          </cell>
          <cell r="E1801" t="str">
            <v>ALAK</v>
          </cell>
        </row>
        <row r="1802">
          <cell r="A1802" t="str">
            <v>AB0311T</v>
          </cell>
          <cell r="B1802" t="str">
            <v>PATRICK IKUNDA NANJAU</v>
          </cell>
          <cell r="E1802" t="str">
            <v>UB</v>
          </cell>
        </row>
        <row r="1803">
          <cell r="A1803" t="str">
            <v>AB029P7</v>
          </cell>
          <cell r="B1803" t="str">
            <v xml:space="preserve">Diana Abuta </v>
          </cell>
          <cell r="E1803" t="str">
            <v>LG</v>
          </cell>
        </row>
        <row r="1804">
          <cell r="A1804" t="str">
            <v>Hisa001</v>
          </cell>
          <cell r="B1804" t="str">
            <v>Alfred Mathu</v>
          </cell>
          <cell r="E1804" t="str">
            <v>ALAK</v>
          </cell>
        </row>
        <row r="1805">
          <cell r="A1805" t="str">
            <v>AB0364W</v>
          </cell>
          <cell r="B1805" t="str">
            <v>William Everia</v>
          </cell>
          <cell r="E1805" t="str">
            <v>LG</v>
          </cell>
        </row>
        <row r="1806">
          <cell r="A1806" t="str">
            <v>AB034U3</v>
          </cell>
          <cell r="B1806" t="str">
            <v>EDNA ODERA</v>
          </cell>
          <cell r="E1806" t="str">
            <v>LG</v>
          </cell>
        </row>
        <row r="1807">
          <cell r="A1807" t="str">
            <v>AB035BM</v>
          </cell>
          <cell r="B1807" t="str">
            <v>Moses Dalla</v>
          </cell>
          <cell r="E1807" t="str">
            <v>LG</v>
          </cell>
        </row>
        <row r="1808">
          <cell r="A1808" t="str">
            <v>AB034ZF</v>
          </cell>
          <cell r="B1808" t="str">
            <v>Jeremiah Otieno</v>
          </cell>
          <cell r="E1808" t="str">
            <v>LG</v>
          </cell>
        </row>
        <row r="1809">
          <cell r="A1809" t="str">
            <v>AB035ZK</v>
          </cell>
          <cell r="B1809" t="str">
            <v>Gradus Pondi</v>
          </cell>
          <cell r="E1809" t="str">
            <v>LG</v>
          </cell>
        </row>
        <row r="1810">
          <cell r="A1810" t="str">
            <v>ABEMA4I</v>
          </cell>
          <cell r="B1810" t="str">
            <v>Esther Maina</v>
          </cell>
          <cell r="E1810" t="str">
            <v>UB</v>
          </cell>
        </row>
        <row r="1811">
          <cell r="A1811" t="str">
            <v>Hisa0054</v>
          </cell>
          <cell r="B1811" t="str">
            <v>Amos Chege Karanja</v>
          </cell>
          <cell r="E1811" t="str">
            <v>ALAK</v>
          </cell>
        </row>
        <row r="1812">
          <cell r="A1812" t="str">
            <v>AB035RC</v>
          </cell>
          <cell r="B1812" t="str">
            <v>Kiprotich Chepkwony</v>
          </cell>
          <cell r="E1812" t="str">
            <v>LG</v>
          </cell>
        </row>
        <row r="1813">
          <cell r="A1813" t="str">
            <v>ABMG755</v>
          </cell>
          <cell r="B1813" t="str">
            <v>Martin Gikonyo</v>
          </cell>
          <cell r="E1813" t="str">
            <v>LG</v>
          </cell>
        </row>
        <row r="1814">
          <cell r="A1814" t="str">
            <v>AB023VY</v>
          </cell>
          <cell r="B1814" t="str">
            <v xml:space="preserve">Abednego Kitonga Munguti Abednego </v>
          </cell>
          <cell r="E1814" t="str">
            <v>LG</v>
          </cell>
        </row>
        <row r="1815">
          <cell r="A1815" t="str">
            <v>AB033XK</v>
          </cell>
          <cell r="B1815" t="str">
            <v xml:space="preserve">Chrispinus Echesa </v>
          </cell>
          <cell r="E1815" t="str">
            <v>LG</v>
          </cell>
        </row>
        <row r="1816">
          <cell r="A1816" t="str">
            <v>AB035RG</v>
          </cell>
          <cell r="B1816" t="str">
            <v xml:space="preserve">Lincolin Ngenge Komora </v>
          </cell>
          <cell r="E1816" t="str">
            <v>UB</v>
          </cell>
        </row>
        <row r="1817">
          <cell r="A1817" t="str">
            <v>AB03273</v>
          </cell>
          <cell r="B1817" t="str">
            <v xml:space="preserve">Hellen Muthoni </v>
          </cell>
          <cell r="E1817" t="str">
            <v>LG</v>
          </cell>
        </row>
        <row r="1818">
          <cell r="A1818" t="str">
            <v>AB034UZ</v>
          </cell>
          <cell r="B1818" t="str">
            <v>AB034UZ</v>
          </cell>
          <cell r="E1818" t="str">
            <v>LG</v>
          </cell>
        </row>
        <row r="1819">
          <cell r="A1819" t="str">
            <v>AB023F8</v>
          </cell>
          <cell r="B1819" t="str">
            <v>EVELYNE WAITHAKA</v>
          </cell>
          <cell r="E1819" t="str">
            <v>UB</v>
          </cell>
        </row>
        <row r="1820">
          <cell r="A1820" t="str">
            <v>AB0335L</v>
          </cell>
          <cell r="B1820" t="str">
            <v>Abigail Wambua</v>
          </cell>
          <cell r="E1820" t="str">
            <v>LG</v>
          </cell>
        </row>
        <row r="1821">
          <cell r="A1821" t="str">
            <v>AB034X5</v>
          </cell>
          <cell r="B1821" t="str">
            <v>George Gikunda</v>
          </cell>
          <cell r="E1821" t="str">
            <v>LG</v>
          </cell>
        </row>
        <row r="1822">
          <cell r="A1822" t="str">
            <v>AB0354G</v>
          </cell>
          <cell r="B1822" t="str">
            <v>Kiprono Kelvin</v>
          </cell>
          <cell r="E1822" t="str">
            <v>LG</v>
          </cell>
        </row>
        <row r="1823">
          <cell r="A1823" t="str">
            <v>AB034V6</v>
          </cell>
          <cell r="B1823" t="str">
            <v>FRANCIS MWANGI</v>
          </cell>
          <cell r="E1823" t="str">
            <v>LG</v>
          </cell>
        </row>
        <row r="1824">
          <cell r="A1824" t="str">
            <v>ABMG773</v>
          </cell>
          <cell r="B1824" t="str">
            <v>Margaret Gichuhi</v>
          </cell>
          <cell r="E1824" t="str">
            <v>UB</v>
          </cell>
        </row>
        <row r="1825">
          <cell r="A1825" t="str">
            <v>AB029LS</v>
          </cell>
          <cell r="B1825" t="str">
            <v>Joseph Kimundi</v>
          </cell>
          <cell r="E1825" t="str">
            <v>LG</v>
          </cell>
        </row>
        <row r="1826">
          <cell r="A1826" t="str">
            <v>ABHM594</v>
          </cell>
          <cell r="B1826" t="str">
            <v>Henry Muteti</v>
          </cell>
          <cell r="E1826" t="str">
            <v>LG</v>
          </cell>
        </row>
        <row r="1827">
          <cell r="A1827" t="str">
            <v>ABMKA1Y</v>
          </cell>
          <cell r="B1827" t="str">
            <v>Mary Kazungu</v>
          </cell>
          <cell r="E1827" t="str">
            <v>LG</v>
          </cell>
        </row>
        <row r="1828">
          <cell r="A1828" t="str">
            <v>AB035BQ</v>
          </cell>
          <cell r="B1828" t="str">
            <v xml:space="preserve">Christine Joseph </v>
          </cell>
          <cell r="E1828" t="str">
            <v>LG</v>
          </cell>
        </row>
        <row r="1829">
          <cell r="A1829" t="str">
            <v>LG171G1</v>
          </cell>
          <cell r="B1829" t="str">
            <v>Elizabeth Mwau</v>
          </cell>
          <cell r="E1829" t="str">
            <v>LG</v>
          </cell>
        </row>
        <row r="1830">
          <cell r="A1830" t="str">
            <v>AB035I9</v>
          </cell>
          <cell r="B1830" t="str">
            <v xml:space="preserve">Maggie Otieno </v>
          </cell>
          <cell r="E1830" t="str">
            <v>LG</v>
          </cell>
        </row>
        <row r="1831">
          <cell r="A1831" t="str">
            <v>AB035RK</v>
          </cell>
          <cell r="B1831" t="str">
            <v xml:space="preserve">Joseph Onjiko </v>
          </cell>
          <cell r="E1831" t="str">
            <v>LG</v>
          </cell>
        </row>
        <row r="1832">
          <cell r="A1832" t="str">
            <v>AB034JZ</v>
          </cell>
          <cell r="B1832" t="str">
            <v xml:space="preserve">Nawruz Ombai </v>
          </cell>
          <cell r="E1832" t="str">
            <v>LG</v>
          </cell>
        </row>
        <row r="1833">
          <cell r="A1833" t="str">
            <v>AB024YT</v>
          </cell>
          <cell r="B1833" t="str">
            <v>Morgan Mwangi</v>
          </cell>
          <cell r="E1833" t="str">
            <v>ALAK</v>
          </cell>
        </row>
        <row r="1834">
          <cell r="A1834" t="str">
            <v>AB035K5</v>
          </cell>
          <cell r="B1834" t="str">
            <v>Edmond Kennel</v>
          </cell>
          <cell r="E1834" t="str">
            <v>LG</v>
          </cell>
        </row>
        <row r="1835">
          <cell r="A1835" t="str">
            <v>AB035YK</v>
          </cell>
          <cell r="B1835" t="str">
            <v>Sheila Ouya</v>
          </cell>
          <cell r="E1835" t="str">
            <v>LG</v>
          </cell>
        </row>
        <row r="1836">
          <cell r="A1836" t="str">
            <v>AB034V1</v>
          </cell>
          <cell r="B1836" t="str">
            <v>Nicholas Mutemi</v>
          </cell>
          <cell r="E1836" t="str">
            <v>LG</v>
          </cell>
        </row>
        <row r="1837">
          <cell r="A1837" t="str">
            <v>AB035BT</v>
          </cell>
          <cell r="B1837" t="str">
            <v>Dancun Gitonga</v>
          </cell>
          <cell r="E1837" t="str">
            <v>UB</v>
          </cell>
        </row>
        <row r="1838">
          <cell r="A1838" t="str">
            <v>AB035XA</v>
          </cell>
          <cell r="B1838" t="str">
            <v>Christine Christine</v>
          </cell>
          <cell r="E1838" t="str">
            <v>LG</v>
          </cell>
        </row>
        <row r="1839">
          <cell r="A1839" t="str">
            <v>AB032B8</v>
          </cell>
          <cell r="B1839" t="str">
            <v>Brian Nyaberi</v>
          </cell>
        </row>
        <row r="1840">
          <cell r="A1840" t="str">
            <v>AB034CL</v>
          </cell>
          <cell r="B1840" t="str">
            <v>Benson Wangunyu Kareithi</v>
          </cell>
          <cell r="E1840" t="str">
            <v>LG</v>
          </cell>
        </row>
        <row r="1841">
          <cell r="A1841" t="str">
            <v>AB03653</v>
          </cell>
          <cell r="B1841" t="str">
            <v>Mercy Wanjohi</v>
          </cell>
          <cell r="E1841" t="str">
            <v>LG</v>
          </cell>
        </row>
        <row r="1842">
          <cell r="A1842" t="str">
            <v>ABCG428</v>
          </cell>
          <cell r="B1842" t="str">
            <v>Charles Gicho</v>
          </cell>
          <cell r="E1842" t="str">
            <v>ALAK</v>
          </cell>
        </row>
        <row r="1843">
          <cell r="A1843" t="str">
            <v>AB035JX</v>
          </cell>
          <cell r="B1843" t="str">
            <v>Collins Njoroge</v>
          </cell>
          <cell r="E1843" t="str">
            <v>LG</v>
          </cell>
        </row>
        <row r="1844">
          <cell r="A1844" t="str">
            <v>AB035ZJ</v>
          </cell>
          <cell r="B1844" t="str">
            <v xml:space="preserve">Eric Mburu </v>
          </cell>
          <cell r="E1844" t="str">
            <v>LG</v>
          </cell>
        </row>
        <row r="1845">
          <cell r="A1845" t="str">
            <v>AB034XU</v>
          </cell>
          <cell r="B1845" t="str">
            <v>Jane Nyamu</v>
          </cell>
          <cell r="E1845" t="str">
            <v>LG</v>
          </cell>
        </row>
        <row r="1846">
          <cell r="A1846" t="str">
            <v>AB0353Q</v>
          </cell>
          <cell r="B1846" t="str">
            <v xml:space="preserve">Fiona Moracha </v>
          </cell>
          <cell r="E1846" t="str">
            <v>UB</v>
          </cell>
        </row>
        <row r="1847">
          <cell r="A1847" t="str">
            <v>AB035XK</v>
          </cell>
          <cell r="B1847" t="str">
            <v>Phiona Omoto</v>
          </cell>
          <cell r="E1847" t="str">
            <v>LG</v>
          </cell>
        </row>
        <row r="1848">
          <cell r="A1848" t="str">
            <v>AB034UZ</v>
          </cell>
          <cell r="B1848" t="str">
            <v xml:space="preserve">Joy Karimi </v>
          </cell>
          <cell r="E1848" t="str">
            <v>LG</v>
          </cell>
        </row>
        <row r="1849">
          <cell r="A1849" t="str">
            <v>AB025FX</v>
          </cell>
          <cell r="B1849" t="str">
            <v>PATRICK WEKESA</v>
          </cell>
          <cell r="E1849" t="str">
            <v>LG</v>
          </cell>
        </row>
        <row r="1851">
          <cell r="A1851" t="str">
            <v>AB035R7</v>
          </cell>
          <cell r="B1851" t="str">
            <v xml:space="preserve">Cate Benard </v>
          </cell>
          <cell r="E1851" t="str">
            <v>LG</v>
          </cell>
        </row>
        <row r="1852">
          <cell r="A1852" t="str">
            <v>AB035L5</v>
          </cell>
          <cell r="B1852" t="str">
            <v>Mercy Chebii</v>
          </cell>
          <cell r="E1852" t="str">
            <v>LG</v>
          </cell>
        </row>
        <row r="1853">
          <cell r="A1853" t="str">
            <v>AB036AB</v>
          </cell>
          <cell r="B1853" t="str">
            <v>Lilian Karimi</v>
          </cell>
          <cell r="E1853" t="str">
            <v>LG</v>
          </cell>
        </row>
        <row r="1854">
          <cell r="A1854" t="str">
            <v>AB035RT</v>
          </cell>
          <cell r="B1854" t="str">
            <v xml:space="preserve">Bonface Kariuki </v>
          </cell>
          <cell r="E1854" t="str">
            <v>LG</v>
          </cell>
        </row>
        <row r="1855">
          <cell r="A1855" t="str">
            <v>AB031AI</v>
          </cell>
          <cell r="B1855" t="str">
            <v xml:space="preserve">Redempta Mutindi Kilonzo </v>
          </cell>
          <cell r="E1855" t="str">
            <v>LG</v>
          </cell>
        </row>
        <row r="1856">
          <cell r="A1856" t="str">
            <v>AB03660</v>
          </cell>
          <cell r="B1856" t="str">
            <v>Musa Osundwa</v>
          </cell>
          <cell r="E1856" t="str">
            <v>LG</v>
          </cell>
        </row>
        <row r="1857">
          <cell r="A1857" t="str">
            <v>ABDS755</v>
          </cell>
          <cell r="B1857" t="str">
            <v xml:space="preserve">David Muraya Shaban </v>
          </cell>
        </row>
        <row r="1858">
          <cell r="A1858" t="str">
            <v>AB035ZD</v>
          </cell>
          <cell r="B1858" t="str">
            <v xml:space="preserve">Abdirahman Hakhame Ali </v>
          </cell>
          <cell r="E1858" t="str">
            <v>LG</v>
          </cell>
        </row>
        <row r="1859">
          <cell r="A1859" t="str">
            <v>AB0257N</v>
          </cell>
          <cell r="B1859" t="str">
            <v>Brian Khamadi</v>
          </cell>
          <cell r="E1859" t="str">
            <v>ALAK</v>
          </cell>
        </row>
        <row r="1860">
          <cell r="A1860" t="str">
            <v>ABJBA29</v>
          </cell>
          <cell r="B1860" t="str">
            <v>Jessica Balala</v>
          </cell>
          <cell r="E1860" t="str">
            <v>LG</v>
          </cell>
        </row>
        <row r="1861">
          <cell r="A1861" t="str">
            <v>AB030XO</v>
          </cell>
          <cell r="B1861" t="str">
            <v>Moses Baki</v>
          </cell>
          <cell r="E1861" t="str">
            <v>ALAK</v>
          </cell>
        </row>
        <row r="1862">
          <cell r="A1862" t="str">
            <v>AB027UV</v>
          </cell>
          <cell r="B1862" t="str">
            <v xml:space="preserve">Kelvin Mwangi </v>
          </cell>
          <cell r="E1862" t="str">
            <v>LG</v>
          </cell>
        </row>
        <row r="1863">
          <cell r="A1863" t="str">
            <v>AB036A2</v>
          </cell>
          <cell r="B1863" t="str">
            <v xml:space="preserve">Annah Nyamai </v>
          </cell>
          <cell r="E1863" t="str">
            <v>LG</v>
          </cell>
        </row>
        <row r="1864">
          <cell r="A1864" t="str">
            <v>AB035AI</v>
          </cell>
          <cell r="B1864" t="str">
            <v>Kelvin Githinji</v>
          </cell>
          <cell r="E1864" t="str">
            <v>LG</v>
          </cell>
        </row>
        <row r="1865">
          <cell r="A1865" t="str">
            <v>AB034VM</v>
          </cell>
          <cell r="B1865" t="str">
            <v xml:space="preserve">CHEROTICH YEGON </v>
          </cell>
          <cell r="E1865" t="str">
            <v>LG</v>
          </cell>
        </row>
        <row r="1866">
          <cell r="A1866" t="str">
            <v>ABAW545</v>
          </cell>
          <cell r="B1866" t="str">
            <v>Alice Wamidha</v>
          </cell>
          <cell r="E1866" t="str">
            <v>LG</v>
          </cell>
        </row>
        <row r="1867">
          <cell r="A1867" t="str">
            <v>ABEMA3T</v>
          </cell>
          <cell r="B1867" t="str">
            <v>Esther Mutunga</v>
          </cell>
          <cell r="E1867" t="str">
            <v>LG</v>
          </cell>
        </row>
        <row r="1868">
          <cell r="A1868" t="str">
            <v>ABFO054</v>
          </cell>
          <cell r="B1868" t="str">
            <v>Fredrick Owiye</v>
          </cell>
          <cell r="E1868" t="str">
            <v>LG</v>
          </cell>
        </row>
        <row r="1869">
          <cell r="A1869" t="str">
            <v>AB035YF</v>
          </cell>
          <cell r="B1869" t="str">
            <v>Stella Maina</v>
          </cell>
          <cell r="E1869" t="str">
            <v>LG</v>
          </cell>
        </row>
        <row r="1870">
          <cell r="A1870" t="str">
            <v>AB019KD</v>
          </cell>
          <cell r="B1870" t="str">
            <v>Nyokabi Njiriri</v>
          </cell>
          <cell r="E1870" t="str">
            <v>LG</v>
          </cell>
        </row>
        <row r="1871">
          <cell r="A1871" t="str">
            <v>ABEN318</v>
          </cell>
          <cell r="B1871" t="str">
            <v xml:space="preserve">Erick Gatumu Njiru </v>
          </cell>
          <cell r="E1871" t="str">
            <v>ALAK</v>
          </cell>
        </row>
        <row r="1872">
          <cell r="A1872" t="str">
            <v>AB030ZR</v>
          </cell>
          <cell r="B1872" t="str">
            <v xml:space="preserve">Zedekiah Mburu </v>
          </cell>
          <cell r="E1872" t="str">
            <v>ALAK</v>
          </cell>
        </row>
        <row r="1873">
          <cell r="A1873" t="str">
            <v>ABGN337</v>
          </cell>
          <cell r="B1873" t="str">
            <v>Gladys Nzisa Ibrahim</v>
          </cell>
          <cell r="E1873" t="str">
            <v>LG</v>
          </cell>
        </row>
        <row r="1874">
          <cell r="A1874" t="str">
            <v>AB030YE</v>
          </cell>
          <cell r="B1874" t="str">
            <v xml:space="preserve">VINCENT KILONZO </v>
          </cell>
          <cell r="E1874" t="str">
            <v>LG</v>
          </cell>
        </row>
        <row r="1875">
          <cell r="A1875" t="str">
            <v>AB036KR</v>
          </cell>
          <cell r="B1875" t="str">
            <v>Fredrick Munga</v>
          </cell>
          <cell r="E1875" t="str">
            <v>LG</v>
          </cell>
        </row>
        <row r="1876">
          <cell r="A1876" t="str">
            <v>AB0353R</v>
          </cell>
          <cell r="B1876" t="str">
            <v xml:space="preserve">Erick Kalowo </v>
          </cell>
          <cell r="E1876" t="str">
            <v>UB</v>
          </cell>
        </row>
        <row r="1877">
          <cell r="A1877" t="str">
            <v>AB0364S</v>
          </cell>
          <cell r="B1877" t="str">
            <v xml:space="preserve">Nemwel Nyaanga </v>
          </cell>
          <cell r="E1877" t="str">
            <v>LG</v>
          </cell>
        </row>
        <row r="1878">
          <cell r="A1878" t="str">
            <v>AB035AJ</v>
          </cell>
          <cell r="B1878" t="str">
            <v>EMILY ODERO</v>
          </cell>
          <cell r="E1878" t="str">
            <v>LG</v>
          </cell>
        </row>
        <row r="1879">
          <cell r="A1879" t="str">
            <v>AB032AC</v>
          </cell>
          <cell r="B1879" t="str">
            <v xml:space="preserve">Linet Wetende </v>
          </cell>
          <cell r="E1879" t="str">
            <v>LG</v>
          </cell>
        </row>
        <row r="1881">
          <cell r="A1881" t="str">
            <v>AB035ZI</v>
          </cell>
          <cell r="B1881" t="str">
            <v>Pauline Adhiambo</v>
          </cell>
          <cell r="E1881" t="str">
            <v>LG</v>
          </cell>
        </row>
        <row r="1882">
          <cell r="A1882" t="str">
            <v>AB033EF</v>
          </cell>
          <cell r="B1882" t="str">
            <v>Nimrod Biwott</v>
          </cell>
          <cell r="E1882" t="str">
            <v>LG</v>
          </cell>
        </row>
        <row r="1883">
          <cell r="A1883" t="str">
            <v>SP3212001</v>
          </cell>
          <cell r="B1883" t="str">
            <v xml:space="preserve">Joseph Kairu </v>
          </cell>
          <cell r="E1883" t="str">
            <v>ALAK</v>
          </cell>
        </row>
        <row r="1884">
          <cell r="A1884" t="str">
            <v>ABJK798</v>
          </cell>
          <cell r="B1884" t="str">
            <v xml:space="preserve">Joseph Kairu </v>
          </cell>
          <cell r="E1884" t="str">
            <v>ALAK</v>
          </cell>
        </row>
        <row r="1885">
          <cell r="A1885" t="str">
            <v>AB035RA</v>
          </cell>
          <cell r="B1885" t="str">
            <v>Emma Agwaro</v>
          </cell>
          <cell r="E1885" t="str">
            <v>LG</v>
          </cell>
        </row>
        <row r="1886">
          <cell r="A1886" t="str">
            <v>ABAN613</v>
          </cell>
          <cell r="B1886" t="str">
            <v>Ancetar Ngungu</v>
          </cell>
          <cell r="E1886" t="str">
            <v>ALAK</v>
          </cell>
        </row>
        <row r="1887">
          <cell r="A1887" t="str">
            <v>ABJK582</v>
          </cell>
          <cell r="B1887" t="str">
            <v>Nduta Karanja</v>
          </cell>
          <cell r="E1887" t="str">
            <v>ALAK</v>
          </cell>
        </row>
        <row r="1888">
          <cell r="A1888" t="str">
            <v>AB034UZ</v>
          </cell>
          <cell r="B1888" t="str">
            <v xml:space="preserve">Joy Karimi </v>
          </cell>
          <cell r="E1888" t="str">
            <v>LG</v>
          </cell>
        </row>
        <row r="1889">
          <cell r="A1889" t="str">
            <v>AB033DX</v>
          </cell>
          <cell r="B1889" t="str">
            <v>Stephen Runo</v>
          </cell>
          <cell r="E1889" t="str">
            <v>UB</v>
          </cell>
        </row>
        <row r="1890">
          <cell r="A1890" t="str">
            <v>ABEMA2X</v>
          </cell>
          <cell r="B1890" t="str">
            <v>Esther Wamutwa Mutunga</v>
          </cell>
          <cell r="E1890" t="str">
            <v>LG</v>
          </cell>
        </row>
        <row r="1891">
          <cell r="A1891" t="str">
            <v>AB0353K</v>
          </cell>
          <cell r="B1891" t="str">
            <v>Janet Muriungi</v>
          </cell>
          <cell r="E1891" t="str">
            <v>LG</v>
          </cell>
        </row>
        <row r="1892">
          <cell r="A1892" t="str">
            <v>AB034X1</v>
          </cell>
          <cell r="B1892" t="str">
            <v>Cynthia Karanja</v>
          </cell>
          <cell r="E1892" t="str">
            <v>LG</v>
          </cell>
        </row>
        <row r="1893">
          <cell r="A1893" t="str">
            <v>AB035RV</v>
          </cell>
          <cell r="B1893" t="str">
            <v>Gerishon Waichua</v>
          </cell>
          <cell r="E1893" t="str">
            <v>UB</v>
          </cell>
        </row>
        <row r="1894">
          <cell r="A1894" t="str">
            <v>AB034V8</v>
          </cell>
          <cell r="B1894" t="str">
            <v xml:space="preserve">Stephen Kinyanjui </v>
          </cell>
          <cell r="E1894" t="str">
            <v>UB</v>
          </cell>
        </row>
        <row r="1895">
          <cell r="A1895" t="str">
            <v>ABSMBIQ</v>
          </cell>
          <cell r="B1895" t="str">
            <v>Sharron Mathews</v>
          </cell>
          <cell r="E1895" t="str">
            <v>LG</v>
          </cell>
        </row>
        <row r="1896">
          <cell r="A1896" t="str">
            <v>AB0354K</v>
          </cell>
          <cell r="B1896" t="str">
            <v>Penina Nyaga</v>
          </cell>
          <cell r="E1896" t="str">
            <v>LG</v>
          </cell>
        </row>
        <row r="1897">
          <cell r="A1897" t="str">
            <v>AB033DU</v>
          </cell>
          <cell r="B1897" t="str">
            <v>Benson Morwani</v>
          </cell>
          <cell r="E1897" t="str">
            <v>LG</v>
          </cell>
        </row>
        <row r="1898">
          <cell r="A1898" t="str">
            <v>AB034V2</v>
          </cell>
          <cell r="B1898" t="str">
            <v>Eddah Karega</v>
          </cell>
          <cell r="E1898" t="str">
            <v>LG</v>
          </cell>
        </row>
        <row r="1899">
          <cell r="A1899" t="str">
            <v>ABRA247</v>
          </cell>
          <cell r="B1899" t="str">
            <v>Richard Angwenyi</v>
          </cell>
          <cell r="E1899" t="str">
            <v>LG</v>
          </cell>
        </row>
        <row r="1900">
          <cell r="A1900" t="str">
            <v>ABFA159</v>
          </cell>
          <cell r="B1900" t="str">
            <v>Francis Ajowi</v>
          </cell>
          <cell r="E1900" t="str">
            <v>LG</v>
          </cell>
        </row>
        <row r="1901">
          <cell r="A1901" t="str">
            <v>AB0324X</v>
          </cell>
          <cell r="B1901" t="str">
            <v>Pauline Muthoni</v>
          </cell>
          <cell r="E1901" t="str">
            <v>LG</v>
          </cell>
        </row>
        <row r="1902">
          <cell r="A1902" t="str">
            <v>AB030EJ</v>
          </cell>
          <cell r="B1902" t="str">
            <v>Dennis Kanu</v>
          </cell>
          <cell r="E1902" t="str">
            <v>LG</v>
          </cell>
        </row>
        <row r="1903">
          <cell r="A1903" t="str">
            <v>AB019VW</v>
          </cell>
          <cell r="B1903" t="str">
            <v>Paul Olela</v>
          </cell>
          <cell r="E1903" t="str">
            <v>RM</v>
          </cell>
        </row>
        <row r="1904">
          <cell r="A1904" t="str">
            <v>AB034EW</v>
          </cell>
          <cell r="B1904" t="str">
            <v>Mercy Gachuiri</v>
          </cell>
          <cell r="E1904" t="str">
            <v>UB</v>
          </cell>
        </row>
        <row r="1905">
          <cell r="A1905" t="str">
            <v>ABZA079</v>
          </cell>
          <cell r="B1905" t="str">
            <v>Zipporah Ayoma</v>
          </cell>
          <cell r="E1905" t="str">
            <v>LG</v>
          </cell>
        </row>
        <row r="1906">
          <cell r="A1906" t="str">
            <v>ABJK798</v>
          </cell>
          <cell r="B1906" t="str">
            <v>Joseph Kairu</v>
          </cell>
          <cell r="E1906" t="str">
            <v>ALAK</v>
          </cell>
        </row>
        <row r="1907">
          <cell r="A1907" t="str">
            <v>ABTG233</v>
          </cell>
          <cell r="B1907" t="str">
            <v>Teresa Gituku</v>
          </cell>
          <cell r="E1907" t="str">
            <v>LG</v>
          </cell>
        </row>
        <row r="1908">
          <cell r="A1908" t="str">
            <v>ABJK798</v>
          </cell>
          <cell r="B1908" t="str">
            <v>Joseph Kairu</v>
          </cell>
        </row>
        <row r="1909">
          <cell r="A1909" t="str">
            <v>AB034HW</v>
          </cell>
          <cell r="B1909" t="str">
            <v>Asman Njeru</v>
          </cell>
          <cell r="E1909" t="str">
            <v>LG</v>
          </cell>
        </row>
        <row r="1910">
          <cell r="A1910" t="str">
            <v>Online</v>
          </cell>
          <cell r="B1910" t="str">
            <v>Online</v>
          </cell>
          <cell r="E1910" t="str">
            <v>ALAK</v>
          </cell>
        </row>
        <row r="1912">
          <cell r="A1912" t="str">
            <v>AB035DY</v>
          </cell>
          <cell r="B1912" t="str">
            <v>HANIFA HABIB</v>
          </cell>
          <cell r="E1912" t="str">
            <v>UB</v>
          </cell>
        </row>
        <row r="1913">
          <cell r="A1913" t="str">
            <v>AB034XP</v>
          </cell>
          <cell r="B1913" t="str">
            <v>Paul Situma</v>
          </cell>
          <cell r="E1913" t="str">
            <v>LG</v>
          </cell>
        </row>
        <row r="1914">
          <cell r="A1914" t="str">
            <v>AB035AL</v>
          </cell>
          <cell r="B1914" t="str">
            <v>John Ngige</v>
          </cell>
          <cell r="E1914" t="str">
            <v>LG</v>
          </cell>
        </row>
        <row r="1915">
          <cell r="A1915" t="str">
            <v>AB035JP</v>
          </cell>
          <cell r="B1915" t="str">
            <v xml:space="preserve">Antony Muthendu </v>
          </cell>
          <cell r="E1915" t="str">
            <v>LG</v>
          </cell>
        </row>
        <row r="1916">
          <cell r="A1916" t="str">
            <v>ABLW385</v>
          </cell>
          <cell r="B1916" t="str">
            <v>Lucy Wamagata</v>
          </cell>
          <cell r="E1916" t="str">
            <v>LG</v>
          </cell>
        </row>
        <row r="1917">
          <cell r="A1917" t="str">
            <v>AB036CO</v>
          </cell>
          <cell r="B1917" t="str">
            <v>Kevin Waswa</v>
          </cell>
          <cell r="E1917" t="str">
            <v>UB</v>
          </cell>
        </row>
        <row r="1918">
          <cell r="A1918" t="str">
            <v>AB035Y7</v>
          </cell>
          <cell r="B1918" t="str">
            <v xml:space="preserve">Valentine Kimingichi </v>
          </cell>
          <cell r="E1918" t="str">
            <v>LG</v>
          </cell>
        </row>
        <row r="1919">
          <cell r="A1919" t="str">
            <v>ABMO328</v>
          </cell>
          <cell r="B1919" t="str">
            <v>Mercy Ong'anda</v>
          </cell>
          <cell r="E1919" t="str">
            <v>ALAK</v>
          </cell>
        </row>
        <row r="1920">
          <cell r="A1920" t="str">
            <v>AB034VI</v>
          </cell>
          <cell r="B1920" t="str">
            <v>ELISHA WAFULA</v>
          </cell>
          <cell r="E1920" t="str">
            <v>LG</v>
          </cell>
        </row>
        <row r="1922">
          <cell r="A1922" t="str">
            <v>AB023IK</v>
          </cell>
          <cell r="B1922" t="str">
            <v>BRIAN KAMAU NDUNG'U</v>
          </cell>
          <cell r="E1922" t="str">
            <v>LG</v>
          </cell>
        </row>
        <row r="1924">
          <cell r="A1924" t="str">
            <v>ABEN318</v>
          </cell>
          <cell r="B1924" t="str">
            <v>Erick Gatumu Njiru</v>
          </cell>
          <cell r="E1924" t="str">
            <v>ALAK</v>
          </cell>
        </row>
        <row r="1925">
          <cell r="A1925" t="str">
            <v>AB035T5</v>
          </cell>
          <cell r="B1925" t="str">
            <v xml:space="preserve">Benson Mwangi </v>
          </cell>
          <cell r="E1925" t="str">
            <v>LG</v>
          </cell>
        </row>
        <row r="1926">
          <cell r="A1926" t="str">
            <v>AB033EH</v>
          </cell>
          <cell r="B1926" t="str">
            <v>Lawrence Mwangi</v>
          </cell>
          <cell r="E1926" t="str">
            <v>LG</v>
          </cell>
        </row>
        <row r="1927">
          <cell r="A1927" t="str">
            <v>AB033F9</v>
          </cell>
          <cell r="B1927" t="str">
            <v>Danson Musyoki</v>
          </cell>
          <cell r="E1927" t="str">
            <v>LG</v>
          </cell>
        </row>
        <row r="1928">
          <cell r="A1928" t="str">
            <v>AB035AE</v>
          </cell>
          <cell r="B1928" t="str">
            <v>Chepkoech Mercy Rono</v>
          </cell>
          <cell r="E1928" t="str">
            <v>LG</v>
          </cell>
        </row>
        <row r="1929">
          <cell r="A1929" t="str">
            <v>AB036KT</v>
          </cell>
          <cell r="B1929" t="str">
            <v>Evance Ojowi</v>
          </cell>
          <cell r="E1929" t="str">
            <v>LG</v>
          </cell>
        </row>
        <row r="1930">
          <cell r="A1930" t="str">
            <v>AB024LD</v>
          </cell>
          <cell r="B1930" t="str">
            <v>Emily Jepchirchir</v>
          </cell>
          <cell r="E1930" t="str">
            <v>ALAK</v>
          </cell>
        </row>
        <row r="1931">
          <cell r="A1931" t="str">
            <v>AB037M3</v>
          </cell>
          <cell r="B1931" t="str">
            <v>Nancy Omenyi</v>
          </cell>
          <cell r="E1931" t="str">
            <v>LG</v>
          </cell>
        </row>
        <row r="1932">
          <cell r="A1932" t="str">
            <v>ABSK731</v>
          </cell>
          <cell r="B1932" t="str">
            <v xml:space="preserve">Sarah Kanjigi </v>
          </cell>
          <cell r="E1932" t="str">
            <v>LG</v>
          </cell>
        </row>
        <row r="1933">
          <cell r="A1933" t="str">
            <v>ABHW184</v>
          </cell>
          <cell r="B1933" t="str">
            <v>Hannah Wanjiku</v>
          </cell>
          <cell r="E1933" t="str">
            <v>LG</v>
          </cell>
        </row>
        <row r="1934">
          <cell r="A1934" t="str">
            <v>AB019VY</v>
          </cell>
          <cell r="B1934" t="str">
            <v>Zeituna Koech</v>
          </cell>
          <cell r="E1934" t="str">
            <v>UB</v>
          </cell>
        </row>
        <row r="1935">
          <cell r="A1935" t="str">
            <v>AB034YN</v>
          </cell>
          <cell r="B1935" t="str">
            <v xml:space="preserve">Peter Jackson muthoka </v>
          </cell>
          <cell r="E1935" t="str">
            <v>LG</v>
          </cell>
        </row>
        <row r="1936">
          <cell r="A1936" t="str">
            <v>ABOO043</v>
          </cell>
          <cell r="B1936" t="str">
            <v xml:space="preserve">Otieno owuor </v>
          </cell>
          <cell r="E1936" t="str">
            <v>LG</v>
          </cell>
        </row>
        <row r="1937">
          <cell r="A1937" t="str">
            <v>AB035F9</v>
          </cell>
          <cell r="B1937" t="str">
            <v xml:space="preserve">Rose Mureithi </v>
          </cell>
          <cell r="E1937" t="str">
            <v>LG</v>
          </cell>
        </row>
        <row r="1938">
          <cell r="A1938" t="str">
            <v>AB035ED</v>
          </cell>
          <cell r="B1938" t="str">
            <v>Viona Chalingo</v>
          </cell>
          <cell r="E1938" t="str">
            <v>LG</v>
          </cell>
        </row>
        <row r="1939">
          <cell r="A1939" t="str">
            <v>AB0379P</v>
          </cell>
          <cell r="B1939" t="str">
            <v>Cecilia Maina</v>
          </cell>
          <cell r="E1939" t="str">
            <v>LG</v>
          </cell>
        </row>
        <row r="1940">
          <cell r="A1940" t="str">
            <v>AB032AD</v>
          </cell>
          <cell r="B1940" t="str">
            <v xml:space="preserve">Calvince Mbara </v>
          </cell>
          <cell r="E1940" t="str">
            <v>LG</v>
          </cell>
        </row>
        <row r="1941">
          <cell r="A1941" t="str">
            <v>AB036CI</v>
          </cell>
          <cell r="B1941" t="str">
            <v>Julius Muli</v>
          </cell>
          <cell r="E1941" t="str">
            <v>LG</v>
          </cell>
        </row>
        <row r="1942">
          <cell r="A1942" t="str">
            <v>AB034VW</v>
          </cell>
          <cell r="B1942" t="str">
            <v xml:space="preserve">Victor Bitei </v>
          </cell>
          <cell r="E1942" t="str">
            <v>LG</v>
          </cell>
        </row>
        <row r="1943">
          <cell r="A1943" t="str">
            <v>AB035BJ</v>
          </cell>
          <cell r="B1943" t="str">
            <v>Violet Monari</v>
          </cell>
          <cell r="E1943" t="str">
            <v>UB</v>
          </cell>
        </row>
        <row r="1945">
          <cell r="A1945" t="str">
            <v>ABJO276</v>
          </cell>
          <cell r="B1945" t="str">
            <v>Julia Anabwani</v>
          </cell>
          <cell r="E1945" t="str">
            <v>LG</v>
          </cell>
        </row>
        <row r="1946">
          <cell r="A1946" t="str">
            <v>ABAK716</v>
          </cell>
          <cell r="B1946" t="str">
            <v>Ann Kimani</v>
          </cell>
          <cell r="E1946" t="str">
            <v>LG</v>
          </cell>
        </row>
        <row r="1947">
          <cell r="A1947" t="str">
            <v>AB0371G</v>
          </cell>
          <cell r="B1947" t="str">
            <v>Catherine Nyambura</v>
          </cell>
          <cell r="E1947" t="str">
            <v>LG</v>
          </cell>
        </row>
        <row r="1948">
          <cell r="A1948" t="str">
            <v>AB037OR</v>
          </cell>
          <cell r="B1948" t="str">
            <v>James Nganga</v>
          </cell>
          <cell r="E1948" t="str">
            <v>UB</v>
          </cell>
        </row>
        <row r="1949">
          <cell r="A1949" t="str">
            <v>AB03655</v>
          </cell>
          <cell r="B1949" t="str">
            <v>Ruth Mukabana</v>
          </cell>
          <cell r="E1949" t="str">
            <v>UB</v>
          </cell>
        </row>
        <row r="1951">
          <cell r="A1951" t="str">
            <v>AB018J6</v>
          </cell>
          <cell r="B1951" t="str">
            <v>Carolyne Mwanzo</v>
          </cell>
        </row>
        <row r="1952">
          <cell r="A1952" t="str">
            <v>ABLI024</v>
          </cell>
          <cell r="B1952" t="str">
            <v>Leonard Ingutia</v>
          </cell>
        </row>
        <row r="1953">
          <cell r="A1953" t="str">
            <v>AB0344U</v>
          </cell>
          <cell r="B1953" t="str">
            <v>Joyline Mutua</v>
          </cell>
          <cell r="E1953" t="str">
            <v>LG</v>
          </cell>
        </row>
        <row r="1954">
          <cell r="A1954" t="str">
            <v>ABPMAMV</v>
          </cell>
          <cell r="B1954" t="str">
            <v>Peter Musee</v>
          </cell>
          <cell r="E1954" t="str">
            <v>UB</v>
          </cell>
        </row>
        <row r="1955">
          <cell r="A1955" t="str">
            <v>AB035RC</v>
          </cell>
          <cell r="B1955" t="str">
            <v>Kiprotich Chepkwony</v>
          </cell>
          <cell r="E1955" t="str">
            <v>LG</v>
          </cell>
        </row>
        <row r="1956">
          <cell r="A1956" t="str">
            <v>ABRJ270</v>
          </cell>
          <cell r="B1956" t="str">
            <v>Rael Jepchumba</v>
          </cell>
          <cell r="E1956" t="str">
            <v>UB</v>
          </cell>
        </row>
        <row r="1957">
          <cell r="A1957" t="str">
            <v>AB033XO</v>
          </cell>
          <cell r="B1957" t="str">
            <v>Robert Rotich</v>
          </cell>
          <cell r="E1957" t="str">
            <v>LG</v>
          </cell>
        </row>
        <row r="1958">
          <cell r="A1958" t="str">
            <v>AB03315</v>
          </cell>
          <cell r="B1958" t="str">
            <v>Boniface Ochieng</v>
          </cell>
          <cell r="E1958" t="str">
            <v>LG</v>
          </cell>
        </row>
        <row r="1959">
          <cell r="A1959" t="str">
            <v>AB034VL</v>
          </cell>
          <cell r="B1959" t="str">
            <v>Bramwel Okune</v>
          </cell>
          <cell r="E1959" t="str">
            <v>LG</v>
          </cell>
        </row>
        <row r="1960">
          <cell r="A1960" t="str">
            <v>AB033XA</v>
          </cell>
          <cell r="B1960" t="str">
            <v>Tabitha Mbindyo</v>
          </cell>
          <cell r="E1960" t="str">
            <v>LG</v>
          </cell>
        </row>
        <row r="1961">
          <cell r="A1961" t="str">
            <v>AB0324V</v>
          </cell>
          <cell r="B1961" t="str">
            <v>Priscilla Gichugu</v>
          </cell>
          <cell r="E1961" t="str">
            <v>LG</v>
          </cell>
        </row>
        <row r="1962">
          <cell r="A1962" t="str">
            <v>AB034WE</v>
          </cell>
          <cell r="B1962" t="str">
            <v>Peter Chege Wanjiku</v>
          </cell>
          <cell r="E1962" t="str">
            <v>LG</v>
          </cell>
        </row>
        <row r="1963">
          <cell r="A1963" t="str">
            <v>AB034XV</v>
          </cell>
          <cell r="B1963" t="str">
            <v>Enock Kirui</v>
          </cell>
          <cell r="E1963" t="str">
            <v>LG</v>
          </cell>
        </row>
        <row r="1964">
          <cell r="A1964" t="str">
            <v>AB0237G</v>
          </cell>
          <cell r="B1964" t="str">
            <v>Wycliffe Oginga</v>
          </cell>
          <cell r="E1964" t="str">
            <v>ALAK</v>
          </cell>
        </row>
        <row r="1966">
          <cell r="A1966" t="str">
            <v>AB0364T</v>
          </cell>
          <cell r="B1966" t="str">
            <v>Eunice Mukiri</v>
          </cell>
          <cell r="E1966" t="str">
            <v>LG</v>
          </cell>
        </row>
        <row r="1967">
          <cell r="A1967" t="str">
            <v>ABCMAC5</v>
          </cell>
          <cell r="B1967" t="str">
            <v>Charity Mwangi</v>
          </cell>
          <cell r="E1967" t="str">
            <v>UB</v>
          </cell>
        </row>
        <row r="1968">
          <cell r="A1968" t="str">
            <v>AB035YE</v>
          </cell>
          <cell r="B1968" t="str">
            <v>Shadrack Omondi</v>
          </cell>
          <cell r="E1968" t="str">
            <v>LG</v>
          </cell>
        </row>
        <row r="1969">
          <cell r="A1969" t="str">
            <v>ABJK812</v>
          </cell>
          <cell r="B1969" t="str">
            <v>Joyce Kabugua</v>
          </cell>
          <cell r="E1969" t="str">
            <v>UB</v>
          </cell>
        </row>
        <row r="1970">
          <cell r="A1970" t="str">
            <v>AB024PP</v>
          </cell>
          <cell r="B1970" t="str">
            <v>Carolyne Okwany</v>
          </cell>
          <cell r="E1970" t="str">
            <v>UB</v>
          </cell>
        </row>
        <row r="1971">
          <cell r="A1971" t="str">
            <v>AB03792</v>
          </cell>
          <cell r="B1971" t="str">
            <v>Elizabeth Masinde</v>
          </cell>
          <cell r="E1971" t="str">
            <v>LG</v>
          </cell>
        </row>
        <row r="1972">
          <cell r="A1972" t="str">
            <v>AB034UF</v>
          </cell>
          <cell r="B1972" t="str">
            <v>Caroline Karuru</v>
          </cell>
          <cell r="E1972" t="str">
            <v>LG</v>
          </cell>
        </row>
        <row r="1974">
          <cell r="A1974" t="str">
            <v>AB035RX</v>
          </cell>
          <cell r="B1974" t="str">
            <v>Elizabeth Mutahi</v>
          </cell>
          <cell r="E1974" t="str">
            <v>LG</v>
          </cell>
        </row>
        <row r="1975">
          <cell r="A1975" t="str">
            <v>BB19491</v>
          </cell>
          <cell r="B1975" t="str">
            <v>Paul Gachoki</v>
          </cell>
          <cell r="E1975" t="str">
            <v>UB</v>
          </cell>
        </row>
        <row r="1976">
          <cell r="A1976" t="str">
            <v>AB035SO</v>
          </cell>
          <cell r="B1976" t="str">
            <v>David Mukabi</v>
          </cell>
          <cell r="E1976" t="str">
            <v>LG</v>
          </cell>
        </row>
        <row r="1977">
          <cell r="A1977" t="str">
            <v>AB03540</v>
          </cell>
          <cell r="B1977" t="str">
            <v>Gabriel Kilonzo</v>
          </cell>
          <cell r="E1977" t="str">
            <v>LG</v>
          </cell>
        </row>
        <row r="1978">
          <cell r="A1978" t="str">
            <v>AB0364Y</v>
          </cell>
          <cell r="B1978" t="str">
            <v>Benedict Watamba</v>
          </cell>
          <cell r="E1978" t="str">
            <v>LG</v>
          </cell>
        </row>
        <row r="1979">
          <cell r="A1979" t="str">
            <v>AB034AL</v>
          </cell>
          <cell r="B1979" t="str">
            <v>Peter Opiyo Opas</v>
          </cell>
          <cell r="E1979" t="str">
            <v>LG</v>
          </cell>
        </row>
        <row r="1980">
          <cell r="A1980" t="str">
            <v>AB037B0</v>
          </cell>
          <cell r="B1980" t="str">
            <v>Paul Fwamba</v>
          </cell>
          <cell r="E1980" t="str">
            <v>LG</v>
          </cell>
        </row>
        <row r="1981">
          <cell r="A1981" t="str">
            <v>ABGO115</v>
          </cell>
          <cell r="B1981" t="str">
            <v>Grace Owino</v>
          </cell>
          <cell r="E1981" t="str">
            <v>UB</v>
          </cell>
        </row>
        <row r="1982">
          <cell r="A1982" t="str">
            <v>AB034K5</v>
          </cell>
          <cell r="B1982" t="str">
            <v>Ashley Kamuyu</v>
          </cell>
          <cell r="E1982" t="str">
            <v>LG</v>
          </cell>
        </row>
        <row r="1984">
          <cell r="A1984" t="str">
            <v>AB038HC</v>
          </cell>
          <cell r="B1984" t="str">
            <v>Selestine Magayu</v>
          </cell>
          <cell r="E1984" t="str">
            <v>ALAK</v>
          </cell>
        </row>
        <row r="1985">
          <cell r="A1985" t="str">
            <v>MED0001</v>
          </cell>
          <cell r="B1985" t="str">
            <v>Peninah Kariuki</v>
          </cell>
          <cell r="E1985" t="str">
            <v>MEDPEL</v>
          </cell>
        </row>
        <row r="1986">
          <cell r="A1986" t="str">
            <v>AB0383Y</v>
          </cell>
          <cell r="B1986" t="str">
            <v>Naomi Nganga</v>
          </cell>
          <cell r="E1986" t="str">
            <v>LG</v>
          </cell>
        </row>
        <row r="1987">
          <cell r="A1987" t="str">
            <v>AB038AJ</v>
          </cell>
          <cell r="B1987" t="str">
            <v>Anne Oduor</v>
          </cell>
          <cell r="E1987" t="str">
            <v>LG</v>
          </cell>
        </row>
        <row r="1988">
          <cell r="A1988" t="str">
            <v>AB034WY</v>
          </cell>
          <cell r="B1988" t="str">
            <v>Elizabeth Macharia</v>
          </cell>
          <cell r="E1988" t="str">
            <v>LG</v>
          </cell>
        </row>
        <row r="1989">
          <cell r="A1989" t="str">
            <v>WENDRA001</v>
          </cell>
          <cell r="B1989" t="str">
            <v>Beatrice Ndukui</v>
          </cell>
          <cell r="E1989" t="str">
            <v>WENDRA</v>
          </cell>
        </row>
        <row r="1990">
          <cell r="A1990" t="str">
            <v>AB038B4</v>
          </cell>
          <cell r="B1990" t="str">
            <v>Stephen Jara</v>
          </cell>
        </row>
        <row r="1991">
          <cell r="A1991" t="str">
            <v>ABMNA8L</v>
          </cell>
          <cell r="B1991" t="str">
            <v>Mary Njoroge</v>
          </cell>
        </row>
        <row r="1992">
          <cell r="A1992" t="str">
            <v>AB0383X</v>
          </cell>
          <cell r="B1992" t="str">
            <v>Juliet Stacy Adhiambo</v>
          </cell>
          <cell r="E1992" t="str">
            <v>LG</v>
          </cell>
        </row>
        <row r="1995">
          <cell r="A1995" t="str">
            <v>BB18776</v>
          </cell>
          <cell r="B1995" t="str">
            <v xml:space="preserve">Mildred Otieno </v>
          </cell>
          <cell r="E1995" t="str">
            <v>UB</v>
          </cell>
        </row>
        <row r="1996">
          <cell r="A1996" t="str">
            <v>ABPK364</v>
          </cell>
          <cell r="B1996" t="str">
            <v>Phibian Kandie </v>
          </cell>
          <cell r="E1996" t="str">
            <v>UB</v>
          </cell>
        </row>
        <row r="1997">
          <cell r="A1997" t="str">
            <v>AB0154I</v>
          </cell>
          <cell r="B1997" t="str">
            <v>Peter Chege</v>
          </cell>
          <cell r="E1997" t="str">
            <v>UB</v>
          </cell>
        </row>
        <row r="1999">
          <cell r="A1999" t="str">
            <v>AB038RV</v>
          </cell>
          <cell r="B1999" t="str">
            <v>Susan Mutuku</v>
          </cell>
          <cell r="E1999" t="str">
            <v>LG</v>
          </cell>
        </row>
        <row r="2000">
          <cell r="A2000" t="str">
            <v>AB038AH</v>
          </cell>
          <cell r="B2000" t="str">
            <v>Elizabeth Waweru</v>
          </cell>
          <cell r="E2000" t="str">
            <v>ALAK</v>
          </cell>
        </row>
        <row r="2001">
          <cell r="A2001" t="str">
            <v>AB03669</v>
          </cell>
          <cell r="B2001" t="str">
            <v>Geofrey Wakio</v>
          </cell>
          <cell r="E2001" t="str">
            <v>UB</v>
          </cell>
        </row>
        <row r="2002">
          <cell r="A2002" t="str">
            <v>AB0356X</v>
          </cell>
          <cell r="B2002" t="str">
            <v>Stephen Daudi</v>
          </cell>
          <cell r="E2002" t="str">
            <v>LG</v>
          </cell>
        </row>
        <row r="2003">
          <cell r="A2003" t="str">
            <v>AB03579</v>
          </cell>
          <cell r="B2003" t="str">
            <v>Eliya Masiga</v>
          </cell>
          <cell r="E2003" t="str">
            <v>LG</v>
          </cell>
        </row>
        <row r="2004">
          <cell r="A2004" t="str">
            <v>AB03980</v>
          </cell>
          <cell r="B2004" t="str">
            <v>Leakey Mwendwa</v>
          </cell>
          <cell r="E2004" t="str">
            <v>LG</v>
          </cell>
        </row>
        <row r="2006">
          <cell r="A2006" t="str">
            <v>AB039YU</v>
          </cell>
          <cell r="B2006" t="str">
            <v>Linet Angwenyi</v>
          </cell>
          <cell r="E2006" t="str">
            <v>LG</v>
          </cell>
        </row>
        <row r="2007">
          <cell r="A2007" t="str">
            <v>AB040C0</v>
          </cell>
          <cell r="B2007" t="str">
            <v>Caroline Mugure Kabogo</v>
          </cell>
          <cell r="E2007" t="str">
            <v>LG</v>
          </cell>
        </row>
        <row r="2008">
          <cell r="A2008" t="str">
            <v>AB0353O</v>
          </cell>
          <cell r="B2008" t="str">
            <v>Teresiah Mbuthia</v>
          </cell>
          <cell r="E2008" t="str">
            <v>LG</v>
          </cell>
        </row>
        <row r="2009">
          <cell r="A2009" t="str">
            <v>AB0354E</v>
          </cell>
          <cell r="B2009" t="str">
            <v>Bornface Otieno</v>
          </cell>
          <cell r="E2009" t="str">
            <v>LG</v>
          </cell>
        </row>
        <row r="2010">
          <cell r="A2010" t="str">
            <v>AB0357L</v>
          </cell>
          <cell r="B2010" t="str">
            <v>Barnabus Nzioki</v>
          </cell>
          <cell r="E2010" t="str">
            <v>LG</v>
          </cell>
        </row>
        <row r="2011">
          <cell r="A2011" t="str">
            <v>AB0404M</v>
          </cell>
          <cell r="B2011" t="str">
            <v>Lucas Wachara</v>
          </cell>
          <cell r="E2011" t="str">
            <v>LG</v>
          </cell>
        </row>
        <row r="2012">
          <cell r="A2012" t="str">
            <v>AB036L1</v>
          </cell>
          <cell r="B2012" t="str">
            <v>Elizabeth Muasya</v>
          </cell>
          <cell r="E2012" t="str">
            <v>LG</v>
          </cell>
        </row>
        <row r="2013">
          <cell r="A2013" t="str">
            <v>ABFK193</v>
          </cell>
          <cell r="B2013" t="str">
            <v>Fidelis Kituu</v>
          </cell>
          <cell r="E2013" t="str">
            <v>UB</v>
          </cell>
        </row>
        <row r="2014">
          <cell r="A2014" t="str">
            <v>AB036KY</v>
          </cell>
          <cell r="B2014" t="str">
            <v>Lynne Nkirote</v>
          </cell>
          <cell r="E2014" t="str">
            <v>LG</v>
          </cell>
        </row>
        <row r="2015">
          <cell r="A2015" t="str">
            <v>AB036KZ</v>
          </cell>
          <cell r="B2015" t="str">
            <v>Joseph Ngwei</v>
          </cell>
          <cell r="E2015" t="str">
            <v>LG</v>
          </cell>
        </row>
        <row r="2016">
          <cell r="A2016" t="str">
            <v>AB035AD</v>
          </cell>
          <cell r="B2016" t="str">
            <v>Joseph Mwendwa malonza</v>
          </cell>
          <cell r="E2016" t="str">
            <v>LG</v>
          </cell>
        </row>
        <row r="2017">
          <cell r="A2017" t="str">
            <v>AB038AI</v>
          </cell>
          <cell r="B2017" t="str">
            <v>George Maina</v>
          </cell>
          <cell r="E2017" t="str">
            <v>ALAK</v>
          </cell>
        </row>
        <row r="2018">
          <cell r="A2018" t="str">
            <v>AB037YH</v>
          </cell>
          <cell r="B2018" t="str">
            <v>Cynthia Nyandiko</v>
          </cell>
          <cell r="E2018" t="str">
            <v>LG</v>
          </cell>
        </row>
        <row r="2019">
          <cell r="A2019" t="str">
            <v>AB04058</v>
          </cell>
          <cell r="B2019" t="str">
            <v>John Mboya</v>
          </cell>
          <cell r="E2019" t="str">
            <v>LG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 Mapping v3"/>
      <sheetName val="Data Source"/>
      <sheetName val="ALAK New Business Register"/>
      <sheetName val="Medical Transmittal"/>
      <sheetName val="Cancelled"/>
      <sheetName val="Report"/>
      <sheetName val="Summary."/>
      <sheetName val="canc pvt"/>
      <sheetName val="Cancelled Policies"/>
      <sheetName val="Sheet1"/>
    </sheetNames>
    <sheetDataSet>
      <sheetData sheetId="0" refreshError="1"/>
      <sheetData sheetId="1" refreshError="1">
        <row r="1">
          <cell r="A1" t="str">
            <v>Sales Code</v>
          </cell>
          <cell r="B1" t="str">
            <v>Sales Person</v>
          </cell>
        </row>
        <row r="2">
          <cell r="A2" t="str">
            <v>BB13767</v>
          </cell>
          <cell r="B2" t="str">
            <v>Zipporah Wangondu</v>
          </cell>
        </row>
        <row r="3">
          <cell r="A3" t="str">
            <v>LG25256</v>
          </cell>
          <cell r="B3" t="str">
            <v>Zipporah Mongina</v>
          </cell>
        </row>
        <row r="4">
          <cell r="A4" t="str">
            <v>LG16639</v>
          </cell>
          <cell r="B4" t="str">
            <v>Zipporah Kerubo Obiero</v>
          </cell>
        </row>
        <row r="5">
          <cell r="A5" t="str">
            <v>LG76639</v>
          </cell>
          <cell r="B5" t="str">
            <v xml:space="preserve">Zipporah Kerubo </v>
          </cell>
        </row>
        <row r="6">
          <cell r="A6" t="str">
            <v>AB019UT</v>
          </cell>
          <cell r="B6" t="str">
            <v>Zetiuna Koech</v>
          </cell>
        </row>
        <row r="7">
          <cell r="A7" t="str">
            <v>LG16636</v>
          </cell>
          <cell r="B7" t="str">
            <v>Zepora Navifwo Manyasi</v>
          </cell>
        </row>
        <row r="8">
          <cell r="A8" t="str">
            <v>LG25555</v>
          </cell>
          <cell r="B8" t="str">
            <v xml:space="preserve">Zenah Jepchumba Rutto </v>
          </cell>
        </row>
        <row r="9">
          <cell r="A9" t="str">
            <v>AB019VT</v>
          </cell>
          <cell r="B9" t="str">
            <v>Zeituna Koech</v>
          </cell>
        </row>
        <row r="10">
          <cell r="A10" t="str">
            <v>LG24890</v>
          </cell>
          <cell r="B10" t="str">
            <v>Zainalabdin Abdikadir Adan</v>
          </cell>
        </row>
        <row r="11">
          <cell r="A11" t="str">
            <v>LG21061</v>
          </cell>
          <cell r="B11" t="str">
            <v>Zainabu AWUOR Oloo</v>
          </cell>
        </row>
        <row r="12">
          <cell r="A12" t="str">
            <v>BB9326</v>
          </cell>
          <cell r="B12" t="str">
            <v>Zachary Gichari</v>
          </cell>
        </row>
        <row r="13">
          <cell r="A13" t="str">
            <v>AB023XP</v>
          </cell>
          <cell r="B13" t="str">
            <v>Yvonne Chemutai</v>
          </cell>
        </row>
        <row r="14">
          <cell r="A14" t="str">
            <v>LG24211</v>
          </cell>
          <cell r="B14" t="str">
            <v>Yuvensiah Mutave Kilonzo</v>
          </cell>
        </row>
        <row r="15">
          <cell r="A15" t="str">
            <v>LG24898</v>
          </cell>
          <cell r="B15" t="str">
            <v xml:space="preserve">Yusra Adan Issack </v>
          </cell>
        </row>
        <row r="16">
          <cell r="A16" t="str">
            <v>BB11120</v>
          </cell>
          <cell r="B16" t="str">
            <v>Yegon Victor</v>
          </cell>
        </row>
        <row r="17">
          <cell r="A17" t="str">
            <v>LG24889</v>
          </cell>
          <cell r="B17" t="str">
            <v xml:space="preserve">Yayo Wole Worke </v>
          </cell>
        </row>
        <row r="18">
          <cell r="A18" t="str">
            <v>AB022VJ</v>
          </cell>
          <cell r="B18" t="str">
            <v>Wycliffe Otieno Joseph</v>
          </cell>
        </row>
        <row r="19">
          <cell r="A19" t="str">
            <v>AB011FP</v>
          </cell>
          <cell r="B19" t="str">
            <v>Wycliffe Oginga Amolo</v>
          </cell>
        </row>
        <row r="20">
          <cell r="A20" t="str">
            <v>LG24590</v>
          </cell>
          <cell r="B20" t="str">
            <v>Wycliffe Anunda Mogoro</v>
          </cell>
        </row>
        <row r="21">
          <cell r="A21" t="str">
            <v>LG23202</v>
          </cell>
          <cell r="B21" t="str">
            <v>Wycliffe Amuke Okang'a</v>
          </cell>
        </row>
        <row r="22">
          <cell r="A22" t="str">
            <v>AB023DO</v>
          </cell>
          <cell r="B22" t="str">
            <v>Wisdom Ndalo</v>
          </cell>
        </row>
        <row r="23">
          <cell r="A23" t="str">
            <v>AB021R9</v>
          </cell>
          <cell r="B23" t="str">
            <v>Winny Kipchumba</v>
          </cell>
        </row>
        <row r="24">
          <cell r="A24" t="str">
            <v>ABWA100</v>
          </cell>
          <cell r="B24" t="str">
            <v>Winnie Ndunge Amos</v>
          </cell>
        </row>
        <row r="25">
          <cell r="A25" t="str">
            <v>LG24857</v>
          </cell>
          <cell r="B25" t="str">
            <v xml:space="preserve">Winnie Nasimiyu Dabani </v>
          </cell>
        </row>
        <row r="26">
          <cell r="A26" t="str">
            <v>BB19684</v>
          </cell>
          <cell r="B26" t="str">
            <v xml:space="preserve">Winnie Mundati </v>
          </cell>
        </row>
        <row r="27">
          <cell r="A27" t="str">
            <v>BB169684</v>
          </cell>
          <cell r="B27" t="str">
            <v xml:space="preserve">Winnie Mundati </v>
          </cell>
        </row>
        <row r="28">
          <cell r="A28" t="str">
            <v>LG15512</v>
          </cell>
          <cell r="B28" t="str">
            <v>Winnie Jepkorir Rono</v>
          </cell>
        </row>
        <row r="29">
          <cell r="A29" t="str">
            <v>LG23523</v>
          </cell>
          <cell r="B29" t="str">
            <v>Winnie Gatwiri Kithinji</v>
          </cell>
        </row>
        <row r="30">
          <cell r="A30" t="str">
            <v>BB11365</v>
          </cell>
          <cell r="B30" t="str">
            <v>Winnie Chepkorir Chumo</v>
          </cell>
        </row>
        <row r="31">
          <cell r="A31" t="str">
            <v>BB07813</v>
          </cell>
          <cell r="B31" t="str">
            <v>Winnie Chebet Cheborgei</v>
          </cell>
        </row>
        <row r="32">
          <cell r="A32" t="str">
            <v>AB02970</v>
          </cell>
          <cell r="B32" t="str">
            <v>Winnie Atieno Onyango</v>
          </cell>
        </row>
        <row r="33">
          <cell r="A33" t="str">
            <v>LG10480</v>
          </cell>
          <cell r="B33" t="str">
            <v>Winnie Anne Otwane</v>
          </cell>
        </row>
        <row r="34">
          <cell r="A34" t="str">
            <v>LG23570</v>
          </cell>
          <cell r="B34" t="str">
            <v>Winnie Adhiambo Omanya</v>
          </cell>
        </row>
        <row r="35">
          <cell r="A35" t="str">
            <v>AB0150G</v>
          </cell>
          <cell r="B35" t="str">
            <v xml:space="preserve">Winfridah Onsongo </v>
          </cell>
        </row>
        <row r="36">
          <cell r="A36" t="str">
            <v>BB10191</v>
          </cell>
          <cell r="B36" t="str">
            <v>Winfred Nganga Mbithi</v>
          </cell>
        </row>
        <row r="37">
          <cell r="A37" t="str">
            <v>LG18667</v>
          </cell>
          <cell r="B37" t="str">
            <v>Winfred Akoth Rakiro</v>
          </cell>
        </row>
        <row r="38">
          <cell r="A38" t="str">
            <v>AB021H2</v>
          </cell>
          <cell r="B38" t="str">
            <v>Wincate Njoki Kaugi</v>
          </cell>
        </row>
        <row r="39">
          <cell r="A39" t="str">
            <v>LG25031</v>
          </cell>
          <cell r="B39" t="str">
            <v xml:space="preserve">Wilson Onduto Odhiambo </v>
          </cell>
        </row>
        <row r="40">
          <cell r="A40" t="str">
            <v>BB13715</v>
          </cell>
          <cell r="B40" t="str">
            <v>Wilfrida Otieno</v>
          </cell>
        </row>
        <row r="41">
          <cell r="A41" t="str">
            <v>AB01554</v>
          </cell>
          <cell r="B41" t="str">
            <v xml:space="preserve">Wilfrida Akumu </v>
          </cell>
        </row>
        <row r="42">
          <cell r="A42" t="str">
            <v>LG13715</v>
          </cell>
          <cell r="B42" t="str">
            <v>Wilfrida Akoth Otieno</v>
          </cell>
        </row>
        <row r="43">
          <cell r="A43" t="str">
            <v>AB019F1</v>
          </cell>
          <cell r="B43" t="str">
            <v>Wilberforce Makokha</v>
          </cell>
        </row>
        <row r="44">
          <cell r="A44" t="str">
            <v>LG25066</v>
          </cell>
          <cell r="B44" t="str">
            <v>Wiclif Omondi Omolo</v>
          </cell>
        </row>
        <row r="45">
          <cell r="A45" t="str">
            <v>AB029Q3</v>
          </cell>
          <cell r="B45" t="str">
            <v>Whitney Khameye</v>
          </cell>
        </row>
        <row r="46">
          <cell r="A46" t="str">
            <v>LG21891</v>
          </cell>
          <cell r="B46" t="str">
            <v>Wendy  Omondi</v>
          </cell>
        </row>
        <row r="47">
          <cell r="A47" t="str">
            <v>BB18899</v>
          </cell>
          <cell r="B47" t="str">
            <v>Washington Odiwuor Otieno</v>
          </cell>
        </row>
        <row r="48">
          <cell r="A48" t="str">
            <v>LG18899</v>
          </cell>
          <cell r="B48" t="str">
            <v>Washington Odiwuor Otieno</v>
          </cell>
        </row>
        <row r="49">
          <cell r="A49" t="str">
            <v>AB011H4</v>
          </cell>
          <cell r="B49" t="str">
            <v>Warui Nicholas Mwaniki</v>
          </cell>
        </row>
        <row r="50">
          <cell r="A50" t="str">
            <v>AB01723</v>
          </cell>
          <cell r="B50" t="str">
            <v>Wanjala Joseph Munialo</v>
          </cell>
        </row>
        <row r="51">
          <cell r="A51" t="str">
            <v>MKL0354</v>
          </cell>
          <cell r="B51" t="str">
            <v>Wanja, Joyce Murugi</v>
          </cell>
        </row>
        <row r="52">
          <cell r="A52" t="str">
            <v>AB006DM</v>
          </cell>
          <cell r="B52" t="str">
            <v>Wambua Stella Ndanu</v>
          </cell>
        </row>
        <row r="53">
          <cell r="A53" t="str">
            <v>BB21546</v>
          </cell>
          <cell r="B53" t="str">
            <v>Walter Mathenge</v>
          </cell>
        </row>
        <row r="54">
          <cell r="A54" t="str">
            <v>AB01720</v>
          </cell>
          <cell r="B54" t="str">
            <v>Walter Khamadi</v>
          </cell>
        </row>
        <row r="55">
          <cell r="A55" t="str">
            <v>AB02287</v>
          </cell>
          <cell r="B55" t="str">
            <v>Wallace Opiayo</v>
          </cell>
        </row>
        <row r="56">
          <cell r="A56" t="str">
            <v>HISA0012</v>
          </cell>
          <cell r="B56" t="str">
            <v>Vivian Mlati</v>
          </cell>
        </row>
        <row r="57">
          <cell r="A57" t="str">
            <v>LG24853</v>
          </cell>
          <cell r="B57" t="str">
            <v>Vivian Kemunto</v>
          </cell>
        </row>
        <row r="58">
          <cell r="A58" t="str">
            <v>LG25237</v>
          </cell>
          <cell r="B58" t="str">
            <v xml:space="preserve">Virginia Mbithe Wambua </v>
          </cell>
        </row>
        <row r="59">
          <cell r="A59" t="str">
            <v>LG25269</v>
          </cell>
          <cell r="B59" t="str">
            <v>Violet Abebe</v>
          </cell>
        </row>
        <row r="60">
          <cell r="A60" t="str">
            <v>AB019ZF</v>
          </cell>
          <cell r="B60" t="str">
            <v>Viola Grace Apondi Otiende</v>
          </cell>
        </row>
        <row r="61">
          <cell r="A61" t="str">
            <v>LG24609</v>
          </cell>
          <cell r="B61" t="str">
            <v>Vincent Otieno Okello</v>
          </cell>
        </row>
        <row r="62">
          <cell r="A62" t="str">
            <v>AB025OT</v>
          </cell>
          <cell r="B62" t="str">
            <v xml:space="preserve">Vincent Ojwang  Ochieng </v>
          </cell>
        </row>
        <row r="63">
          <cell r="A63" t="str">
            <v>AB020BC</v>
          </cell>
          <cell r="B63" t="str">
            <v>Vincent Nyaribo</v>
          </cell>
        </row>
        <row r="64">
          <cell r="A64" t="str">
            <v>LG25092</v>
          </cell>
          <cell r="B64" t="str">
            <v>VINCENT KINGIMA ONDARI</v>
          </cell>
        </row>
        <row r="65">
          <cell r="A65" t="str">
            <v>BB24306</v>
          </cell>
          <cell r="B65" t="str">
            <v>Vilma Mutoka</v>
          </cell>
        </row>
        <row r="66">
          <cell r="A66" t="str">
            <v>LG24306</v>
          </cell>
          <cell r="B66" t="str">
            <v>Vilma Motuka</v>
          </cell>
        </row>
        <row r="67">
          <cell r="A67" t="str">
            <v>LG24310</v>
          </cell>
          <cell r="B67" t="str">
            <v>Victoria Wangui Njiru</v>
          </cell>
        </row>
        <row r="68">
          <cell r="A68" t="str">
            <v>AB024XB</v>
          </cell>
          <cell r="B68" t="str">
            <v>Victoria Nyamumi</v>
          </cell>
        </row>
        <row r="69">
          <cell r="A69" t="str">
            <v>BB14467</v>
          </cell>
          <cell r="B69" t="str">
            <v>Victoria Kavinya Mule</v>
          </cell>
        </row>
        <row r="70">
          <cell r="A70" t="str">
            <v>AB019QQ</v>
          </cell>
          <cell r="B70" t="str">
            <v>Victor Waema</v>
          </cell>
        </row>
        <row r="71">
          <cell r="A71" t="str">
            <v>AB019XK</v>
          </cell>
          <cell r="B71" t="str">
            <v>Victor Omoit</v>
          </cell>
        </row>
        <row r="72">
          <cell r="A72" t="str">
            <v>LG18408</v>
          </cell>
          <cell r="B72" t="str">
            <v>Victor Mutinda Mumo</v>
          </cell>
        </row>
        <row r="73">
          <cell r="A73" t="str">
            <v>AB021KV</v>
          </cell>
          <cell r="B73" t="str">
            <v>Victor Korir</v>
          </cell>
        </row>
        <row r="74">
          <cell r="A74" t="str">
            <v>BB18645</v>
          </cell>
          <cell r="B74" t="str">
            <v>Victor Kipkirui</v>
          </cell>
        </row>
        <row r="75">
          <cell r="A75" t="str">
            <v>BB07426</v>
          </cell>
          <cell r="B75" t="str">
            <v>Victor Cyrill Kottonya</v>
          </cell>
        </row>
        <row r="76">
          <cell r="A76" t="str">
            <v>BB19957</v>
          </cell>
          <cell r="B76" t="str">
            <v>Victor Ameyo Omukala</v>
          </cell>
        </row>
        <row r="77">
          <cell r="A77" t="str">
            <v>LG22289</v>
          </cell>
          <cell r="B77" t="str">
            <v>Vicent Kipngetich Yego</v>
          </cell>
        </row>
        <row r="78">
          <cell r="A78" t="str">
            <v>LG24258</v>
          </cell>
          <cell r="B78" t="str">
            <v>Veronica Wairimu Kimani</v>
          </cell>
        </row>
        <row r="79">
          <cell r="A79" t="str">
            <v>LG17066</v>
          </cell>
          <cell r="B79" t="str">
            <v>Veronica Mwende Ikandi</v>
          </cell>
        </row>
        <row r="80">
          <cell r="A80" t="str">
            <v>LG24396</v>
          </cell>
          <cell r="B80" t="str">
            <v>Veronica Mwende Ikandi</v>
          </cell>
        </row>
        <row r="81">
          <cell r="A81" t="str">
            <v>AB026Q4</v>
          </cell>
          <cell r="B81" t="str">
            <v>Veronica Masae</v>
          </cell>
        </row>
        <row r="82">
          <cell r="A82" t="str">
            <v>AB027ZE</v>
          </cell>
          <cell r="B82" t="str">
            <v>Verolyne Odero</v>
          </cell>
        </row>
        <row r="83">
          <cell r="A83" t="str">
            <v>LG25453</v>
          </cell>
          <cell r="B83" t="str">
            <v>Verah Chelimo Chongwony</v>
          </cell>
        </row>
        <row r="84">
          <cell r="A84" t="str">
            <v>BB21153</v>
          </cell>
          <cell r="B84" t="str">
            <v>Veonna Magara</v>
          </cell>
        </row>
        <row r="85">
          <cell r="A85" t="str">
            <v>LG24908</v>
          </cell>
          <cell r="B85" t="str">
            <v>Velah Murengu</v>
          </cell>
        </row>
        <row r="86">
          <cell r="A86" t="str">
            <v>AB027KO</v>
          </cell>
          <cell r="B86" t="str">
            <v>Varsity Tarus</v>
          </cell>
        </row>
        <row r="87">
          <cell r="A87" t="str">
            <v>BB23542</v>
          </cell>
          <cell r="B87" t="str">
            <v>Valentine Waweru</v>
          </cell>
        </row>
        <row r="88">
          <cell r="A88" t="str">
            <v>ABVM540</v>
          </cell>
          <cell r="B88" t="str">
            <v>Valentine Musyoka</v>
          </cell>
        </row>
        <row r="89">
          <cell r="A89" t="str">
            <v>BB07609</v>
          </cell>
          <cell r="B89" t="str">
            <v>Valentine Mola</v>
          </cell>
        </row>
        <row r="90">
          <cell r="A90" t="str">
            <v>AB019VP</v>
          </cell>
          <cell r="B90" t="str">
            <v>Valentine Manyange</v>
          </cell>
        </row>
        <row r="91">
          <cell r="A91" t="str">
            <v>LG25086</v>
          </cell>
          <cell r="B91" t="str">
            <v>Tracy Chebet</v>
          </cell>
        </row>
        <row r="92">
          <cell r="A92" t="str">
            <v>BB17452</v>
          </cell>
          <cell r="B92" t="str">
            <v>Tony  Mati</v>
          </cell>
        </row>
        <row r="93">
          <cell r="A93" t="str">
            <v>LG22547</v>
          </cell>
          <cell r="B93" t="str">
            <v>Tonny Okoth</v>
          </cell>
        </row>
        <row r="94">
          <cell r="A94" t="str">
            <v>LG24536</v>
          </cell>
          <cell r="B94" t="str">
            <v xml:space="preserve">Tom Stanley Aduda </v>
          </cell>
        </row>
        <row r="95">
          <cell r="A95" t="str">
            <v>LG12716</v>
          </cell>
          <cell r="B95" t="str">
            <v>Tom Liech Onunga</v>
          </cell>
        </row>
        <row r="96">
          <cell r="A96" t="str">
            <v>LG24207</v>
          </cell>
          <cell r="B96" t="str">
            <v>Tinega Kennedy Okumu</v>
          </cell>
        </row>
        <row r="97">
          <cell r="A97" t="str">
            <v>AB011NK</v>
          </cell>
          <cell r="B97" t="str">
            <v>Timothy Mutembei Kiogora</v>
          </cell>
        </row>
        <row r="98">
          <cell r="A98" t="str">
            <v>LG12657</v>
          </cell>
          <cell r="B98" t="str">
            <v>Timothy Mumo Mutambuki</v>
          </cell>
        </row>
        <row r="99">
          <cell r="A99" t="str">
            <v>LG24292</v>
          </cell>
          <cell r="B99" t="str">
            <v>Timothy Mugambi Njue</v>
          </cell>
        </row>
        <row r="100">
          <cell r="A100" t="str">
            <v>AB02067</v>
          </cell>
          <cell r="B100" t="str">
            <v>Thomas Ochieng</v>
          </cell>
        </row>
        <row r="101">
          <cell r="A101" t="str">
            <v>LG17204</v>
          </cell>
          <cell r="B101" t="str">
            <v>Thomas Mugonzya Mutambuki</v>
          </cell>
        </row>
        <row r="102">
          <cell r="A102" t="str">
            <v>AB019H6</v>
          </cell>
          <cell r="B102" t="str">
            <v>Thomas Kirop</v>
          </cell>
        </row>
        <row r="103">
          <cell r="A103" t="str">
            <v>AB017WL</v>
          </cell>
          <cell r="B103" t="str">
            <v>Thomas Barasa Wachiya</v>
          </cell>
        </row>
        <row r="104">
          <cell r="A104" t="str">
            <v>LG11562</v>
          </cell>
          <cell r="B104" t="str">
            <v>Theresiah Kamene Mumo</v>
          </cell>
        </row>
        <row r="105">
          <cell r="A105" t="str">
            <v>LG22355</v>
          </cell>
          <cell r="B105" t="str">
            <v>Theresa Mogotu Nyang'wara</v>
          </cell>
        </row>
        <row r="106">
          <cell r="A106" t="str">
            <v>LG22290</v>
          </cell>
          <cell r="B106" t="str">
            <v>Thadeus Nyakundi Moindi</v>
          </cell>
        </row>
        <row r="107">
          <cell r="A107" t="str">
            <v>LG15847</v>
          </cell>
          <cell r="B107" t="str">
            <v>Thadeus Gwaro Oreko</v>
          </cell>
        </row>
        <row r="108">
          <cell r="A108" t="str">
            <v>AB019VG</v>
          </cell>
          <cell r="B108" t="str">
            <v>Tevin Musili</v>
          </cell>
        </row>
        <row r="109">
          <cell r="A109" t="str">
            <v>LG25071</v>
          </cell>
          <cell r="B109" t="str">
            <v>Terry Nyawira Njeru</v>
          </cell>
        </row>
        <row r="110">
          <cell r="A110" t="str">
            <v>BB11245</v>
          </cell>
          <cell r="B110" t="str">
            <v>Teresia Wanjiru Gichia</v>
          </cell>
        </row>
        <row r="111">
          <cell r="A111" t="str">
            <v>LG19069</v>
          </cell>
          <cell r="B111" t="str">
            <v>Teresia Odhiambo</v>
          </cell>
        </row>
        <row r="112">
          <cell r="A112" t="str">
            <v>LG20297</v>
          </cell>
          <cell r="B112" t="str">
            <v>Teresah Wangari Gituku</v>
          </cell>
        </row>
        <row r="113">
          <cell r="A113" t="str">
            <v>LG06721</v>
          </cell>
          <cell r="B113" t="str">
            <v>Teresa Nanjala Masinde</v>
          </cell>
        </row>
        <row r="114">
          <cell r="A114" t="str">
            <v>AB011JM</v>
          </cell>
          <cell r="B114" t="str">
            <v>Teresa Muthoni Maina</v>
          </cell>
        </row>
        <row r="115">
          <cell r="A115" t="str">
            <v>AB021M4</v>
          </cell>
          <cell r="B115" t="str">
            <v>Teresa Gitonga</v>
          </cell>
        </row>
        <row r="116">
          <cell r="A116" t="str">
            <v>AB025OU</v>
          </cell>
          <cell r="B116" t="str">
            <v xml:space="preserve">Telvin Kuru Munge </v>
          </cell>
        </row>
        <row r="117">
          <cell r="A117" t="str">
            <v>AB0171T</v>
          </cell>
          <cell r="B117" t="str">
            <v>Teddy Oduor</v>
          </cell>
        </row>
        <row r="118">
          <cell r="A118" t="str">
            <v>LG21685</v>
          </cell>
          <cell r="B118" t="str">
            <v>Teddy Mwawasi Mwazuna</v>
          </cell>
        </row>
        <row r="119">
          <cell r="A119" t="str">
            <v>AB018DP</v>
          </cell>
          <cell r="B119" t="str">
            <v>Tabitha Wangeci Kahanya</v>
          </cell>
        </row>
        <row r="120">
          <cell r="A120" t="str">
            <v>LG24551</v>
          </cell>
          <cell r="B120" t="str">
            <v xml:space="preserve">Tabitha Wambui Gachau </v>
          </cell>
        </row>
        <row r="121">
          <cell r="A121" t="str">
            <v>LG12303</v>
          </cell>
          <cell r="B121" t="str">
            <v>Tabitha Waithera Gitau</v>
          </cell>
        </row>
        <row r="122">
          <cell r="A122" t="str">
            <v>AB019GB</v>
          </cell>
          <cell r="B122" t="str">
            <v>Tabitha Ndolo</v>
          </cell>
        </row>
        <row r="123">
          <cell r="A123" t="str">
            <v>LG23479</v>
          </cell>
          <cell r="B123" t="str">
            <v>Tabitha Mwende Kingoo</v>
          </cell>
        </row>
        <row r="124">
          <cell r="A124" t="str">
            <v>11018</v>
          </cell>
          <cell r="B124" t="str">
            <v>Sylvia Wangui Karuku</v>
          </cell>
        </row>
        <row r="125">
          <cell r="A125" t="str">
            <v>BB06873</v>
          </cell>
          <cell r="B125" t="str">
            <v xml:space="preserve">Sylvia Kiplagat </v>
          </cell>
        </row>
        <row r="126">
          <cell r="A126" t="str">
            <v>AB025CM</v>
          </cell>
          <cell r="B126" t="str">
            <v>Sylvia Khakasa</v>
          </cell>
        </row>
        <row r="127">
          <cell r="A127" t="str">
            <v>AB0249O</v>
          </cell>
          <cell r="B127" t="str">
            <v>Sylvia Chebii</v>
          </cell>
        </row>
        <row r="128">
          <cell r="A128" t="str">
            <v>AB02490</v>
          </cell>
          <cell r="B128" t="str">
            <v>Sylvia Chebii</v>
          </cell>
        </row>
        <row r="129">
          <cell r="A129" t="str">
            <v>AB019LQ</v>
          </cell>
          <cell r="B129" t="str">
            <v>Sylvia Alumasi</v>
          </cell>
        </row>
        <row r="130">
          <cell r="A130" t="str">
            <v>AB023JI</v>
          </cell>
          <cell r="B130" t="str">
            <v>Sylvester Okoth</v>
          </cell>
        </row>
        <row r="131">
          <cell r="A131" t="str">
            <v>LG24617</v>
          </cell>
          <cell r="B131" t="str">
            <v>Susan Wanjiru Njeru</v>
          </cell>
        </row>
        <row r="132">
          <cell r="A132" t="str">
            <v>LG24210</v>
          </cell>
          <cell r="B132" t="str">
            <v>Susan Wambuga Chenjema</v>
          </cell>
        </row>
        <row r="133">
          <cell r="A133" t="str">
            <v>LG19483</v>
          </cell>
          <cell r="B133" t="str">
            <v>Susan Nyawira Maina</v>
          </cell>
        </row>
        <row r="134">
          <cell r="A134" t="str">
            <v>BB07501</v>
          </cell>
          <cell r="B134" t="str">
            <v>Susan Njoki Ngararu</v>
          </cell>
        </row>
        <row r="135">
          <cell r="A135" t="str">
            <v>AB017VS</v>
          </cell>
          <cell r="B135" t="str">
            <v>Susan Kayika</v>
          </cell>
        </row>
        <row r="136">
          <cell r="A136" t="str">
            <v>AB01559</v>
          </cell>
          <cell r="B136" t="str">
            <v>Susan Karimi</v>
          </cell>
        </row>
        <row r="137">
          <cell r="A137" t="str">
            <v>BBABSK755</v>
          </cell>
          <cell r="B137" t="str">
            <v>Susan Kagenyo</v>
          </cell>
        </row>
        <row r="138">
          <cell r="A138" t="str">
            <v>BB07209</v>
          </cell>
          <cell r="B138" t="str">
            <v>Susan Essy Agollah Onyango</v>
          </cell>
        </row>
        <row r="139">
          <cell r="A139" t="str">
            <v>AB026VB</v>
          </cell>
          <cell r="B139" t="str">
            <v>Steven Oyemba</v>
          </cell>
        </row>
        <row r="140">
          <cell r="A140" t="str">
            <v>LG23420</v>
          </cell>
          <cell r="B140" t="str">
            <v>Steven  Odamna</v>
          </cell>
        </row>
        <row r="141">
          <cell r="A141" t="str">
            <v>AB02691</v>
          </cell>
          <cell r="B141" t="str">
            <v>Stephenn Mugo</v>
          </cell>
        </row>
        <row r="142">
          <cell r="A142" t="str">
            <v>LG18891</v>
          </cell>
          <cell r="B142" t="str">
            <v>Stephen Onyango Wambedha</v>
          </cell>
        </row>
        <row r="143">
          <cell r="A143" t="str">
            <v>LG17722</v>
          </cell>
          <cell r="B143" t="str">
            <v>Stephen Mwaniki Gitari</v>
          </cell>
        </row>
        <row r="144">
          <cell r="A144" t="str">
            <v>LG19257</v>
          </cell>
          <cell r="B144" t="str">
            <v>Stephen Malone Kimeu</v>
          </cell>
        </row>
        <row r="145">
          <cell r="A145" t="str">
            <v>LG25460</v>
          </cell>
          <cell r="B145" t="str">
            <v>Stephen Kiproptich Koech</v>
          </cell>
        </row>
        <row r="146">
          <cell r="A146" t="str">
            <v>AB0280H</v>
          </cell>
          <cell r="B146" t="str">
            <v>Stephen Kinuthia Maina</v>
          </cell>
        </row>
        <row r="147">
          <cell r="A147" t="str">
            <v>AB011NA</v>
          </cell>
          <cell r="B147" t="str">
            <v>Stephen Kinuthia Kamau</v>
          </cell>
        </row>
        <row r="148">
          <cell r="A148" t="str">
            <v>BB21875</v>
          </cell>
          <cell r="B148" t="str">
            <v>Stephen Kaluku</v>
          </cell>
        </row>
        <row r="149">
          <cell r="A149" t="str">
            <v>BB04523</v>
          </cell>
          <cell r="B149" t="str">
            <v>Stephen Kabucho</v>
          </cell>
        </row>
        <row r="150">
          <cell r="A150" t="str">
            <v>BB11791</v>
          </cell>
          <cell r="B150" t="str">
            <v>Stephen Bundi Stanley</v>
          </cell>
        </row>
        <row r="151">
          <cell r="A151" t="str">
            <v>LG21875</v>
          </cell>
          <cell r="B151" t="str">
            <v>Stephen  Kaluku</v>
          </cell>
        </row>
        <row r="152">
          <cell r="A152" t="str">
            <v>AB006D2</v>
          </cell>
          <cell r="B152" t="str">
            <v xml:space="preserve">Stella Wambua </v>
          </cell>
        </row>
        <row r="153">
          <cell r="A153" t="str">
            <v>AB025OL</v>
          </cell>
          <cell r="B153" t="str">
            <v>Stella Nafula Wanyonyi</v>
          </cell>
        </row>
        <row r="154">
          <cell r="A154" t="str">
            <v>LG11076</v>
          </cell>
          <cell r="B154" t="str">
            <v>Stella Kagwiria Muriuki</v>
          </cell>
        </row>
        <row r="155">
          <cell r="A155" t="str">
            <v>LG21285</v>
          </cell>
          <cell r="B155" t="str">
            <v>Stanley KIBUI Gacheru</v>
          </cell>
        </row>
        <row r="156">
          <cell r="A156" t="str">
            <v>LG23271</v>
          </cell>
          <cell r="B156" t="str">
            <v>Stanley Gikundi Ntorukiri</v>
          </cell>
        </row>
        <row r="157">
          <cell r="A157" t="str">
            <v>LG24560</v>
          </cell>
          <cell r="B157" t="str">
            <v>Stacy Njeri Njinu</v>
          </cell>
        </row>
        <row r="158">
          <cell r="A158" t="str">
            <v>AB019G9</v>
          </cell>
          <cell r="B158" t="str">
            <v>Stacey Mako</v>
          </cell>
        </row>
        <row r="159">
          <cell r="A159" t="str">
            <v>AB01969</v>
          </cell>
          <cell r="B159" t="str">
            <v>Stacey Esendi Mako</v>
          </cell>
        </row>
        <row r="160">
          <cell r="A160" t="str">
            <v>AB022F0</v>
          </cell>
          <cell r="B160" t="str">
            <v>Sophie Muthamia</v>
          </cell>
        </row>
        <row r="161">
          <cell r="A161" t="str">
            <v>AB019FM</v>
          </cell>
          <cell r="B161" t="str">
            <v>Sophia Ogutu</v>
          </cell>
        </row>
        <row r="162">
          <cell r="A162" t="str">
            <v>LG20209</v>
          </cell>
          <cell r="B162" t="str">
            <v>Solomon Mulei Kavata</v>
          </cell>
        </row>
        <row r="163">
          <cell r="A163" t="str">
            <v xml:space="preserve">BB06885 </v>
          </cell>
          <cell r="B163" t="str">
            <v>Simon Njoroge</v>
          </cell>
        </row>
        <row r="164">
          <cell r="A164">
            <v>13041</v>
          </cell>
          <cell r="B164" t="str">
            <v xml:space="preserve">Simon Ngui </v>
          </cell>
        </row>
        <row r="165">
          <cell r="A165" t="str">
            <v>BB11090</v>
          </cell>
          <cell r="B165" t="str">
            <v xml:space="preserve">Simon Mwau </v>
          </cell>
        </row>
        <row r="166">
          <cell r="A166" t="str">
            <v>13041</v>
          </cell>
          <cell r="B166" t="str">
            <v>Simon Mulinge Ngui</v>
          </cell>
        </row>
        <row r="167">
          <cell r="A167" t="str">
            <v>BB06885</v>
          </cell>
          <cell r="B167" t="str">
            <v>Simon Karanja Njoroge</v>
          </cell>
        </row>
        <row r="168">
          <cell r="A168" t="str">
            <v>BB21166</v>
          </cell>
          <cell r="B168" t="str">
            <v>Silas Wanjala Oloo</v>
          </cell>
        </row>
        <row r="169">
          <cell r="A169" t="str">
            <v>LG24533</v>
          </cell>
          <cell r="B169" t="str">
            <v>Silas Kiprotich Tanui</v>
          </cell>
        </row>
        <row r="170">
          <cell r="A170" t="str">
            <v>LG25552</v>
          </cell>
          <cell r="B170" t="str">
            <v>Silas Kiprotich Chirchir</v>
          </cell>
        </row>
        <row r="171">
          <cell r="A171" t="str">
            <v>LG25592</v>
          </cell>
          <cell r="B171" t="str">
            <v>Silas Chirchir</v>
          </cell>
        </row>
        <row r="172">
          <cell r="A172" t="str">
            <v>LG20696</v>
          </cell>
          <cell r="B172" t="str">
            <v>Sifa Mwanguwa Kidong'u</v>
          </cell>
        </row>
        <row r="173">
          <cell r="A173" t="str">
            <v>AB025S</v>
          </cell>
          <cell r="B173" t="str">
            <v>sidney Onindo Wandago</v>
          </cell>
        </row>
        <row r="174">
          <cell r="A174" t="str">
            <v>LG24849</v>
          </cell>
          <cell r="B174" t="str">
            <v xml:space="preserve">SHIRLIYINE AKINYI </v>
          </cell>
        </row>
        <row r="175">
          <cell r="A175" t="str">
            <v>LG18008</v>
          </cell>
          <cell r="B175" t="str">
            <v>Shirley Phelyster Omware</v>
          </cell>
        </row>
        <row r="176">
          <cell r="A176" t="str">
            <v>LG25056</v>
          </cell>
          <cell r="B176" t="str">
            <v>Shirley Jepkosgei Rotich</v>
          </cell>
        </row>
        <row r="177">
          <cell r="A177" t="str">
            <v>LG25057</v>
          </cell>
          <cell r="B177" t="str">
            <v xml:space="preserve">Sherice Nyevu Thoya </v>
          </cell>
        </row>
        <row r="178">
          <cell r="A178" t="str">
            <v>AB011JP</v>
          </cell>
          <cell r="B178" t="str">
            <v>Sheila Ndegwa</v>
          </cell>
        </row>
        <row r="179">
          <cell r="A179" t="str">
            <v>AB018LO</v>
          </cell>
          <cell r="B179" t="str">
            <v>Sheila Adhiambo</v>
          </cell>
        </row>
        <row r="180">
          <cell r="A180" t="str">
            <v>LG13522</v>
          </cell>
          <cell r="B180" t="str">
            <v>Sharron Atieno Mathews</v>
          </cell>
        </row>
        <row r="181">
          <cell r="A181" t="str">
            <v>AB020E2</v>
          </cell>
          <cell r="B181" t="str">
            <v>Sharon Waturi Ndirangu</v>
          </cell>
        </row>
        <row r="182">
          <cell r="A182" t="str">
            <v>AB026UP</v>
          </cell>
          <cell r="B182" t="str">
            <v>Sharon Wathiri</v>
          </cell>
        </row>
        <row r="183">
          <cell r="A183" t="str">
            <v>LG24757</v>
          </cell>
          <cell r="B183" t="str">
            <v>Sharon Nyamaera</v>
          </cell>
        </row>
        <row r="184">
          <cell r="A184" t="str">
            <v>AB016L1</v>
          </cell>
          <cell r="B184" t="str">
            <v>Sharon Adhiambo</v>
          </cell>
        </row>
        <row r="185">
          <cell r="A185" t="str">
            <v>LG23521</v>
          </cell>
          <cell r="B185" t="str">
            <v>Sharon  Mwanza</v>
          </cell>
        </row>
        <row r="186">
          <cell r="A186" t="str">
            <v>LG25059</v>
          </cell>
          <cell r="B186" t="str">
            <v xml:space="preserve">Sharifa Mohamed Zito </v>
          </cell>
        </row>
        <row r="187">
          <cell r="A187" t="str">
            <v>LG17159</v>
          </cell>
          <cell r="B187" t="str">
            <v>Shamilah Jepkoech Tomno</v>
          </cell>
        </row>
        <row r="188">
          <cell r="A188" t="str">
            <v>LG23015</v>
          </cell>
          <cell r="B188" t="str">
            <v>Shallyne Jerotich Koech</v>
          </cell>
        </row>
        <row r="189">
          <cell r="A189" t="str">
            <v>BB05531</v>
          </cell>
          <cell r="B189" t="str">
            <v>Shadrack Omboga Namba</v>
          </cell>
        </row>
        <row r="190">
          <cell r="A190" t="str">
            <v>BB5531</v>
          </cell>
          <cell r="B190" t="str">
            <v xml:space="preserve">Shadrack Namba </v>
          </cell>
        </row>
        <row r="191">
          <cell r="A191" t="str">
            <v>LG25454</v>
          </cell>
          <cell r="B191" t="str">
            <v>Shadrack Machungu Bunyige</v>
          </cell>
        </row>
        <row r="192">
          <cell r="A192" t="str">
            <v>BB20588</v>
          </cell>
          <cell r="B192" t="str">
            <v>Shaban  Khamis</v>
          </cell>
        </row>
        <row r="193">
          <cell r="A193" t="str">
            <v>AB024TP</v>
          </cell>
          <cell r="B193" t="str">
            <v>Seth Ndirangu</v>
          </cell>
        </row>
        <row r="194">
          <cell r="A194" t="str">
            <v>AB019Z4</v>
          </cell>
          <cell r="B194" t="str">
            <v>Seth Mutiso</v>
          </cell>
        </row>
        <row r="195">
          <cell r="A195" t="str">
            <v>AB0154U</v>
          </cell>
          <cell r="B195" t="str">
            <v xml:space="preserve">Seraphine Mutunga </v>
          </cell>
        </row>
        <row r="196">
          <cell r="A196" t="str">
            <v>BB07959</v>
          </cell>
          <cell r="B196" t="str">
            <v>Serah Muthui</v>
          </cell>
        </row>
        <row r="197">
          <cell r="A197" t="str">
            <v>LG22274</v>
          </cell>
          <cell r="B197" t="str">
            <v>Senitor  Birai</v>
          </cell>
        </row>
        <row r="198">
          <cell r="A198" t="str">
            <v>MKL0587</v>
          </cell>
          <cell r="B198" t="str">
            <v>Sawoyo,Leonard Osinyu Ole Teleyio</v>
          </cell>
        </row>
        <row r="199">
          <cell r="A199" t="str">
            <v>BB16525</v>
          </cell>
          <cell r="B199" t="str">
            <v>Saria Norman Dancun</v>
          </cell>
        </row>
        <row r="200">
          <cell r="A200" t="str">
            <v>LG16529</v>
          </cell>
          <cell r="B200" t="str">
            <v>Sarah Wanjiku Wanjohi</v>
          </cell>
        </row>
        <row r="201">
          <cell r="A201" t="str">
            <v>BB25186</v>
          </cell>
          <cell r="B201" t="str">
            <v>Sarah Njuki</v>
          </cell>
        </row>
        <row r="202">
          <cell r="A202" t="str">
            <v>BB19546</v>
          </cell>
          <cell r="B202" t="str">
            <v>Sarah Ndaisi Kimeu</v>
          </cell>
        </row>
        <row r="203">
          <cell r="A203" t="str">
            <v>LG24398</v>
          </cell>
          <cell r="B203" t="str">
            <v>Sarah Aluoch Ochola</v>
          </cell>
        </row>
        <row r="204">
          <cell r="A204" t="str">
            <v>LG21884</v>
          </cell>
          <cell r="B204" t="str">
            <v>Sarah  Kanjigi</v>
          </cell>
        </row>
        <row r="205">
          <cell r="A205" t="str">
            <v>LG18052</v>
          </cell>
          <cell r="B205" t="str">
            <v>Sarah  Chebet</v>
          </cell>
        </row>
        <row r="206">
          <cell r="A206" t="str">
            <v>BB06114</v>
          </cell>
          <cell r="B206" t="str">
            <v>Sandra Wanza Mbuli</v>
          </cell>
        </row>
        <row r="207">
          <cell r="A207" t="str">
            <v>MKL0633</v>
          </cell>
          <cell r="B207" t="str">
            <v>Samwel, Lucy Kathure</v>
          </cell>
        </row>
        <row r="208">
          <cell r="A208" t="str">
            <v>LG23334</v>
          </cell>
          <cell r="B208" t="str">
            <v>Samuel Wango Githura</v>
          </cell>
        </row>
        <row r="209">
          <cell r="A209" t="str">
            <v>LG23242</v>
          </cell>
          <cell r="B209" t="str">
            <v>Samuel Ndungu Mwangi</v>
          </cell>
        </row>
        <row r="210">
          <cell r="A210" t="str">
            <v>BB23242</v>
          </cell>
          <cell r="B210" t="str">
            <v>Samuel Ndungu Mwangi</v>
          </cell>
        </row>
        <row r="211">
          <cell r="A211" t="str">
            <v>AB025OV</v>
          </cell>
          <cell r="B211" t="str">
            <v>Samuel Mwendwa Maingi</v>
          </cell>
        </row>
        <row r="212">
          <cell r="A212" t="str">
            <v>ABSMBJA</v>
          </cell>
          <cell r="B212" t="str">
            <v>Samuel Munyiri</v>
          </cell>
        </row>
        <row r="213">
          <cell r="A213" t="str">
            <v>LG24325</v>
          </cell>
          <cell r="B213" t="str">
            <v>Samuel Kimondiu Kitavi</v>
          </cell>
        </row>
        <row r="214">
          <cell r="A214" t="str">
            <v>5184</v>
          </cell>
          <cell r="B214" t="str">
            <v>Samuel Hope Mwanga</v>
          </cell>
        </row>
        <row r="215">
          <cell r="A215" t="str">
            <v>AB02058</v>
          </cell>
          <cell r="B215" t="str">
            <v>Samuel Gitau</v>
          </cell>
        </row>
        <row r="216">
          <cell r="A216" t="str">
            <v>AB0228W</v>
          </cell>
          <cell r="B216" t="str">
            <v>Samson Safari Gohu</v>
          </cell>
        </row>
        <row r="217">
          <cell r="A217" t="str">
            <v>BB09421</v>
          </cell>
          <cell r="B217" t="str">
            <v>Samson Ogaro Ongeri</v>
          </cell>
        </row>
        <row r="218">
          <cell r="A218" t="str">
            <v>BB17518</v>
          </cell>
          <cell r="B218" t="str">
            <v>Samson Mwathi</v>
          </cell>
        </row>
        <row r="219">
          <cell r="A219" t="str">
            <v>AB01726</v>
          </cell>
          <cell r="B219" t="str">
            <v>Sammy Ambesha</v>
          </cell>
        </row>
        <row r="220">
          <cell r="A220" t="str">
            <v>LG24923</v>
          </cell>
          <cell r="B220" t="str">
            <v>Safia Abdullahi Dubat</v>
          </cell>
        </row>
        <row r="221">
          <cell r="A221" t="str">
            <v>LG14798</v>
          </cell>
          <cell r="B221" t="str">
            <v>Sabina Achieng Kunga</v>
          </cell>
        </row>
        <row r="222">
          <cell r="A222" t="str">
            <v>LG19316</v>
          </cell>
          <cell r="B222" t="str">
            <v>Ruth Wanja Maina</v>
          </cell>
        </row>
        <row r="223">
          <cell r="A223" t="str">
            <v>LG17571</v>
          </cell>
          <cell r="B223" t="str">
            <v>Ruth Wambani Kimunguyi</v>
          </cell>
        </row>
        <row r="224">
          <cell r="A224" t="str">
            <v>LG23332</v>
          </cell>
          <cell r="B224" t="str">
            <v>Ruth Nduta Wanjohi</v>
          </cell>
        </row>
        <row r="225">
          <cell r="A225" t="str">
            <v>AB023AO</v>
          </cell>
          <cell r="B225" t="str">
            <v>Ruth Nderitu</v>
          </cell>
        </row>
        <row r="226">
          <cell r="A226" t="str">
            <v>AB019LC</v>
          </cell>
          <cell r="B226" t="str">
            <v>Ruth Nasipwoni Mukuusi</v>
          </cell>
        </row>
        <row r="227">
          <cell r="A227" t="str">
            <v>LG24397</v>
          </cell>
          <cell r="B227" t="str">
            <v>Ruth Muthoni Ngeru</v>
          </cell>
        </row>
        <row r="228">
          <cell r="A228" t="str">
            <v>LG15382</v>
          </cell>
          <cell r="B228" t="str">
            <v>Ruth Mutheu Mulua</v>
          </cell>
        </row>
        <row r="229">
          <cell r="A229" t="str">
            <v>AB019QY</v>
          </cell>
          <cell r="B229" t="str">
            <v>Ruth Kihumbi</v>
          </cell>
        </row>
        <row r="230">
          <cell r="A230" t="str">
            <v>BB14971</v>
          </cell>
          <cell r="B230" t="str">
            <v>Ruth Chirchir</v>
          </cell>
        </row>
        <row r="231">
          <cell r="A231" t="str">
            <v>AB0263E</v>
          </cell>
          <cell r="B231" t="str">
            <v>Ruth Ajowi</v>
          </cell>
        </row>
        <row r="232">
          <cell r="A232" t="str">
            <v>LG15770</v>
          </cell>
          <cell r="B232" t="str">
            <v>Rosemary Wanjeri Karwe</v>
          </cell>
        </row>
        <row r="233">
          <cell r="A233" t="str">
            <v>LG25090</v>
          </cell>
          <cell r="B233" t="str">
            <v>Rosemary Adongo Arrogo</v>
          </cell>
        </row>
        <row r="234">
          <cell r="A234" t="str">
            <v>BB06293</v>
          </cell>
          <cell r="B234" t="str">
            <v>Roselyne Aseyo Agade</v>
          </cell>
        </row>
        <row r="235">
          <cell r="A235" t="str">
            <v>LG23432</v>
          </cell>
          <cell r="B235" t="str">
            <v>Roselyne  Mwangi</v>
          </cell>
        </row>
        <row r="236">
          <cell r="A236" t="str">
            <v>BM04787</v>
          </cell>
          <cell r="B236" t="str">
            <v>Roseline Ochola</v>
          </cell>
        </row>
        <row r="237">
          <cell r="A237" t="str">
            <v>ABRO128</v>
          </cell>
          <cell r="B237" t="str">
            <v>Roseline Ochola</v>
          </cell>
        </row>
        <row r="238">
          <cell r="A238" t="str">
            <v>LG06411</v>
          </cell>
          <cell r="B238" t="str">
            <v>Roseline Anyango Othigo</v>
          </cell>
        </row>
        <row r="239">
          <cell r="A239" t="str">
            <v>LG09524</v>
          </cell>
          <cell r="B239" t="str">
            <v>Rose Wanyonyi</v>
          </cell>
        </row>
        <row r="240">
          <cell r="A240" t="str">
            <v>AB025OO</v>
          </cell>
          <cell r="B240" t="str">
            <v>Rose Wangui Gakobo</v>
          </cell>
        </row>
        <row r="241">
          <cell r="A241" t="str">
            <v>LG09524</v>
          </cell>
          <cell r="B241" t="str">
            <v>Rose Mwikali Wanyonyi</v>
          </cell>
        </row>
        <row r="242">
          <cell r="A242" t="str">
            <v>AB0297W</v>
          </cell>
          <cell r="B242" t="str">
            <v>Rose Muthee</v>
          </cell>
        </row>
        <row r="243">
          <cell r="A243" t="str">
            <v>LG20186</v>
          </cell>
          <cell r="B243" t="str">
            <v>Rose Mumbi Muinde</v>
          </cell>
        </row>
        <row r="244">
          <cell r="A244" t="str">
            <v>BB22553</v>
          </cell>
          <cell r="B244" t="str">
            <v>Rose Mogotu Osano</v>
          </cell>
        </row>
        <row r="245">
          <cell r="A245" t="str">
            <v>LG17002</v>
          </cell>
          <cell r="B245" t="str">
            <v>Rose Mbatha Nzeki</v>
          </cell>
        </row>
        <row r="246">
          <cell r="A246" t="str">
            <v>MKL0602</v>
          </cell>
          <cell r="B246" t="str">
            <v>Rono, Eric Kibet</v>
          </cell>
        </row>
        <row r="247">
          <cell r="A247" t="str">
            <v>LG21111</v>
          </cell>
          <cell r="B247" t="str">
            <v>Ronald JEREMIAH Nabwera</v>
          </cell>
        </row>
        <row r="248">
          <cell r="A248" t="str">
            <v>ABRO159</v>
          </cell>
          <cell r="B248" t="str">
            <v>Rogers Tony  Odhiambo otieno</v>
          </cell>
        </row>
        <row r="249">
          <cell r="A249" t="str">
            <v>LG24587</v>
          </cell>
          <cell r="B249" t="str">
            <v>Rodgers Otieno</v>
          </cell>
        </row>
        <row r="250">
          <cell r="A250" t="str">
            <v>AB017VF</v>
          </cell>
          <cell r="B250" t="str">
            <v>Rodah Mutie</v>
          </cell>
        </row>
        <row r="251">
          <cell r="A251" t="str">
            <v>LG24646</v>
          </cell>
          <cell r="B251" t="str">
            <v>Robly Kiptoo Cheruiyot</v>
          </cell>
        </row>
        <row r="252">
          <cell r="A252" t="str">
            <v>AB011NZ</v>
          </cell>
          <cell r="B252" t="str">
            <v>Robinson Mutahi</v>
          </cell>
        </row>
        <row r="253">
          <cell r="A253" t="str">
            <v>LG18064</v>
          </cell>
          <cell r="B253" t="str">
            <v>Robinson Kiprop Kirwa</v>
          </cell>
        </row>
        <row r="254">
          <cell r="A254" t="str">
            <v>BB11890</v>
          </cell>
          <cell r="B254" t="str">
            <v>Robina N Onyinkwa</v>
          </cell>
        </row>
        <row r="255">
          <cell r="A255" t="str">
            <v>AB019HX</v>
          </cell>
          <cell r="B255" t="str">
            <v>Robert Simiyu Makokha</v>
          </cell>
        </row>
        <row r="256">
          <cell r="A256" t="str">
            <v>LG20210</v>
          </cell>
          <cell r="B256" t="str">
            <v>Robert Macharia Ndungu</v>
          </cell>
        </row>
        <row r="257">
          <cell r="A257" t="str">
            <v>LG19283</v>
          </cell>
          <cell r="B257" t="str">
            <v>Robert  Amuravu</v>
          </cell>
        </row>
        <row r="258">
          <cell r="A258" t="str">
            <v>LG18588</v>
          </cell>
          <cell r="B258" t="str">
            <v>Rita  Njeri</v>
          </cell>
        </row>
        <row r="259">
          <cell r="A259" t="str">
            <v>BB25128</v>
          </cell>
          <cell r="B259" t="str">
            <v xml:space="preserve">Rishit Chudasama </v>
          </cell>
        </row>
        <row r="260">
          <cell r="A260" t="str">
            <v>LG25606</v>
          </cell>
          <cell r="B260" t="str">
            <v xml:space="preserve">Rhoda Wekesa </v>
          </cell>
        </row>
        <row r="261">
          <cell r="A261" t="str">
            <v>LG21683</v>
          </cell>
          <cell r="B261" t="str">
            <v>Reuben Warui Ngugi</v>
          </cell>
        </row>
        <row r="262">
          <cell r="A262" t="str">
            <v>BB06577</v>
          </cell>
          <cell r="B262" t="str">
            <v>Reuben Langat</v>
          </cell>
        </row>
        <row r="263">
          <cell r="A263" t="str">
            <v>AB026P5</v>
          </cell>
          <cell r="B263" t="str">
            <v>Reuben Kuria Kimani</v>
          </cell>
        </row>
        <row r="264">
          <cell r="A264" t="str">
            <v>LG24528</v>
          </cell>
          <cell r="B264" t="str">
            <v>Rehema Wanjala</v>
          </cell>
        </row>
        <row r="265">
          <cell r="A265" t="str">
            <v>LG23299</v>
          </cell>
          <cell r="B265" t="str">
            <v>Rebecca Kinyagho Mwairuwa</v>
          </cell>
        </row>
        <row r="266">
          <cell r="A266" t="str">
            <v>AB024OX</v>
          </cell>
          <cell r="B266" t="str">
            <v>Reagan Odhiambo</v>
          </cell>
        </row>
        <row r="267">
          <cell r="A267" t="str">
            <v>LG24578</v>
          </cell>
          <cell r="B267" t="str">
            <v>Rawlings Okwaro Muyela</v>
          </cell>
        </row>
        <row r="268">
          <cell r="A268" t="str">
            <v>LG21819</v>
          </cell>
          <cell r="B268" t="str">
            <v>Rashid  Hussein</v>
          </cell>
        </row>
        <row r="269">
          <cell r="A269" t="str">
            <v>LG18853</v>
          </cell>
          <cell r="B269" t="str">
            <v>Raphael Ronald Nyagwencha Mose</v>
          </cell>
        </row>
        <row r="270">
          <cell r="A270" t="str">
            <v>LG24863</v>
          </cell>
          <cell r="B270" t="str">
            <v xml:space="preserve">Ramla Abdirashid Mohamed </v>
          </cell>
        </row>
        <row r="271">
          <cell r="A271" t="str">
            <v>AB026BW</v>
          </cell>
          <cell r="B271" t="str">
            <v>Rahab Kimani</v>
          </cell>
        </row>
        <row r="272">
          <cell r="A272" t="str">
            <v>AB0202S</v>
          </cell>
          <cell r="B272" t="str">
            <v>Rahab Gichure</v>
          </cell>
        </row>
        <row r="273">
          <cell r="A273" t="str">
            <v>ABRMAEU</v>
          </cell>
          <cell r="B273" t="str">
            <v>Rahab Gathoni</v>
          </cell>
        </row>
        <row r="274">
          <cell r="A274" t="str">
            <v>LG23305</v>
          </cell>
          <cell r="B274" t="str">
            <v>Rael  Jepchumba</v>
          </cell>
        </row>
        <row r="275">
          <cell r="A275" t="str">
            <v>ABRJ270</v>
          </cell>
          <cell r="B275" t="str">
            <v>Rael  Jepchumba</v>
          </cell>
        </row>
        <row r="276">
          <cell r="A276" t="str">
            <v>LG25087</v>
          </cell>
          <cell r="B276" t="str">
            <v xml:space="preserve">Rachel Wanjiru Nduati </v>
          </cell>
        </row>
        <row r="277">
          <cell r="A277" t="str">
            <v>AB020JF</v>
          </cell>
          <cell r="B277" t="str">
            <v>Rachel Seba Kibusio</v>
          </cell>
        </row>
        <row r="278">
          <cell r="A278" t="str">
            <v>LG15269</v>
          </cell>
          <cell r="B278" t="str">
            <v>Rachel Muthoni Mwangi</v>
          </cell>
        </row>
        <row r="279">
          <cell r="A279" t="str">
            <v>BB15269</v>
          </cell>
          <cell r="B279" t="str">
            <v>Rachel Muthoni Mwangi</v>
          </cell>
        </row>
        <row r="280">
          <cell r="A280" t="str">
            <v>LG24257</v>
          </cell>
          <cell r="B280" t="str">
            <v xml:space="preserve">Rachael Wanjiru Njeri </v>
          </cell>
        </row>
        <row r="281">
          <cell r="A281" t="str">
            <v>AB019QX</v>
          </cell>
          <cell r="B281" t="str">
            <v>Rachael Nduulu</v>
          </cell>
        </row>
        <row r="282">
          <cell r="A282" t="str">
            <v>BB04628</v>
          </cell>
          <cell r="B282" t="str">
            <v>Rachael Kibii Tarus</v>
          </cell>
        </row>
        <row r="283">
          <cell r="A283" t="str">
            <v>LG22373</v>
          </cell>
          <cell r="B283" t="str">
            <v>Rachael  Muthama</v>
          </cell>
        </row>
        <row r="284">
          <cell r="A284" t="str">
            <v>BB05613</v>
          </cell>
          <cell r="B284" t="str">
            <v>Purity Wanjiru Mwangi</v>
          </cell>
        </row>
        <row r="285">
          <cell r="A285" t="str">
            <v>BB13476</v>
          </cell>
          <cell r="B285" t="str">
            <v>Purity Wamuyu Kiama</v>
          </cell>
        </row>
        <row r="286">
          <cell r="A286" t="str">
            <v>AB017WH</v>
          </cell>
          <cell r="B286" t="str">
            <v>Purity Nkrote Muthomi</v>
          </cell>
        </row>
        <row r="287">
          <cell r="A287" t="str">
            <v>BB14763</v>
          </cell>
          <cell r="B287" t="str">
            <v>Purity Nkirote Muthuri</v>
          </cell>
        </row>
        <row r="288">
          <cell r="A288" t="str">
            <v>LG23116</v>
          </cell>
          <cell r="B288" t="str">
            <v>Purity Njoki Karani</v>
          </cell>
        </row>
        <row r="289">
          <cell r="A289" t="str">
            <v>AB019MI</v>
          </cell>
          <cell r="B289" t="str">
            <v>Purity Musili</v>
          </cell>
        </row>
        <row r="290">
          <cell r="A290" t="str">
            <v>AB017WO</v>
          </cell>
          <cell r="B290" t="str">
            <v>Prudence Mwendwa</v>
          </cell>
        </row>
        <row r="291">
          <cell r="A291" t="str">
            <v>AB018G7</v>
          </cell>
          <cell r="B291" t="str">
            <v>Priscilla Kimiri</v>
          </cell>
        </row>
        <row r="292">
          <cell r="A292" t="str">
            <v>LG20818</v>
          </cell>
          <cell r="B292" t="str">
            <v>Prisca WAIRIMU Nyokabi</v>
          </cell>
        </row>
        <row r="293">
          <cell r="A293" t="str">
            <v>LG20495</v>
          </cell>
          <cell r="B293" t="str">
            <v>Prisca Tamala Imbiaka</v>
          </cell>
        </row>
        <row r="294">
          <cell r="A294" t="str">
            <v>LG11904</v>
          </cell>
          <cell r="B294" t="str">
            <v>Praxedis Khayechia Mutsami</v>
          </cell>
        </row>
        <row r="295">
          <cell r="A295" t="str">
            <v>LG14476</v>
          </cell>
          <cell r="B295" t="str">
            <v>Phyllis Moraa Moseti</v>
          </cell>
        </row>
        <row r="296">
          <cell r="A296" t="str">
            <v>LG24595</v>
          </cell>
          <cell r="B296" t="str">
            <v>Phoebe Karimi Gitonga</v>
          </cell>
        </row>
        <row r="297">
          <cell r="A297" t="str">
            <v>LG12163</v>
          </cell>
          <cell r="B297" t="str">
            <v>Philip Otieno Ochieng</v>
          </cell>
        </row>
        <row r="298">
          <cell r="A298" t="str">
            <v>AB023JB</v>
          </cell>
          <cell r="B298" t="str">
            <v>Philip Mbokomu</v>
          </cell>
        </row>
        <row r="299">
          <cell r="A299" t="str">
            <v>AB020Z3</v>
          </cell>
          <cell r="B299" t="str">
            <v>Philip Koech</v>
          </cell>
        </row>
        <row r="300">
          <cell r="A300" t="str">
            <v>LG22322</v>
          </cell>
          <cell r="B300" t="str">
            <v>Phenny  Ouma</v>
          </cell>
        </row>
        <row r="301">
          <cell r="A301" t="str">
            <v>LG25046</v>
          </cell>
          <cell r="B301" t="str">
            <v xml:space="preserve">Petronila Awuor Opondo </v>
          </cell>
        </row>
        <row r="302">
          <cell r="A302" t="str">
            <v>LG18228</v>
          </cell>
          <cell r="B302" t="str">
            <v>Petronila Abakalwa Atila</v>
          </cell>
        </row>
        <row r="303">
          <cell r="A303" t="str">
            <v>MKL0547</v>
          </cell>
          <cell r="B303" t="str">
            <v>Peter, Jackson Muthoka</v>
          </cell>
        </row>
        <row r="304">
          <cell r="A304" t="str">
            <v>LG15297</v>
          </cell>
          <cell r="B304" t="str">
            <v>Peter Thuo Karemi</v>
          </cell>
        </row>
        <row r="305">
          <cell r="A305" t="str">
            <v>LG06696</v>
          </cell>
          <cell r="B305" t="str">
            <v xml:space="preserve">Peter Ochieng </v>
          </cell>
        </row>
        <row r="306">
          <cell r="A306" t="str">
            <v>ABPMAMV</v>
          </cell>
          <cell r="B306" t="str">
            <v>Peter Ngui Musee</v>
          </cell>
        </row>
        <row r="307">
          <cell r="A307" t="str">
            <v>LG25235</v>
          </cell>
          <cell r="B307" t="str">
            <v xml:space="preserve">Peter Mwololo Kimolo </v>
          </cell>
        </row>
        <row r="308">
          <cell r="A308" t="str">
            <v>LG24529</v>
          </cell>
          <cell r="B308" t="str">
            <v>Peter Mwaura Kiarie</v>
          </cell>
        </row>
        <row r="309">
          <cell r="A309" t="str">
            <v>AB0203S</v>
          </cell>
          <cell r="B309" t="str">
            <v>Peter Mburu Muniu</v>
          </cell>
        </row>
        <row r="310">
          <cell r="A310" t="str">
            <v>ABPMAMU</v>
          </cell>
          <cell r="B310" t="str">
            <v>Peter Mburu</v>
          </cell>
        </row>
        <row r="311">
          <cell r="A311" t="str">
            <v>LG13009</v>
          </cell>
          <cell r="B311" t="str">
            <v>Peter Maina Kariuki</v>
          </cell>
        </row>
        <row r="312">
          <cell r="A312" t="str">
            <v>AB019HN</v>
          </cell>
          <cell r="B312" t="str">
            <v>Peter Kwena</v>
          </cell>
        </row>
        <row r="313">
          <cell r="A313" t="str">
            <v>LG17700</v>
          </cell>
          <cell r="B313" t="str">
            <v>Peter Kiogora Muthuri</v>
          </cell>
        </row>
        <row r="314">
          <cell r="A314" t="str">
            <v>LG18499</v>
          </cell>
          <cell r="B314" t="str">
            <v>Peter Karenya Njeri</v>
          </cell>
        </row>
        <row r="315">
          <cell r="A315" t="str">
            <v>LG18449</v>
          </cell>
          <cell r="B315" t="str">
            <v>Peter Karenge Njeri</v>
          </cell>
        </row>
        <row r="316">
          <cell r="A316" t="str">
            <v>BB15502</v>
          </cell>
          <cell r="B316" t="str">
            <v>Peter Karanja Wangai</v>
          </cell>
        </row>
        <row r="317">
          <cell r="A317" t="str">
            <v>LG23423</v>
          </cell>
          <cell r="B317" t="str">
            <v>Peter Kago Mburu</v>
          </cell>
        </row>
        <row r="318">
          <cell r="A318" t="str">
            <v>BB06200</v>
          </cell>
          <cell r="B318" t="str">
            <v>Peter Endoveliah Bosse</v>
          </cell>
        </row>
        <row r="319">
          <cell r="A319" t="str">
            <v>AB0250W</v>
          </cell>
          <cell r="B319" t="str">
            <v>Perpetua Wambui Mwangi</v>
          </cell>
        </row>
        <row r="320">
          <cell r="A320" t="str">
            <v>AB025OW</v>
          </cell>
          <cell r="B320" t="str">
            <v>Perpetua Wambui Mwangi</v>
          </cell>
        </row>
        <row r="321">
          <cell r="A321" t="str">
            <v>LG17213</v>
          </cell>
          <cell r="B321" t="str">
            <v>Peris Waitherero Muriuki</v>
          </cell>
        </row>
        <row r="322">
          <cell r="A322" t="str">
            <v>LG19843</v>
          </cell>
          <cell r="B322" t="str">
            <v>Peris Wairimu Muhia</v>
          </cell>
        </row>
        <row r="323">
          <cell r="A323" t="str">
            <v>LG23294</v>
          </cell>
          <cell r="B323" t="str">
            <v>Peris Simbe Anusu</v>
          </cell>
        </row>
        <row r="324">
          <cell r="A324" t="str">
            <v>BB17213</v>
          </cell>
          <cell r="B324" t="str">
            <v>Peris Muriuki</v>
          </cell>
        </row>
        <row r="325">
          <cell r="A325" t="str">
            <v>AB021N4</v>
          </cell>
          <cell r="B325" t="str">
            <v>Penninah Chege</v>
          </cell>
        </row>
        <row r="326">
          <cell r="A326" t="str">
            <v>BB19812</v>
          </cell>
          <cell r="B326" t="str">
            <v>Penninah Auma Pamba</v>
          </cell>
        </row>
        <row r="327">
          <cell r="A327" t="str">
            <v>LG16802</v>
          </cell>
          <cell r="B327" t="str">
            <v xml:space="preserve">Peninah Wanjiru Kamau </v>
          </cell>
        </row>
        <row r="328">
          <cell r="A328" t="str">
            <v>LG24249</v>
          </cell>
          <cell r="B328" t="str">
            <v>Peninah Murimi</v>
          </cell>
        </row>
        <row r="329">
          <cell r="A329" t="str">
            <v>AB019QW</v>
          </cell>
          <cell r="B329" t="str">
            <v>Peninah Mbithi</v>
          </cell>
        </row>
        <row r="330">
          <cell r="A330" t="str">
            <v>LG24296</v>
          </cell>
          <cell r="B330" t="str">
            <v>Peninah Gathigia Murimi</v>
          </cell>
        </row>
        <row r="331">
          <cell r="A331" t="str">
            <v>AB020NA</v>
          </cell>
          <cell r="B331" t="str">
            <v>Pauline Wamugunda</v>
          </cell>
        </row>
        <row r="332">
          <cell r="A332" t="str">
            <v>AB027C0</v>
          </cell>
          <cell r="B332" t="str">
            <v>Pauline Wairimu</v>
          </cell>
        </row>
        <row r="333">
          <cell r="A333" t="str">
            <v>AB027CO</v>
          </cell>
          <cell r="B333" t="str">
            <v>Pauline Ngina</v>
          </cell>
        </row>
        <row r="334">
          <cell r="A334" t="str">
            <v>LG23297</v>
          </cell>
          <cell r="B334" t="str">
            <v>Pauline Mueni Mutua</v>
          </cell>
        </row>
        <row r="335">
          <cell r="A335" t="str">
            <v>BB23297</v>
          </cell>
          <cell r="B335" t="str">
            <v>Pauline Mueni Mutua</v>
          </cell>
        </row>
        <row r="336">
          <cell r="A336" t="str">
            <v>AB02979</v>
          </cell>
          <cell r="B336" t="str">
            <v>Pauline Maina</v>
          </cell>
        </row>
        <row r="337">
          <cell r="A337" t="str">
            <v>LG19907</v>
          </cell>
          <cell r="B337" t="str">
            <v>Pauline kerubo Nyabuga</v>
          </cell>
        </row>
        <row r="338">
          <cell r="A338" t="str">
            <v>LG20100</v>
          </cell>
          <cell r="B338" t="str">
            <v>Pauline Kanini Muvya</v>
          </cell>
        </row>
        <row r="339">
          <cell r="A339" t="str">
            <v>BB06527</v>
          </cell>
          <cell r="B339" t="str">
            <v>Pauline Gathoni Mburu</v>
          </cell>
        </row>
        <row r="340">
          <cell r="A340" t="str">
            <v>AB019IF</v>
          </cell>
          <cell r="B340" t="str">
            <v>Paul Orwa</v>
          </cell>
        </row>
        <row r="341">
          <cell r="A341" t="str">
            <v>AB019VW</v>
          </cell>
          <cell r="B341" t="str">
            <v>Paul Olela</v>
          </cell>
        </row>
        <row r="342">
          <cell r="A342" t="str">
            <v>BB9546</v>
          </cell>
          <cell r="B342" t="str">
            <v>Paul Ogutu</v>
          </cell>
        </row>
        <row r="343">
          <cell r="A343" t="str">
            <v>LG13001</v>
          </cell>
          <cell r="B343" t="str">
            <v>Paul Oduma Oduge</v>
          </cell>
        </row>
        <row r="344">
          <cell r="A344" t="str">
            <v>LG24584</v>
          </cell>
          <cell r="B344" t="str">
            <v>Paul Odhiambo Oketch</v>
          </cell>
        </row>
        <row r="345">
          <cell r="A345" t="str">
            <v>LG23128</v>
          </cell>
          <cell r="B345" t="str">
            <v>Paul Mbugua Thini</v>
          </cell>
        </row>
        <row r="346">
          <cell r="A346" t="str">
            <v>BB05849</v>
          </cell>
          <cell r="B346" t="str">
            <v>Paul Mabeya Nyamari</v>
          </cell>
        </row>
        <row r="347">
          <cell r="A347" t="str">
            <v xml:space="preserve">ABPK281 </v>
          </cell>
          <cell r="B347" t="str">
            <v>Paul Kithuka</v>
          </cell>
        </row>
        <row r="348">
          <cell r="A348" t="str">
            <v>LG22099</v>
          </cell>
          <cell r="B348" t="str">
            <v>Paul Kioko Kioko</v>
          </cell>
        </row>
        <row r="349">
          <cell r="A349" t="str">
            <v>LG12361</v>
          </cell>
          <cell r="B349" t="str">
            <v>Paul Karanja Kamuhu</v>
          </cell>
        </row>
        <row r="350">
          <cell r="A350" t="str">
            <v>AB019RC</v>
          </cell>
          <cell r="B350" t="str">
            <v>Paul Kamuta</v>
          </cell>
        </row>
        <row r="351">
          <cell r="A351" t="str">
            <v>LG24417</v>
          </cell>
          <cell r="B351" t="str">
            <v>Paul Gikonyo Kagwima</v>
          </cell>
        </row>
        <row r="352">
          <cell r="A352" t="str">
            <v>LG19491</v>
          </cell>
          <cell r="B352" t="str">
            <v>Paul Gichangi Gachoki</v>
          </cell>
        </row>
        <row r="353">
          <cell r="A353" t="str">
            <v>LG24850</v>
          </cell>
          <cell r="B353" t="str">
            <v>PAUL GACHOKI KAGIRI</v>
          </cell>
        </row>
        <row r="354">
          <cell r="A354" t="str">
            <v>AB027I4</v>
          </cell>
          <cell r="B354" t="str">
            <v>Paul Endeki </v>
          </cell>
        </row>
        <row r="355">
          <cell r="A355" t="str">
            <v>AB025PL</v>
          </cell>
          <cell r="B355" t="str">
            <v>Paul Adagi</v>
          </cell>
        </row>
        <row r="356">
          <cell r="A356" t="str">
            <v>LG15609</v>
          </cell>
          <cell r="B356" t="str">
            <v>Paul  Odhiambo</v>
          </cell>
        </row>
        <row r="357">
          <cell r="A357" t="str">
            <v>LG25058</v>
          </cell>
          <cell r="B357" t="str">
            <v xml:space="preserve">Patrick Sikuku Andera </v>
          </cell>
        </row>
        <row r="358">
          <cell r="A358" t="str">
            <v>LG16726</v>
          </cell>
          <cell r="B358" t="str">
            <v>Patrick Mwololo Peter</v>
          </cell>
        </row>
        <row r="359">
          <cell r="A359" t="str">
            <v>LG24608</v>
          </cell>
          <cell r="B359" t="str">
            <v>Patrick Mutunga Mutia</v>
          </cell>
        </row>
        <row r="360">
          <cell r="A360" t="str">
            <v>LG24886</v>
          </cell>
          <cell r="B360" t="str">
            <v xml:space="preserve">Patrick Musyoki David </v>
          </cell>
        </row>
        <row r="361">
          <cell r="A361" t="str">
            <v>AB020E0</v>
          </cell>
          <cell r="B361" t="str">
            <v>Patrick Malombe</v>
          </cell>
        </row>
        <row r="362">
          <cell r="A362" t="str">
            <v>AB019NY</v>
          </cell>
          <cell r="B362" t="str">
            <v>Patrick Githire Wanja</v>
          </cell>
        </row>
        <row r="363">
          <cell r="A363" t="str">
            <v>BB07673</v>
          </cell>
          <cell r="B363" t="str">
            <v>Patrick Gathecha Karanja</v>
          </cell>
        </row>
        <row r="364">
          <cell r="A364" t="str">
            <v>HISA0009</v>
          </cell>
          <cell r="B364" t="str">
            <v>PATRICIA MWANZIA</v>
          </cell>
        </row>
        <row r="365">
          <cell r="A365" t="str">
            <v>AB019IE</v>
          </cell>
          <cell r="B365" t="str">
            <v>Patricia Mongina Manyinsa</v>
          </cell>
        </row>
        <row r="366">
          <cell r="A366" t="str">
            <v>BM03589</v>
          </cell>
          <cell r="B366" t="str">
            <v>Patricia Mburu</v>
          </cell>
        </row>
        <row r="367">
          <cell r="A367" t="str">
            <v>AB019IE</v>
          </cell>
          <cell r="B367" t="str">
            <v>Patricia Manyinsa</v>
          </cell>
        </row>
        <row r="368">
          <cell r="A368" t="str">
            <v>BB07121</v>
          </cell>
          <cell r="B368" t="str">
            <v>Pamela Akoth Otumba</v>
          </cell>
        </row>
        <row r="369">
          <cell r="A369" t="str">
            <v>LG23426</v>
          </cell>
          <cell r="B369" t="str">
            <v>Owuor Domnic Ojing</v>
          </cell>
        </row>
        <row r="370">
          <cell r="A370" t="str">
            <v>LG25030</v>
          </cell>
          <cell r="B370" t="str">
            <v xml:space="preserve">Otieno Odhiambo Julius </v>
          </cell>
        </row>
        <row r="371">
          <cell r="A371" t="str">
            <v>LG25096</v>
          </cell>
          <cell r="B371" t="str">
            <v>Otieno David Owuor</v>
          </cell>
        </row>
        <row r="372">
          <cell r="A372" t="str">
            <v>AB023B9</v>
          </cell>
          <cell r="B372" t="str">
            <v>Oscar Owino</v>
          </cell>
        </row>
        <row r="373">
          <cell r="A373" t="str">
            <v>LG24324</v>
          </cell>
          <cell r="B373" t="str">
            <v>Osborn Mwendwa Maleka</v>
          </cell>
        </row>
        <row r="374">
          <cell r="A374" t="str">
            <v>LG15773</v>
          </cell>
          <cell r="B374" t="str">
            <v>Osborn Moindi Nyaribo</v>
          </cell>
        </row>
        <row r="375">
          <cell r="A375" t="str">
            <v>BB18454</v>
          </cell>
          <cell r="B375" t="str">
            <v>Ooko John Evance</v>
          </cell>
        </row>
        <row r="376">
          <cell r="A376" t="str">
            <v>LG24340</v>
          </cell>
          <cell r="B376" t="str">
            <v xml:space="preserve">Onyango Geoffrey </v>
          </cell>
        </row>
        <row r="377">
          <cell r="A377" t="str">
            <v>HISA0015</v>
          </cell>
          <cell r="B377" t="str">
            <v>Onesmus Ngari</v>
          </cell>
        </row>
        <row r="378">
          <cell r="A378" t="str">
            <v>AB011FS</v>
          </cell>
          <cell r="B378" t="str">
            <v>Hillary Owiti</v>
          </cell>
        </row>
        <row r="379">
          <cell r="A379" t="str">
            <v>LG19347</v>
          </cell>
          <cell r="B379" t="str">
            <v>Omariba Nyariba Caleb</v>
          </cell>
        </row>
        <row r="380">
          <cell r="A380" t="str">
            <v>BB09438</v>
          </cell>
          <cell r="B380" t="str">
            <v>Omar Katambo</v>
          </cell>
        </row>
        <row r="381">
          <cell r="A381" t="str">
            <v>ABM02N6</v>
          </cell>
          <cell r="B381" t="str">
            <v>Omalla Molly</v>
          </cell>
        </row>
        <row r="382">
          <cell r="A382" t="str">
            <v>LG22858</v>
          </cell>
          <cell r="B382" t="str">
            <v>Oliver Kipruto Kimitei</v>
          </cell>
        </row>
        <row r="383">
          <cell r="A383" t="str">
            <v>LG21629</v>
          </cell>
          <cell r="B383" t="str">
            <v>Ogweno Samuel Odhiambo</v>
          </cell>
        </row>
        <row r="384">
          <cell r="A384" t="str">
            <v>AB011H9</v>
          </cell>
          <cell r="B384" t="str">
            <v>Ogada Victor Odhiambo</v>
          </cell>
        </row>
        <row r="385">
          <cell r="A385" t="str">
            <v>AB01911</v>
          </cell>
          <cell r="B385" t="str">
            <v>Odhiambo Daisy Odhiambo</v>
          </cell>
        </row>
        <row r="386">
          <cell r="A386" t="str">
            <v>AB019PC</v>
          </cell>
          <cell r="B386" t="str">
            <v>Norah Terah</v>
          </cell>
        </row>
        <row r="387">
          <cell r="A387" t="str">
            <v>LG25062</v>
          </cell>
          <cell r="B387" t="str">
            <v xml:space="preserve">Noline Akinyi Nyakure </v>
          </cell>
        </row>
        <row r="388">
          <cell r="A388" t="str">
            <v>ABNC339</v>
          </cell>
          <cell r="B388" t="str">
            <v>Noella Cheboi</v>
          </cell>
        </row>
        <row r="389">
          <cell r="A389" t="str">
            <v>AB022TH</v>
          </cell>
          <cell r="B389" t="str">
            <v>Nobert Wandera</v>
          </cell>
        </row>
        <row r="390">
          <cell r="A390" t="str">
            <v>MKL0485</v>
          </cell>
          <cell r="B390" t="str">
            <v>Njeru, Fredrick Mwangi</v>
          </cell>
        </row>
        <row r="391">
          <cell r="A391" t="str">
            <v>ABNR362</v>
          </cell>
          <cell r="B391" t="str">
            <v>Nina Kifani</v>
          </cell>
        </row>
        <row r="392">
          <cell r="A392" t="str">
            <v>LG19784</v>
          </cell>
          <cell r="B392" t="str">
            <v>Nictor Efeza Kabwoya</v>
          </cell>
        </row>
        <row r="393">
          <cell r="A393" t="str">
            <v>AB018GH</v>
          </cell>
          <cell r="B393" t="str">
            <v>Nicodemus Soma</v>
          </cell>
        </row>
        <row r="394">
          <cell r="A394" t="str">
            <v>AB019HC</v>
          </cell>
          <cell r="B394" t="str">
            <v>Nick Osumba</v>
          </cell>
        </row>
        <row r="395">
          <cell r="A395" t="str">
            <v>G04514399</v>
          </cell>
          <cell r="B395" t="str">
            <v>Nicholas Wangari Karanja</v>
          </cell>
        </row>
        <row r="396">
          <cell r="A396" t="str">
            <v>AB03108</v>
          </cell>
          <cell r="B396" t="str">
            <v>Nicholas Wangari</v>
          </cell>
        </row>
        <row r="397">
          <cell r="A397" t="str">
            <v>LG21591</v>
          </cell>
          <cell r="B397" t="str">
            <v>Nicholas Tinga Joseph</v>
          </cell>
        </row>
        <row r="398">
          <cell r="A398" t="str">
            <v>LG24527</v>
          </cell>
          <cell r="B398" t="str">
            <v>Nicholas Okonyo</v>
          </cell>
        </row>
        <row r="399">
          <cell r="A399" t="str">
            <v>LG10762</v>
          </cell>
          <cell r="B399" t="str">
            <v>Nicholas Mutua Musau</v>
          </cell>
        </row>
        <row r="400">
          <cell r="A400" t="str">
            <v>AB019GI</v>
          </cell>
          <cell r="B400" t="str">
            <v>Nicholas Muema</v>
          </cell>
        </row>
        <row r="401">
          <cell r="A401" t="str">
            <v>LG06290</v>
          </cell>
          <cell r="B401" t="str">
            <v>Nicholas John Senge Nicholas</v>
          </cell>
        </row>
        <row r="402">
          <cell r="A402" t="str">
            <v>LG24312</v>
          </cell>
          <cell r="B402" t="str">
            <v>Ngetich Laineki Brian</v>
          </cell>
        </row>
        <row r="403">
          <cell r="A403" t="str">
            <v>LG24596</v>
          </cell>
          <cell r="B403" t="str">
            <v>Nelson Amoni Onyach</v>
          </cell>
        </row>
        <row r="404">
          <cell r="A404" t="str">
            <v>AB019KA</v>
          </cell>
          <cell r="B404" t="str">
            <v>Nelly Machiuka</v>
          </cell>
        </row>
        <row r="405">
          <cell r="A405" t="str">
            <v>LG21607</v>
          </cell>
          <cell r="B405" t="str">
            <v>Neema Atieno Opere</v>
          </cell>
        </row>
        <row r="406">
          <cell r="A406" t="str">
            <v>AB0296U</v>
          </cell>
          <cell r="B406" t="str">
            <v>Ndomi Momanyi</v>
          </cell>
        </row>
        <row r="407">
          <cell r="A407" t="str">
            <v>MKL0305</v>
          </cell>
          <cell r="B407" t="str">
            <v>Nderitu, Grace Njeri</v>
          </cell>
        </row>
        <row r="408">
          <cell r="A408" t="str">
            <v>9300</v>
          </cell>
          <cell r="B408" t="str">
            <v>Naomi Wangui Nganga</v>
          </cell>
        </row>
        <row r="409">
          <cell r="A409" t="str">
            <v>LG20229</v>
          </cell>
          <cell r="B409" t="str">
            <v>Naomi Muthoni Mwangi</v>
          </cell>
        </row>
        <row r="410">
          <cell r="A410" t="str">
            <v>LG24914</v>
          </cell>
          <cell r="B410" t="str">
            <v xml:space="preserve">Naomi Mutheu Nguli </v>
          </cell>
        </row>
        <row r="411">
          <cell r="A411" t="str">
            <v>AB020B6</v>
          </cell>
          <cell r="B411" t="str">
            <v>Nanyanga Auma</v>
          </cell>
        </row>
        <row r="412">
          <cell r="A412" t="str">
            <v>AB018ET</v>
          </cell>
          <cell r="B412" t="str">
            <v>Nancy Wangui Wanjiru</v>
          </cell>
        </row>
        <row r="413">
          <cell r="A413" t="str">
            <v>BB12353</v>
          </cell>
          <cell r="B413" t="str">
            <v xml:space="preserve">Nancy Wambui </v>
          </cell>
        </row>
        <row r="414">
          <cell r="A414" t="str">
            <v>LG18861</v>
          </cell>
          <cell r="B414" t="str">
            <v>Nancy Waithera Mugwe</v>
          </cell>
        </row>
        <row r="415">
          <cell r="A415" t="str">
            <v>AB011JS</v>
          </cell>
          <cell r="B415" t="str">
            <v>Nancy Muteru</v>
          </cell>
        </row>
        <row r="416">
          <cell r="A416" t="str">
            <v>BB18861</v>
          </cell>
          <cell r="B416" t="str">
            <v>Nancy Mugwe</v>
          </cell>
        </row>
        <row r="417">
          <cell r="A417" t="str">
            <v>LG19116</v>
          </cell>
          <cell r="B417" t="str">
            <v>Nancy Lizzy Omusula</v>
          </cell>
        </row>
        <row r="418">
          <cell r="A418" t="str">
            <v>LG12997</v>
          </cell>
          <cell r="B418" t="str">
            <v>Nancy Koki Mulobi</v>
          </cell>
        </row>
        <row r="419">
          <cell r="A419" t="str">
            <v>BB14510</v>
          </cell>
          <cell r="B419" t="str">
            <v xml:space="preserve">Nancy Kaburu </v>
          </cell>
        </row>
        <row r="420">
          <cell r="A420" t="str">
            <v>LG24419</v>
          </cell>
          <cell r="B420" t="str">
            <v>Nancy Jepchumba Kibiwott</v>
          </cell>
        </row>
        <row r="421">
          <cell r="A421" t="str">
            <v>LG15537</v>
          </cell>
          <cell r="B421" t="str">
            <v>Nancy Chepkoech Ronoh</v>
          </cell>
        </row>
        <row r="422">
          <cell r="A422" t="str">
            <v>AB011FX</v>
          </cell>
          <cell r="B422" t="str">
            <v>Nancy Chari Mwanyawa</v>
          </cell>
        </row>
        <row r="423">
          <cell r="A423" t="str">
            <v>LG20331</v>
          </cell>
          <cell r="B423" t="str">
            <v>Nancy  Njeru</v>
          </cell>
        </row>
        <row r="424">
          <cell r="A424" t="str">
            <v>LG23321</v>
          </cell>
          <cell r="B424" t="str">
            <v>Nancy  Jelangat</v>
          </cell>
        </row>
        <row r="425">
          <cell r="A425" t="str">
            <v>BB06684</v>
          </cell>
          <cell r="B425" t="str">
            <v>Naftal Kasenge</v>
          </cell>
        </row>
        <row r="426">
          <cell r="A426" t="str">
            <v>AB0171S</v>
          </cell>
          <cell r="B426" t="str">
            <v>Mwende Musyimi</v>
          </cell>
        </row>
        <row r="427">
          <cell r="A427" t="str">
            <v>AB011JL</v>
          </cell>
          <cell r="B427" t="str">
            <v>Mwangi Nancy Wanjira</v>
          </cell>
        </row>
        <row r="428">
          <cell r="A428" t="str">
            <v>MKL0193</v>
          </cell>
          <cell r="B428" t="str">
            <v>Mwande, Mweke Vincent</v>
          </cell>
        </row>
        <row r="429">
          <cell r="A429" t="str">
            <v>LG15171</v>
          </cell>
          <cell r="B429" t="str">
            <v>Mwanaisha Said Changoma</v>
          </cell>
        </row>
        <row r="430">
          <cell r="A430" t="str">
            <v>LG15774</v>
          </cell>
          <cell r="B430" t="str">
            <v>Mwanaisha Jepchumba Bakari</v>
          </cell>
        </row>
        <row r="431">
          <cell r="A431" t="str">
            <v>BB15171</v>
          </cell>
          <cell r="B431" t="str">
            <v>Mwanaisha Changoma</v>
          </cell>
        </row>
        <row r="432">
          <cell r="A432" t="str">
            <v>AB029TE</v>
          </cell>
          <cell r="B432" t="str">
            <v>Mwanaidi Mwandugu</v>
          </cell>
        </row>
        <row r="433">
          <cell r="A433" t="str">
            <v>BB17202</v>
          </cell>
          <cell r="B433" t="str">
            <v>Mutwiwa Mutunga Harrison</v>
          </cell>
        </row>
        <row r="434">
          <cell r="A434" t="str">
            <v>MKL0635</v>
          </cell>
          <cell r="B434" t="str">
            <v>Mutuku, Emmanuel Kisela</v>
          </cell>
        </row>
        <row r="435">
          <cell r="A435" t="str">
            <v>AB0173A</v>
          </cell>
          <cell r="B435" t="str">
            <v>Mutai Ngeno</v>
          </cell>
        </row>
        <row r="436">
          <cell r="A436" t="str">
            <v>AB019VL</v>
          </cell>
          <cell r="B436" t="str">
            <v>Musyoki Kithuka</v>
          </cell>
        </row>
        <row r="437">
          <cell r="A437" t="str">
            <v>LG17619</v>
          </cell>
          <cell r="B437" t="str">
            <v>Musa  Areman</v>
          </cell>
        </row>
        <row r="438">
          <cell r="A438" t="str">
            <v>LG19888</v>
          </cell>
          <cell r="B438" t="str">
            <v>Murithi Karugi Mutegi</v>
          </cell>
        </row>
        <row r="439">
          <cell r="A439" t="str">
            <v>AB011K6</v>
          </cell>
          <cell r="B439" t="str">
            <v xml:space="preserve">Munga Pauline </v>
          </cell>
        </row>
        <row r="440">
          <cell r="A440" t="str">
            <v>LG19684</v>
          </cell>
          <cell r="B440" t="str">
            <v>Mundati Winnie</v>
          </cell>
        </row>
        <row r="441">
          <cell r="A441" t="str">
            <v>BB19051</v>
          </cell>
          <cell r="B441" t="str">
            <v>Mukami Njuguna</v>
          </cell>
        </row>
        <row r="442">
          <cell r="A442" t="str">
            <v>LG19051</v>
          </cell>
          <cell r="B442" t="str">
            <v>Mukami Lucy Njuguna</v>
          </cell>
        </row>
        <row r="443">
          <cell r="A443" t="str">
            <v>LG24241</v>
          </cell>
          <cell r="B443" t="str">
            <v>Mourice Paul Adhiambo Raryaeh</v>
          </cell>
        </row>
        <row r="444">
          <cell r="A444" t="str">
            <v>LG24314</v>
          </cell>
          <cell r="B444" t="str">
            <v>Moureen Ogola</v>
          </cell>
        </row>
        <row r="445">
          <cell r="A445" t="str">
            <v>LG23282</v>
          </cell>
          <cell r="B445" t="str">
            <v>Moses Njoroge Ndungu</v>
          </cell>
        </row>
        <row r="446">
          <cell r="A446" t="str">
            <v>LG21099</v>
          </cell>
          <cell r="B446" t="str">
            <v>Moses MUREITHI Wachira</v>
          </cell>
        </row>
        <row r="447">
          <cell r="A447" t="str">
            <v>AB019R2</v>
          </cell>
          <cell r="B447" t="str">
            <v>Moses Kipkurui</v>
          </cell>
        </row>
        <row r="448">
          <cell r="A448" t="str">
            <v>BB11955</v>
          </cell>
          <cell r="B448" t="str">
            <v>Moses Chepchieng</v>
          </cell>
        </row>
        <row r="449">
          <cell r="A449" t="str">
            <v>AB025PG</v>
          </cell>
          <cell r="B449" t="str">
            <v>Moses Ambwaya Odemba</v>
          </cell>
        </row>
        <row r="450">
          <cell r="A450" t="str">
            <v>BB21244</v>
          </cell>
          <cell r="B450" t="str">
            <v>Moses  Mwaura</v>
          </cell>
        </row>
        <row r="451">
          <cell r="A451" t="str">
            <v>LG7630</v>
          </cell>
          <cell r="B451" t="str">
            <v>Morris Mutwiri</v>
          </cell>
        </row>
        <row r="452">
          <cell r="A452" t="str">
            <v>AB016KU</v>
          </cell>
          <cell r="B452" t="str">
            <v>Monicah Mwangi</v>
          </cell>
        </row>
        <row r="453">
          <cell r="A453" t="str">
            <v>BB09640</v>
          </cell>
          <cell r="B453" t="str">
            <v>Monica Wairimu Kariuki</v>
          </cell>
        </row>
        <row r="454">
          <cell r="A454" t="str">
            <v>BB21016</v>
          </cell>
          <cell r="B454" t="str">
            <v>Monica Maiyo</v>
          </cell>
        </row>
        <row r="455">
          <cell r="A455" t="str">
            <v>AB026VA</v>
          </cell>
          <cell r="B455" t="str">
            <v>Molly Wakio Njogu</v>
          </cell>
        </row>
        <row r="456">
          <cell r="A456" t="str">
            <v>ABMO276</v>
          </cell>
          <cell r="B456" t="str">
            <v>Molly Omala</v>
          </cell>
        </row>
        <row r="457">
          <cell r="A457" t="str">
            <v>BB16968</v>
          </cell>
          <cell r="B457" t="str">
            <v>Mohamed Ibrahim Maalimu</v>
          </cell>
        </row>
        <row r="458">
          <cell r="A458" t="str">
            <v>LG24891</v>
          </cell>
          <cell r="B458" t="str">
            <v xml:space="preserve">Mohamed Ahmed Abdullahi </v>
          </cell>
        </row>
        <row r="459">
          <cell r="A459" t="str">
            <v>BB18046</v>
          </cell>
          <cell r="B459" t="str">
            <v>Moffat Mabula Nzingu</v>
          </cell>
        </row>
        <row r="460">
          <cell r="A460" t="str">
            <v>LG25093</v>
          </cell>
          <cell r="B460" t="str">
            <v>Moenga Henry Gwaro</v>
          </cell>
        </row>
        <row r="461">
          <cell r="A461" t="str">
            <v>AB011JK</v>
          </cell>
          <cell r="B461" t="str">
            <v>Mobegi Job</v>
          </cell>
        </row>
        <row r="462">
          <cell r="A462" t="str">
            <v>AB011NI</v>
          </cell>
          <cell r="B462" t="str">
            <v>Mithika Mercy Kawira</v>
          </cell>
        </row>
        <row r="463">
          <cell r="A463" t="str">
            <v>AB019W4</v>
          </cell>
          <cell r="B463" t="str">
            <v>Mitchell Kae</v>
          </cell>
        </row>
        <row r="464">
          <cell r="A464" t="str">
            <v>BB14969</v>
          </cell>
          <cell r="B464" t="str">
            <v>Mirriam Ndindi Mutuku</v>
          </cell>
        </row>
        <row r="465">
          <cell r="A465" t="str">
            <v>BB09542</v>
          </cell>
          <cell r="B465" t="str">
            <v>Miriam Wanjiru Sironik</v>
          </cell>
        </row>
        <row r="466">
          <cell r="A466" t="str">
            <v>LG18635</v>
          </cell>
          <cell r="B466" t="str">
            <v xml:space="preserve">Miriam Ngugi </v>
          </cell>
        </row>
        <row r="467">
          <cell r="A467" t="str">
            <v>LG25171</v>
          </cell>
          <cell r="B467" t="str">
            <v>Miriam Nasimiyu</v>
          </cell>
        </row>
        <row r="468">
          <cell r="A468" t="str">
            <v>AB0271Y</v>
          </cell>
          <cell r="B468" t="str">
            <v>Miriam Muthina Mutisya</v>
          </cell>
        </row>
        <row r="469">
          <cell r="A469" t="str">
            <v>LG19089</v>
          </cell>
          <cell r="B469" t="str">
            <v>Miriam Mueni Mutungi</v>
          </cell>
        </row>
        <row r="470">
          <cell r="A470" t="str">
            <v>LG23376</v>
          </cell>
          <cell r="B470" t="str">
            <v>Miriam Moraa Orina</v>
          </cell>
        </row>
        <row r="471">
          <cell r="A471" t="str">
            <v>LG25240</v>
          </cell>
          <cell r="B471" t="str">
            <v>Millicent Nyambutu Karua</v>
          </cell>
        </row>
        <row r="472">
          <cell r="A472" t="str">
            <v>BB3787</v>
          </cell>
          <cell r="B472" t="str">
            <v xml:space="preserve">Millicent Chege </v>
          </cell>
        </row>
        <row r="473">
          <cell r="A473" t="str">
            <v>LG21090</v>
          </cell>
          <cell r="B473" t="str">
            <v>Millicent ANYANGO Ogwayo</v>
          </cell>
        </row>
        <row r="474">
          <cell r="A474" t="str">
            <v>LG18649</v>
          </cell>
          <cell r="B474" t="str">
            <v>Millicent Achieng Okeyo</v>
          </cell>
        </row>
        <row r="475">
          <cell r="A475" t="str">
            <v>BB18176</v>
          </cell>
          <cell r="B475" t="str">
            <v xml:space="preserve">Mildred Otieno </v>
          </cell>
        </row>
        <row r="476">
          <cell r="A476" t="str">
            <v>LG18176</v>
          </cell>
          <cell r="B476" t="str">
            <v>Mildred Leah Otieno</v>
          </cell>
        </row>
        <row r="477">
          <cell r="A477" t="str">
            <v>BB06461</v>
          </cell>
          <cell r="B477" t="str">
            <v>Mildred Bitengo Omwebu</v>
          </cell>
        </row>
        <row r="478">
          <cell r="A478" t="str">
            <v>LG18298</v>
          </cell>
          <cell r="B478" t="str">
            <v>Milcah Wairimu Kimotho</v>
          </cell>
        </row>
        <row r="479">
          <cell r="A479" t="str">
            <v>LG25055</v>
          </cell>
          <cell r="B479" t="str">
            <v xml:space="preserve">Milcah Nyambura Kimani </v>
          </cell>
        </row>
        <row r="480">
          <cell r="A480" t="str">
            <v>LG23328</v>
          </cell>
          <cell r="B480" t="str">
            <v>Milcah Mueni Ngolo</v>
          </cell>
        </row>
        <row r="481">
          <cell r="A481" t="str">
            <v>AB024L8</v>
          </cell>
          <cell r="B481" t="str">
            <v>Michael Nyonje</v>
          </cell>
        </row>
        <row r="482">
          <cell r="A482" t="str">
            <v>BB09242</v>
          </cell>
          <cell r="B482" t="str">
            <v>Michael Ndonj</v>
          </cell>
        </row>
        <row r="483">
          <cell r="A483" t="str">
            <v>AB0289A</v>
          </cell>
          <cell r="B483" t="str">
            <v>Michael Mureithi</v>
          </cell>
        </row>
        <row r="484">
          <cell r="A484" t="str">
            <v>LG24399</v>
          </cell>
          <cell r="B484" t="str">
            <v>Michael Mulinge Nzyoki</v>
          </cell>
        </row>
        <row r="485">
          <cell r="A485" t="str">
            <v>BB17066</v>
          </cell>
          <cell r="B485" t="str">
            <v>Michael Makau Mutua</v>
          </cell>
        </row>
        <row r="486">
          <cell r="A486" t="str">
            <v>LG20320</v>
          </cell>
          <cell r="B486" t="str">
            <v>Michael Kariuki Kuria</v>
          </cell>
        </row>
        <row r="487">
          <cell r="A487" t="str">
            <v>ABMKA2A</v>
          </cell>
          <cell r="B487" t="str">
            <v>Michael Kamulu</v>
          </cell>
        </row>
        <row r="488">
          <cell r="A488" t="str">
            <v>BB11787</v>
          </cell>
          <cell r="B488" t="str">
            <v>Mguya Kevin</v>
          </cell>
        </row>
        <row r="489">
          <cell r="A489" t="str">
            <v>LG15794</v>
          </cell>
          <cell r="B489" t="str">
            <v>Meshack Otieno Ogenga</v>
          </cell>
        </row>
        <row r="490">
          <cell r="A490" t="str">
            <v>AB0210I</v>
          </cell>
          <cell r="B490" t="str">
            <v>Meshack Keliaro</v>
          </cell>
        </row>
        <row r="491">
          <cell r="A491" t="str">
            <v>AB018DR</v>
          </cell>
          <cell r="B491" t="str">
            <v>Meshack Ademba Martin</v>
          </cell>
        </row>
        <row r="492">
          <cell r="A492" t="str">
            <v>LG13507</v>
          </cell>
          <cell r="B492" t="str">
            <v>Meroline Anyango Abade</v>
          </cell>
        </row>
        <row r="493">
          <cell r="A493" t="str">
            <v>LG25265</v>
          </cell>
          <cell r="B493" t="str">
            <v>Mercyline Otundo</v>
          </cell>
        </row>
        <row r="494">
          <cell r="A494" t="str">
            <v>ABMO333</v>
          </cell>
          <cell r="B494" t="str">
            <v>Mercyline Otundo</v>
          </cell>
        </row>
        <row r="495">
          <cell r="A495" t="str">
            <v>AB025OY</v>
          </cell>
          <cell r="B495" t="str">
            <v>Mercy Wambui Mburu</v>
          </cell>
        </row>
        <row r="496">
          <cell r="A496" t="str">
            <v>LG25229</v>
          </cell>
          <cell r="B496" t="str">
            <v>Mercy Vivian Oyando</v>
          </cell>
        </row>
        <row r="497">
          <cell r="A497" t="str">
            <v>AB017W5</v>
          </cell>
          <cell r="B497" t="str">
            <v>Mercy Uvyu</v>
          </cell>
        </row>
        <row r="498">
          <cell r="A498" t="str">
            <v>LG25299</v>
          </cell>
          <cell r="B498" t="str">
            <v xml:space="preserve">Mercy Oyando </v>
          </cell>
        </row>
        <row r="499">
          <cell r="A499" t="str">
            <v>BB06679</v>
          </cell>
          <cell r="B499" t="str">
            <v>Mercy Nzisa Muteti</v>
          </cell>
        </row>
        <row r="500">
          <cell r="A500" t="str">
            <v>BB07928</v>
          </cell>
          <cell r="B500" t="str">
            <v>Mercy Nyang'Endo Gachomba</v>
          </cell>
        </row>
        <row r="501">
          <cell r="A501" t="str">
            <v>11828</v>
          </cell>
          <cell r="B501" t="str">
            <v>Mercy Njalale</v>
          </cell>
        </row>
        <row r="502">
          <cell r="A502" t="str">
            <v>BB11854</v>
          </cell>
          <cell r="B502" t="str">
            <v>Mercy Mutheu Mutuku</v>
          </cell>
        </row>
        <row r="503">
          <cell r="A503" t="str">
            <v>LG24546</v>
          </cell>
          <cell r="B503" t="str">
            <v xml:space="preserve">Mercy Mutheu Jacinta </v>
          </cell>
        </row>
        <row r="504">
          <cell r="A504" t="str">
            <v>LG24867</v>
          </cell>
          <cell r="B504" t="str">
            <v>Mercy Mutahi</v>
          </cell>
        </row>
        <row r="505">
          <cell r="A505" t="str">
            <v>LG21604</v>
          </cell>
          <cell r="B505" t="str">
            <v>Mercy Mumbe Munyoki</v>
          </cell>
        </row>
        <row r="506">
          <cell r="A506" t="str">
            <v>AB0250Y</v>
          </cell>
          <cell r="B506" t="str">
            <v>Mercy Mburu</v>
          </cell>
        </row>
        <row r="507">
          <cell r="A507" t="str">
            <v>AB026TF</v>
          </cell>
          <cell r="B507" t="str">
            <v>Mercy Makokha</v>
          </cell>
        </row>
        <row r="508">
          <cell r="A508" t="str">
            <v>11824</v>
          </cell>
          <cell r="B508" t="str">
            <v>Mercy Kithinji</v>
          </cell>
        </row>
        <row r="509">
          <cell r="A509" t="str">
            <v>AB011NT</v>
          </cell>
          <cell r="B509" t="str">
            <v xml:space="preserve">Mercy Kawira </v>
          </cell>
        </row>
        <row r="510">
          <cell r="A510" t="str">
            <v>ABMC776</v>
          </cell>
          <cell r="B510" t="str">
            <v>Mercy Cherotich</v>
          </cell>
        </row>
        <row r="511">
          <cell r="A511" t="str">
            <v>LG19662</v>
          </cell>
          <cell r="B511" t="str">
            <v>Mercy Atieno Omondi Ondu</v>
          </cell>
        </row>
        <row r="512">
          <cell r="A512" t="str">
            <v>LG23049</v>
          </cell>
          <cell r="B512" t="str">
            <v>Mercy Akinyi Ooko</v>
          </cell>
        </row>
        <row r="513">
          <cell r="A513" t="str">
            <v>AB02638</v>
          </cell>
          <cell r="B513" t="str">
            <v>Mercy Aida Kirui</v>
          </cell>
        </row>
        <row r="514">
          <cell r="A514" t="str">
            <v>ABMO328</v>
          </cell>
          <cell r="B514" t="str">
            <v>Mercy Adongo Ong'anda</v>
          </cell>
        </row>
        <row r="515">
          <cell r="A515" t="str">
            <v>LG21421</v>
          </cell>
          <cell r="B515" t="str">
            <v>Mercy  Mwenesi</v>
          </cell>
        </row>
        <row r="516">
          <cell r="A516" t="str">
            <v>AB011JQ</v>
          </cell>
          <cell r="B516" t="str">
            <v>Mengesa John</v>
          </cell>
        </row>
        <row r="517">
          <cell r="A517" t="str">
            <v>LG22374</v>
          </cell>
          <cell r="B517" t="str">
            <v>Melvin bradley omondi</v>
          </cell>
        </row>
        <row r="518">
          <cell r="A518" t="str">
            <v>LG23019</v>
          </cell>
          <cell r="B518" t="str">
            <v>Melody Magoama Kibegwa</v>
          </cell>
        </row>
        <row r="519">
          <cell r="A519" t="str">
            <v>LG23494</v>
          </cell>
          <cell r="B519" t="str">
            <v>Melodine Ntinyari Kinyua</v>
          </cell>
        </row>
        <row r="520">
          <cell r="A520" t="str">
            <v>AB023Y6</v>
          </cell>
          <cell r="B520" t="str">
            <v>Mbinya Musyoka Tabitha</v>
          </cell>
        </row>
        <row r="521">
          <cell r="A521" t="str">
            <v>AB019GK</v>
          </cell>
          <cell r="B521" t="str">
            <v>Mbaki King'oo</v>
          </cell>
        </row>
        <row r="522">
          <cell r="A522" t="str">
            <v>LG25051</v>
          </cell>
          <cell r="B522" t="str">
            <v>MAXWELL NGUGI MBAU</v>
          </cell>
        </row>
        <row r="523">
          <cell r="A523" t="str">
            <v>LG24038</v>
          </cell>
          <cell r="B523" t="str">
            <v>Maxwel Ojwang Odhiambo</v>
          </cell>
        </row>
        <row r="524">
          <cell r="A524" t="str">
            <v>AB025D5</v>
          </cell>
          <cell r="B524" t="str">
            <v>Maurine Owino</v>
          </cell>
        </row>
        <row r="525">
          <cell r="A525" t="str">
            <v>LG22546</v>
          </cell>
          <cell r="B525" t="str">
            <v>Maurine Akoth Opiyo</v>
          </cell>
        </row>
        <row r="526">
          <cell r="A526" t="str">
            <v>LG16610</v>
          </cell>
          <cell r="B526" t="str">
            <v>Maureene Atieno Musolo</v>
          </cell>
        </row>
        <row r="527">
          <cell r="A527" t="str">
            <v>LG19342</v>
          </cell>
          <cell r="B527" t="str">
            <v>Maureen Wanjiru Muchiri</v>
          </cell>
        </row>
        <row r="528">
          <cell r="A528" t="str">
            <v>13095</v>
          </cell>
          <cell r="B528" t="str">
            <v>Maureen Paiti Lolgisoi</v>
          </cell>
        </row>
        <row r="529">
          <cell r="A529" t="str">
            <v>AB023DQ</v>
          </cell>
          <cell r="B529" t="str">
            <v>Maureen Nkirote Gatobu</v>
          </cell>
        </row>
        <row r="530">
          <cell r="A530" t="str">
            <v>BB19342</v>
          </cell>
          <cell r="B530" t="str">
            <v>Maureen Muchiri</v>
          </cell>
        </row>
        <row r="531">
          <cell r="A531" t="str">
            <v>LG19469</v>
          </cell>
          <cell r="B531" t="str">
            <v>Maureen Kwamboka Nyabuto</v>
          </cell>
        </row>
        <row r="532">
          <cell r="A532" t="str">
            <v>HISA0020</v>
          </cell>
          <cell r="B532" t="str">
            <v>Maureen Ichauri</v>
          </cell>
        </row>
        <row r="533">
          <cell r="A533" t="str">
            <v>BB20768</v>
          </cell>
          <cell r="B533" t="str">
            <v>Maureen Asimwa Ngala</v>
          </cell>
        </row>
        <row r="534">
          <cell r="A534" t="str">
            <v>ABMO242</v>
          </cell>
          <cell r="B534" t="str">
            <v>Maureen Achieng Owino</v>
          </cell>
        </row>
        <row r="535">
          <cell r="A535" t="str">
            <v>LG22183</v>
          </cell>
          <cell r="B535" t="str">
            <v>Masenge Onchari Anthony</v>
          </cell>
        </row>
        <row r="536">
          <cell r="A536" t="str">
            <v>AB023IA</v>
          </cell>
          <cell r="B536" t="str">
            <v>Maryline Kirwok</v>
          </cell>
        </row>
        <row r="537">
          <cell r="A537" t="str">
            <v>BB07733</v>
          </cell>
          <cell r="B537" t="str">
            <v xml:space="preserve">Marygoretti Mbuge </v>
          </cell>
        </row>
        <row r="538">
          <cell r="A538" t="str">
            <v>LG25238</v>
          </cell>
          <cell r="B538" t="str">
            <v>Maryanne Naomi Adewa</v>
          </cell>
        </row>
        <row r="539">
          <cell r="A539" t="str">
            <v>LG19872</v>
          </cell>
          <cell r="B539" t="str">
            <v>Mary Wanjiru Gathi</v>
          </cell>
        </row>
        <row r="540">
          <cell r="A540" t="str">
            <v>LG24912</v>
          </cell>
          <cell r="B540" t="str">
            <v>Mary Wanjiku Kuria</v>
          </cell>
        </row>
        <row r="541">
          <cell r="A541" t="str">
            <v>AB021LM</v>
          </cell>
          <cell r="B541" t="str">
            <v>Mary Wanjiku Hunja</v>
          </cell>
        </row>
        <row r="542">
          <cell r="A542" t="str">
            <v>AB025MC</v>
          </cell>
          <cell r="B542" t="str">
            <v>Mary Wanjeri Maina</v>
          </cell>
        </row>
        <row r="543">
          <cell r="A543" t="str">
            <v>LG23422</v>
          </cell>
          <cell r="B543" t="str">
            <v>Mary Wangui Njoki</v>
          </cell>
        </row>
        <row r="544">
          <cell r="A544" t="str">
            <v>BB07777</v>
          </cell>
          <cell r="B544" t="str">
            <v xml:space="preserve">Mary Waithera Gachuhi </v>
          </cell>
        </row>
        <row r="545">
          <cell r="A545" t="str">
            <v>AB018GG</v>
          </cell>
          <cell r="B545" t="str">
            <v xml:space="preserve">Mary Wachira </v>
          </cell>
        </row>
        <row r="546">
          <cell r="A546" t="str">
            <v>BB03854</v>
          </cell>
          <cell r="B546" t="str">
            <v>Mary Wachera Iraki</v>
          </cell>
        </row>
        <row r="547">
          <cell r="A547" t="str">
            <v>BB17339</v>
          </cell>
          <cell r="B547" t="str">
            <v>Mary Nyambura Njuguna</v>
          </cell>
        </row>
        <row r="548">
          <cell r="A548" t="str">
            <v>LG21470</v>
          </cell>
          <cell r="B548" t="str">
            <v>Mary Njeri Njoroge</v>
          </cell>
        </row>
        <row r="549">
          <cell r="A549" t="str">
            <v>LG25061</v>
          </cell>
          <cell r="B549" t="str">
            <v xml:space="preserve">Mary Mulunga Mwachiti </v>
          </cell>
        </row>
        <row r="550">
          <cell r="A550" t="str">
            <v>AB0154Q</v>
          </cell>
          <cell r="B550" t="str">
            <v>Mary Masanju</v>
          </cell>
        </row>
        <row r="551">
          <cell r="A551" t="str">
            <v>LG24558</v>
          </cell>
          <cell r="B551" t="str">
            <v>Mary Karienye</v>
          </cell>
        </row>
        <row r="552">
          <cell r="A552" t="str">
            <v>LG24916</v>
          </cell>
          <cell r="B552" t="str">
            <v xml:space="preserve">Mary Grace Muthoni Waiboci </v>
          </cell>
        </row>
        <row r="553">
          <cell r="A553" t="str">
            <v>LG12826</v>
          </cell>
          <cell r="B553" t="str">
            <v>Mary Chenda Kazungu</v>
          </cell>
        </row>
        <row r="554">
          <cell r="A554" t="str">
            <v>AB027EE</v>
          </cell>
          <cell r="B554" t="str">
            <v>Mary  Muthui</v>
          </cell>
        </row>
        <row r="555">
          <cell r="A555" t="str">
            <v>AB027JN</v>
          </cell>
          <cell r="B555" t="str">
            <v>Marvin Oluoch</v>
          </cell>
        </row>
        <row r="556">
          <cell r="A556" t="str">
            <v>13098</v>
          </cell>
          <cell r="B556" t="str">
            <v>Marvin Nyamari Nyangau</v>
          </cell>
        </row>
        <row r="557">
          <cell r="A557" t="str">
            <v>LG13917</v>
          </cell>
          <cell r="B557" t="str">
            <v>Martine Wangila Nato</v>
          </cell>
        </row>
        <row r="558">
          <cell r="A558" t="str">
            <v>BB22627</v>
          </cell>
          <cell r="B558" t="str">
            <v>Martin Simba Isinita</v>
          </cell>
        </row>
        <row r="559">
          <cell r="A559" t="str">
            <v>LG21432</v>
          </cell>
          <cell r="B559" t="str">
            <v>Martin Onyango Mukoko</v>
          </cell>
        </row>
        <row r="560">
          <cell r="A560" t="str">
            <v>LG25447</v>
          </cell>
          <cell r="B560" t="str">
            <v xml:space="preserve">Martin Okoth Konje </v>
          </cell>
        </row>
        <row r="561">
          <cell r="A561" t="str">
            <v>LG24610</v>
          </cell>
          <cell r="B561" t="str">
            <v>Martin Ngugi Mbau</v>
          </cell>
        </row>
        <row r="562">
          <cell r="A562" t="str">
            <v>LG20894</v>
          </cell>
          <cell r="B562" t="str">
            <v>Martin Mwangi Nyiha</v>
          </cell>
        </row>
        <row r="563">
          <cell r="A563" t="str">
            <v>BB21432</v>
          </cell>
          <cell r="B563" t="str">
            <v>Martin Mukoko</v>
          </cell>
        </row>
        <row r="564">
          <cell r="A564" t="str">
            <v>ABO26V9</v>
          </cell>
          <cell r="B564" t="str">
            <v>Martin Maina</v>
          </cell>
        </row>
        <row r="565">
          <cell r="A565" t="str">
            <v>AB026V9</v>
          </cell>
          <cell r="B565" t="str">
            <v>Martin Maina</v>
          </cell>
        </row>
        <row r="566">
          <cell r="A566" t="str">
            <v>AB022SP</v>
          </cell>
          <cell r="B566" t="str">
            <v>Martin Aciita</v>
          </cell>
        </row>
        <row r="567">
          <cell r="A567" t="str">
            <v>LG21880</v>
          </cell>
          <cell r="B567" t="str">
            <v>Martin  Muriithi</v>
          </cell>
        </row>
        <row r="568">
          <cell r="A568" t="str">
            <v>LG25572</v>
          </cell>
          <cell r="B568" t="str">
            <v xml:space="preserve">Martha Wahome </v>
          </cell>
        </row>
        <row r="569">
          <cell r="A569" t="str">
            <v>LG19250</v>
          </cell>
          <cell r="B569" t="str">
            <v>Martha Akeyo Wasonga</v>
          </cell>
        </row>
        <row r="570">
          <cell r="A570" t="str">
            <v>LG25067</v>
          </cell>
          <cell r="B570" t="str">
            <v xml:space="preserve">Mark Mukungu Mutisya </v>
          </cell>
        </row>
        <row r="571">
          <cell r="A571" t="str">
            <v>LG23530</v>
          </cell>
          <cell r="B571" t="str">
            <v>Mark Gichana Omenge</v>
          </cell>
        </row>
        <row r="572">
          <cell r="A572" t="str">
            <v>LG25218</v>
          </cell>
          <cell r="B572" t="str">
            <v xml:space="preserve">Marion Wambui </v>
          </cell>
        </row>
        <row r="573">
          <cell r="A573" t="str">
            <v>AB024GQ</v>
          </cell>
          <cell r="B573" t="str">
            <v>Marion Ojiem</v>
          </cell>
        </row>
        <row r="574">
          <cell r="A574" t="str">
            <v>AB0249Q</v>
          </cell>
          <cell r="B574" t="str">
            <v>Marion Achieng Ojiem</v>
          </cell>
        </row>
        <row r="575">
          <cell r="A575" t="str">
            <v>LG25065</v>
          </cell>
          <cell r="B575" t="str">
            <v xml:space="preserve">Mariam Said Mohamed </v>
          </cell>
        </row>
        <row r="576">
          <cell r="A576" t="str">
            <v>LG25271</v>
          </cell>
          <cell r="B576" t="str">
            <v xml:space="preserve">Mariam Nasimiyu </v>
          </cell>
        </row>
        <row r="577">
          <cell r="A577" t="str">
            <v>LG25060</v>
          </cell>
          <cell r="B577" t="str">
            <v xml:space="preserve">Mariam Juma Kassim </v>
          </cell>
        </row>
        <row r="578">
          <cell r="A578" t="str">
            <v>LG23308</v>
          </cell>
          <cell r="B578" t="str">
            <v>Margret Nzilani Kioko</v>
          </cell>
        </row>
        <row r="579">
          <cell r="A579" t="str">
            <v>LG24861</v>
          </cell>
          <cell r="B579" t="str">
            <v>Margaret Wanjiru Mungai</v>
          </cell>
        </row>
        <row r="580">
          <cell r="A580" t="str">
            <v>LG24760</v>
          </cell>
          <cell r="B580" t="str">
            <v>Margaret Nyanjau Gichuhi</v>
          </cell>
        </row>
        <row r="581">
          <cell r="A581" t="str">
            <v>LG19548</v>
          </cell>
          <cell r="B581" t="str">
            <v>Margaret Nyandzua Lewa</v>
          </cell>
        </row>
        <row r="582">
          <cell r="A582" t="str">
            <v>LG18991</v>
          </cell>
          <cell r="B582" t="str">
            <v>Margaret Nyambura Njuguna</v>
          </cell>
        </row>
        <row r="583">
          <cell r="A583" t="str">
            <v>AB0171V</v>
          </cell>
          <cell r="B583" t="str">
            <v>Margaret Mwaura</v>
          </cell>
        </row>
        <row r="584">
          <cell r="A584" t="str">
            <v>LG24854</v>
          </cell>
          <cell r="B584" t="str">
            <v>Margaret Munini Kyalo</v>
          </cell>
        </row>
        <row r="585">
          <cell r="A585" t="str">
            <v>AB025OM</v>
          </cell>
          <cell r="B585" t="str">
            <v>Margaret Mukami Kiuru</v>
          </cell>
        </row>
        <row r="586">
          <cell r="A586" t="str">
            <v>LG14727</v>
          </cell>
          <cell r="B586" t="str">
            <v>Margaret Moraa Oiriga</v>
          </cell>
        </row>
        <row r="587">
          <cell r="A587" t="str">
            <v>BB19548</v>
          </cell>
          <cell r="B587" t="str">
            <v>Margaret Lewa</v>
          </cell>
        </row>
        <row r="588">
          <cell r="A588" t="str">
            <v>LG15448</v>
          </cell>
          <cell r="B588" t="str">
            <v>Margaret Bosibori Maato</v>
          </cell>
        </row>
        <row r="589">
          <cell r="A589" t="str">
            <v>LG10081</v>
          </cell>
          <cell r="B589" t="str">
            <v>Margaret Atieno Many</v>
          </cell>
        </row>
        <row r="590">
          <cell r="A590" t="str">
            <v>AB019HD</v>
          </cell>
          <cell r="B590" t="str">
            <v>Marcelo Lemi</v>
          </cell>
        </row>
        <row r="591">
          <cell r="A591" t="str">
            <v>LG24556</v>
          </cell>
          <cell r="B591" t="str">
            <v>Marcellah Naswa Mabuka</v>
          </cell>
        </row>
        <row r="592">
          <cell r="A592" t="str">
            <v>MKL0681</v>
          </cell>
          <cell r="B592" t="str">
            <v xml:space="preserve">Mahinda, Kelvin Ndirangu </v>
          </cell>
        </row>
        <row r="593">
          <cell r="A593" t="str">
            <v>LG22574</v>
          </cell>
          <cell r="B593" t="str">
            <v>Mahad Mohammed Abdi</v>
          </cell>
        </row>
        <row r="594">
          <cell r="A594" t="str">
            <v>LG18311</v>
          </cell>
          <cell r="B594" t="str">
            <v>Magdalene Nduta Kabatha</v>
          </cell>
        </row>
        <row r="595">
          <cell r="A595" t="str">
            <v>LG10558</v>
          </cell>
          <cell r="B595" t="str">
            <v>Madeda Mwawana Mwamburi</v>
          </cell>
        </row>
        <row r="596">
          <cell r="A596" t="str">
            <v>LG07986</v>
          </cell>
          <cell r="B596" t="str">
            <v>Mable Mmboga Alusa</v>
          </cell>
        </row>
        <row r="597">
          <cell r="A597" t="str">
            <v>AB019N2</v>
          </cell>
          <cell r="B597" t="str">
            <v>Lynnet Usolo</v>
          </cell>
        </row>
        <row r="598">
          <cell r="A598" t="str">
            <v>LG25258</v>
          </cell>
          <cell r="B598" t="str">
            <v>Lyner Masher Awuor</v>
          </cell>
        </row>
        <row r="599">
          <cell r="A599" t="str">
            <v>AB019HJ</v>
          </cell>
          <cell r="B599" t="str">
            <v>Lynder Masili</v>
          </cell>
        </row>
        <row r="600">
          <cell r="A600" t="str">
            <v>AB011HP</v>
          </cell>
          <cell r="B600" t="str">
            <v>Lyndah Omino</v>
          </cell>
        </row>
        <row r="601">
          <cell r="A601" t="str">
            <v>BB05470</v>
          </cell>
          <cell r="B601" t="str">
            <v>Lyn Okutoyi Imbayi</v>
          </cell>
        </row>
        <row r="602">
          <cell r="A602" t="str">
            <v>LG18599</v>
          </cell>
          <cell r="B602" t="str">
            <v>Lydiah Muthoni Ndungu</v>
          </cell>
        </row>
        <row r="603">
          <cell r="A603" t="str">
            <v>LG20347</v>
          </cell>
          <cell r="B603" t="str">
            <v>Lydiah Atieno Ochola</v>
          </cell>
        </row>
        <row r="604">
          <cell r="A604" t="str">
            <v>LG24302</v>
          </cell>
          <cell r="B604" t="str">
            <v>Lydia Wanjiku Kimotho</v>
          </cell>
        </row>
        <row r="605">
          <cell r="A605" t="str">
            <v>LG25547</v>
          </cell>
          <cell r="B605" t="str">
            <v>Lydia Shibako</v>
          </cell>
        </row>
        <row r="606">
          <cell r="A606" t="str">
            <v>BB05292</v>
          </cell>
          <cell r="B606" t="str">
            <v>Lydia Motari</v>
          </cell>
        </row>
        <row r="607">
          <cell r="A607" t="str">
            <v>LG23266</v>
          </cell>
          <cell r="B607" t="str">
            <v>Luke Muia Malonza</v>
          </cell>
        </row>
        <row r="608">
          <cell r="A608" t="str">
            <v>LG09409</v>
          </cell>
          <cell r="B608" t="str">
            <v>Lucy Wawira Njagi</v>
          </cell>
        </row>
        <row r="609">
          <cell r="A609" t="str">
            <v>LG21447</v>
          </cell>
          <cell r="B609" t="str">
            <v>Lucy Wanjiru Mwaniki</v>
          </cell>
        </row>
        <row r="610">
          <cell r="A610" t="str">
            <v>AB027AB</v>
          </cell>
          <cell r="B610" t="str">
            <v>Lucy Wamwea</v>
          </cell>
        </row>
        <row r="611">
          <cell r="A611" t="str">
            <v>LG25570</v>
          </cell>
          <cell r="B611" t="str">
            <v>Lucy Wamagata</v>
          </cell>
        </row>
        <row r="612">
          <cell r="A612" t="str">
            <v>LG21007</v>
          </cell>
          <cell r="B612" t="str">
            <v>Lucy Mwaniki</v>
          </cell>
        </row>
        <row r="613">
          <cell r="A613" t="str">
            <v>LG22138</v>
          </cell>
          <cell r="B613" t="str">
            <v>Lucy Mwalimo</v>
          </cell>
        </row>
        <row r="614">
          <cell r="A614" t="str">
            <v>LG07923</v>
          </cell>
          <cell r="B614" t="str">
            <v>Lucy Muthoni Njagi</v>
          </cell>
        </row>
        <row r="615">
          <cell r="A615" t="str">
            <v>ABLMAVV</v>
          </cell>
          <cell r="B615" t="str">
            <v>Lucy Egwa Mwalimo</v>
          </cell>
        </row>
        <row r="616">
          <cell r="A616" t="str">
            <v>ABLO119</v>
          </cell>
          <cell r="B616" t="str">
            <v>Lucy Anyango Ogutu</v>
          </cell>
        </row>
        <row r="617">
          <cell r="A617" t="str">
            <v>BB07494</v>
          </cell>
          <cell r="B617" t="str">
            <v>Loyce Ngani Tsuma</v>
          </cell>
        </row>
        <row r="618">
          <cell r="A618" t="str">
            <v>AB006DF</v>
          </cell>
          <cell r="B618" t="str">
            <v>Lorna Kawira Kirimi</v>
          </cell>
        </row>
        <row r="619">
          <cell r="A619" t="str">
            <v>BB11125</v>
          </cell>
          <cell r="B619" t="str">
            <v>Lorna Achieng Olango</v>
          </cell>
        </row>
        <row r="620">
          <cell r="A620" t="str">
            <v>BB06949</v>
          </cell>
          <cell r="B620" t="str">
            <v>Lora Chelangat Cheruiyot</v>
          </cell>
        </row>
        <row r="621">
          <cell r="A621" t="str">
            <v>LGAB006DF</v>
          </cell>
          <cell r="B621" t="str">
            <v>Lonah Kawira Kirimi</v>
          </cell>
        </row>
        <row r="622">
          <cell r="A622" t="str">
            <v>BB11061</v>
          </cell>
          <cell r="B622" t="str">
            <v>Loisy Mugura</v>
          </cell>
        </row>
        <row r="623">
          <cell r="A623" t="str">
            <v>LG13364</v>
          </cell>
          <cell r="B623" t="str">
            <v>Loice Luseka Shiatikha</v>
          </cell>
        </row>
        <row r="624">
          <cell r="A624" t="str">
            <v>LG24869</v>
          </cell>
          <cell r="B624" t="str">
            <v>Loice Jepchirchir</v>
          </cell>
        </row>
        <row r="625">
          <cell r="A625" t="str">
            <v>LG24860</v>
          </cell>
          <cell r="B625" t="str">
            <v>LINET WANGARI</v>
          </cell>
        </row>
        <row r="626">
          <cell r="A626" t="str">
            <v>LG17322</v>
          </cell>
          <cell r="B626" t="str">
            <v>Linet Kwamboka Mumbe</v>
          </cell>
        </row>
        <row r="627">
          <cell r="A627" t="str">
            <v>AB023A3</v>
          </cell>
          <cell r="B627" t="str">
            <v>Lindsey Cheruiyot</v>
          </cell>
        </row>
        <row r="628">
          <cell r="A628" t="str">
            <v>BB06373</v>
          </cell>
          <cell r="B628" t="str">
            <v>Linda Atieno Owuor</v>
          </cell>
        </row>
        <row r="629">
          <cell r="A629" t="str">
            <v>LG22916</v>
          </cell>
          <cell r="B629" t="str">
            <v>Linda Anyango Ndhiwa</v>
          </cell>
        </row>
        <row r="630">
          <cell r="A630" t="str">
            <v>LG13349</v>
          </cell>
          <cell r="B630" t="str">
            <v>Lina Ogara Okute</v>
          </cell>
        </row>
        <row r="631">
          <cell r="A631" t="str">
            <v>LG19665</v>
          </cell>
          <cell r="B631" t="str">
            <v>Lina Consolata Waita</v>
          </cell>
        </row>
        <row r="632">
          <cell r="A632" t="str">
            <v>LG24589</v>
          </cell>
          <cell r="B632" t="str">
            <v>Lillian Mutuku Mumo</v>
          </cell>
        </row>
        <row r="633">
          <cell r="A633" t="str">
            <v>BB17443</v>
          </cell>
          <cell r="B633" t="str">
            <v>Lilian Wambui Kamau</v>
          </cell>
        </row>
        <row r="634">
          <cell r="A634" t="str">
            <v>AB011H1</v>
          </cell>
          <cell r="B634" t="str">
            <v>Lilian Temba Barasa</v>
          </cell>
        </row>
        <row r="635">
          <cell r="A635" t="str">
            <v>AB0171X</v>
          </cell>
          <cell r="B635" t="str">
            <v>Lilian Tabu</v>
          </cell>
        </row>
        <row r="636">
          <cell r="A636" t="str">
            <v>AB019QT</v>
          </cell>
          <cell r="B636" t="str">
            <v>Lilian Njoki Muiruri</v>
          </cell>
        </row>
        <row r="637">
          <cell r="A637" t="str">
            <v>AB0278Q</v>
          </cell>
          <cell r="B637" t="str">
            <v>Lilian Nelima Ngoya</v>
          </cell>
        </row>
        <row r="638">
          <cell r="A638" t="str">
            <v>AB021K3</v>
          </cell>
          <cell r="B638" t="str">
            <v>Lilian Murunga</v>
          </cell>
        </row>
        <row r="639">
          <cell r="A639" t="str">
            <v>AB015ND</v>
          </cell>
          <cell r="B639" t="str">
            <v>Lilian Luseno</v>
          </cell>
        </row>
        <row r="640">
          <cell r="A640" t="str">
            <v>AB018GY</v>
          </cell>
          <cell r="B640" t="str">
            <v>Lilian Kalii Mwongela</v>
          </cell>
        </row>
        <row r="641">
          <cell r="A641" t="str">
            <v>AB019JN</v>
          </cell>
          <cell r="B641" t="str">
            <v>Lilian John</v>
          </cell>
        </row>
        <row r="642">
          <cell r="A642" t="str">
            <v>LG25550</v>
          </cell>
          <cell r="B642" t="str">
            <v>Lilian Jemutai</v>
          </cell>
        </row>
        <row r="643">
          <cell r="A643" t="str">
            <v>AB019IC</v>
          </cell>
          <cell r="B643" t="str">
            <v>Lilian Atieno Otieno</v>
          </cell>
        </row>
        <row r="644">
          <cell r="A644" t="str">
            <v>LG25476</v>
          </cell>
          <cell r="B644" t="str">
            <v>Lilian Atieno</v>
          </cell>
        </row>
        <row r="645">
          <cell r="A645" t="str">
            <v>LG17838</v>
          </cell>
          <cell r="B645" t="str">
            <v>Liboyi Jacobeth Owiso</v>
          </cell>
        </row>
        <row r="646">
          <cell r="A646" t="str">
            <v>AB019KO</v>
          </cell>
          <cell r="B646" t="str">
            <v>Leonidah Ntinyari</v>
          </cell>
        </row>
        <row r="647">
          <cell r="A647" t="str">
            <v>AB0264C</v>
          </cell>
          <cell r="B647" t="str">
            <v>Leonard Njeru</v>
          </cell>
        </row>
        <row r="648">
          <cell r="A648" t="str">
            <v>LG23362</v>
          </cell>
          <cell r="B648" t="str">
            <v>Leonard Nganda Muendo</v>
          </cell>
        </row>
        <row r="649">
          <cell r="A649" t="str">
            <v>LG12819</v>
          </cell>
          <cell r="B649" t="str">
            <v>Leonard Muasa Kimali</v>
          </cell>
        </row>
        <row r="650">
          <cell r="A650" t="str">
            <v>UB22721</v>
          </cell>
          <cell r="B650" t="str">
            <v>Lencer Orore</v>
          </cell>
        </row>
        <row r="651">
          <cell r="A651" t="str">
            <v>LG22721</v>
          </cell>
          <cell r="B651" t="str">
            <v>Lencer Jill Akinyi Orore</v>
          </cell>
        </row>
        <row r="652">
          <cell r="A652" t="str">
            <v>HISA0014</v>
          </cell>
          <cell r="B652" t="str">
            <v>Leesim Insurance Agency</v>
          </cell>
        </row>
        <row r="653">
          <cell r="A653" t="str">
            <v>AB0215Q</v>
          </cell>
          <cell r="B653" t="str">
            <v>Leah Wanjiru Gathi</v>
          </cell>
        </row>
        <row r="654">
          <cell r="A654" t="str">
            <v>AB019FQ</v>
          </cell>
          <cell r="B654" t="str">
            <v>Lazarus Kariuki Kioko</v>
          </cell>
        </row>
        <row r="655">
          <cell r="A655" t="str">
            <v>LG24906</v>
          </cell>
          <cell r="B655" t="str">
            <v>Lawrence  Macharia Mwangi</v>
          </cell>
        </row>
        <row r="656">
          <cell r="A656" t="str">
            <v>LG11398</v>
          </cell>
          <cell r="B656" t="str">
            <v>Lawrence Kombo Ambundo</v>
          </cell>
        </row>
        <row r="657">
          <cell r="A657" t="str">
            <v>AB022LI</v>
          </cell>
          <cell r="B657" t="str">
            <v>Lavendah Mambia</v>
          </cell>
        </row>
        <row r="658">
          <cell r="A658" t="str">
            <v>LG25596</v>
          </cell>
          <cell r="B658" t="str">
            <v>Laurelia Busieka Munyeshi</v>
          </cell>
        </row>
        <row r="659">
          <cell r="A659" t="str">
            <v>LG19680</v>
          </cell>
          <cell r="B659" t="str">
            <v>Laura Mositzi Namungu</v>
          </cell>
        </row>
        <row r="660">
          <cell r="A660" t="str">
            <v>LG16606</v>
          </cell>
          <cell r="B660" t="str">
            <v>Lameck Yugi</v>
          </cell>
        </row>
        <row r="661">
          <cell r="A661" t="str">
            <v>AB025OK</v>
          </cell>
          <cell r="B661" t="str">
            <v>Laban Magambo Mwandaa</v>
          </cell>
        </row>
        <row r="662">
          <cell r="A662" t="str">
            <v>LG24363</v>
          </cell>
          <cell r="B662" t="str">
            <v>Koskey Brenda Cheronoh</v>
          </cell>
        </row>
        <row r="663">
          <cell r="A663" t="str">
            <v>AB020OD</v>
          </cell>
          <cell r="B663" t="str">
            <v>Koome Karani Mugambi</v>
          </cell>
        </row>
        <row r="664">
          <cell r="A664" t="str">
            <v>BB03431</v>
          </cell>
          <cell r="B664" t="str">
            <v>Koome Asenath</v>
          </cell>
        </row>
        <row r="665">
          <cell r="A665" t="str">
            <v>MKL0351</v>
          </cell>
          <cell r="B665" t="str">
            <v>Koigi, Grace Wairimu</v>
          </cell>
        </row>
        <row r="666">
          <cell r="A666" t="str">
            <v>MKL0272</v>
          </cell>
          <cell r="B666" t="str">
            <v>Kiruri, Joyce Wambui</v>
          </cell>
        </row>
        <row r="667">
          <cell r="A667" t="str">
            <v>LG17019</v>
          </cell>
          <cell r="B667" t="str">
            <v>Kiprono  David</v>
          </cell>
        </row>
        <row r="668">
          <cell r="A668" t="str">
            <v>AB020BG</v>
          </cell>
          <cell r="B668" t="str">
            <v>Kipngetich Koskey</v>
          </cell>
        </row>
        <row r="669">
          <cell r="A669" t="str">
            <v>LG19801</v>
          </cell>
          <cell r="B669" t="str">
            <v>Kipngeno  Cheruiyot</v>
          </cell>
        </row>
        <row r="670">
          <cell r="A670" t="str">
            <v>AB0246D</v>
          </cell>
          <cell r="B670" t="str">
            <v>Kipmutai Korir</v>
          </cell>
        </row>
        <row r="671">
          <cell r="A671" t="str">
            <v>LG20968</v>
          </cell>
          <cell r="B671" t="str">
            <v>Kiplangat  Mutai</v>
          </cell>
        </row>
        <row r="672">
          <cell r="A672" t="str">
            <v>LG22391</v>
          </cell>
          <cell r="B672" t="str">
            <v>Kipkulei Kipkazi Wilfred</v>
          </cell>
        </row>
        <row r="673">
          <cell r="A673" t="str">
            <v>BB20661</v>
          </cell>
          <cell r="B673" t="str">
            <v>Kipkorir  Ronald</v>
          </cell>
        </row>
        <row r="674">
          <cell r="A674" t="str">
            <v>LG18645</v>
          </cell>
          <cell r="B674" t="str">
            <v>Kipkirui  Victor</v>
          </cell>
        </row>
        <row r="675">
          <cell r="A675" t="str">
            <v>MKL0201</v>
          </cell>
          <cell r="B675" t="str">
            <v>Kiarie, Agnes Wanjiku</v>
          </cell>
        </row>
        <row r="676">
          <cell r="A676" t="str">
            <v>AB01739</v>
          </cell>
          <cell r="B676" t="str">
            <v>Keziah Oluomi</v>
          </cell>
        </row>
        <row r="677">
          <cell r="A677" t="str">
            <v>AB026P7</v>
          </cell>
          <cell r="B677" t="str">
            <v xml:space="preserve">Keziah Nyakio Kinyua </v>
          </cell>
        </row>
        <row r="678">
          <cell r="A678" t="str">
            <v>AB019H2</v>
          </cell>
          <cell r="B678" t="str">
            <v>Keziah Manga</v>
          </cell>
        </row>
        <row r="679">
          <cell r="A679" t="str">
            <v>ZBRG082</v>
          </cell>
          <cell r="B679" t="str">
            <v>Kevin Waswa</v>
          </cell>
        </row>
        <row r="680">
          <cell r="A680" t="str">
            <v>ABKO052</v>
          </cell>
          <cell r="B680" t="str">
            <v>Kevin Oruko Odhiambo</v>
          </cell>
        </row>
        <row r="681">
          <cell r="A681" t="str">
            <v>AB02102</v>
          </cell>
          <cell r="B681" t="str">
            <v>Kevin Oirere</v>
          </cell>
        </row>
        <row r="682">
          <cell r="A682" t="str">
            <v>AB021O2</v>
          </cell>
          <cell r="B682" t="str">
            <v>Kevin Oirere</v>
          </cell>
        </row>
        <row r="683">
          <cell r="A683" t="str">
            <v>LG23300</v>
          </cell>
          <cell r="B683" t="str">
            <v>Kevin Ogugu Ombasa</v>
          </cell>
        </row>
        <row r="684">
          <cell r="A684" t="str">
            <v>LG23529</v>
          </cell>
          <cell r="B684" t="str">
            <v>Kevin Odhiambo</v>
          </cell>
        </row>
        <row r="685">
          <cell r="A685" t="str">
            <v>LG24544</v>
          </cell>
          <cell r="B685" t="str">
            <v>Kevin Mwangi Kagiri</v>
          </cell>
        </row>
        <row r="686">
          <cell r="A686" t="str">
            <v>LG25463</v>
          </cell>
          <cell r="B686" t="str">
            <v xml:space="preserve">Kevin Muga </v>
          </cell>
        </row>
        <row r="687">
          <cell r="A687" t="str">
            <v>13111</v>
          </cell>
          <cell r="B687" t="str">
            <v>Kevin Masinde Mbakaya</v>
          </cell>
        </row>
        <row r="688">
          <cell r="A688" t="str">
            <v>LG25052</v>
          </cell>
          <cell r="B688" t="str">
            <v xml:space="preserve">Kevin Makokha Waiswa </v>
          </cell>
        </row>
        <row r="689">
          <cell r="A689" t="str">
            <v>BB25147</v>
          </cell>
          <cell r="B689" t="str">
            <v>KEVIN</v>
          </cell>
        </row>
        <row r="690">
          <cell r="A690" t="str">
            <v>LG25053</v>
          </cell>
          <cell r="B690" t="str">
            <v xml:space="preserve">Kerine Akoth Ayiemba </v>
          </cell>
        </row>
        <row r="691">
          <cell r="A691" t="str">
            <v>LG11497</v>
          </cell>
          <cell r="B691" t="str">
            <v>Kentis Nafula Khisa</v>
          </cell>
        </row>
        <row r="692">
          <cell r="A692" t="str">
            <v>HISA0007</v>
          </cell>
          <cell r="B692" t="str">
            <v xml:space="preserve">KENTAB INSURANCE AGENCY </v>
          </cell>
        </row>
        <row r="693">
          <cell r="A693" t="str">
            <v>LG21449</v>
          </cell>
          <cell r="B693" t="str">
            <v>Kenneth WILLIES Barasa</v>
          </cell>
        </row>
        <row r="694">
          <cell r="A694" t="str">
            <v>LG23109</v>
          </cell>
          <cell r="B694" t="str">
            <v>Kenneth Njoroge Gichinga</v>
          </cell>
        </row>
        <row r="695">
          <cell r="A695" t="str">
            <v>LG22291</v>
          </cell>
          <cell r="B695" t="str">
            <v>Kenneth Kamau Mwangi</v>
          </cell>
        </row>
        <row r="696">
          <cell r="A696" t="str">
            <v>LG22393</v>
          </cell>
          <cell r="B696" t="str">
            <v>Kenneth Gitonga Mwongera</v>
          </cell>
        </row>
        <row r="697">
          <cell r="A697" t="str">
            <v>AB01557</v>
          </cell>
          <cell r="B697" t="str">
            <v>Kenneth Ayoro</v>
          </cell>
        </row>
        <row r="698">
          <cell r="A698" t="str">
            <v>LG24563</v>
          </cell>
          <cell r="B698" t="str">
            <v>Kennedy Zacharia Nyaribo</v>
          </cell>
        </row>
        <row r="699">
          <cell r="A699" t="str">
            <v>BB15370</v>
          </cell>
          <cell r="B699" t="str">
            <v>Kennedy Yotto</v>
          </cell>
        </row>
        <row r="700">
          <cell r="A700" t="str">
            <v>LG15370</v>
          </cell>
          <cell r="B700" t="str">
            <v>Kennedy Ouma Yotto</v>
          </cell>
        </row>
        <row r="701">
          <cell r="A701" t="str">
            <v>LGAB006D6</v>
          </cell>
          <cell r="B701" t="str">
            <v>Kennedy Otieno</v>
          </cell>
        </row>
        <row r="702">
          <cell r="A702" t="str">
            <v>LG19384</v>
          </cell>
          <cell r="B702" t="str">
            <v>Kennedy Onyango Wire</v>
          </cell>
        </row>
        <row r="703">
          <cell r="A703" t="str">
            <v>LG20064</v>
          </cell>
          <cell r="B703" t="str">
            <v>Kennedy Onyango Nandiri</v>
          </cell>
        </row>
        <row r="704">
          <cell r="A704" t="str">
            <v>AB018EA</v>
          </cell>
          <cell r="B704" t="str">
            <v>Kennedy Omondi Owuor</v>
          </cell>
        </row>
        <row r="705">
          <cell r="A705" t="str">
            <v>LG06661</v>
          </cell>
          <cell r="B705" t="str">
            <v>Kennedy Odiwuor Kakumu</v>
          </cell>
        </row>
        <row r="706">
          <cell r="A706" t="str">
            <v>BB15442</v>
          </cell>
          <cell r="B706" t="str">
            <v xml:space="preserve">Kennedy Ngetich </v>
          </cell>
        </row>
        <row r="707">
          <cell r="A707" t="str">
            <v>LG25462</v>
          </cell>
          <cell r="B707" t="str">
            <v>Kennedy Ndung'u Koine</v>
          </cell>
        </row>
        <row r="708">
          <cell r="A708" t="str">
            <v>LG15371</v>
          </cell>
          <cell r="B708" t="str">
            <v>Kennedy Kung`U Wanjiku</v>
          </cell>
        </row>
        <row r="709">
          <cell r="A709" t="str">
            <v>AB019RU</v>
          </cell>
          <cell r="B709" t="str">
            <v>Kennedy Irungu</v>
          </cell>
        </row>
        <row r="710">
          <cell r="A710" t="str">
            <v>LG18761</v>
          </cell>
          <cell r="B710" t="str">
            <v>Kennedy Adolwa Chayuga</v>
          </cell>
        </row>
        <row r="711">
          <cell r="A711" t="str">
            <v>LG17750</v>
          </cell>
          <cell r="B711" t="str">
            <v>Kennedy  Wasike</v>
          </cell>
        </row>
        <row r="712">
          <cell r="A712" t="str">
            <v>BB15371</v>
          </cell>
          <cell r="B712" t="str">
            <v>Ken Kungu</v>
          </cell>
        </row>
        <row r="713">
          <cell r="A713" t="str">
            <v>AB017VU</v>
          </cell>
          <cell r="B713" t="str">
            <v>Kelvin Wamui</v>
          </cell>
        </row>
        <row r="714">
          <cell r="A714" t="str">
            <v>AB025HA</v>
          </cell>
          <cell r="B714" t="str">
            <v>Kelvin Wambua</v>
          </cell>
        </row>
        <row r="715">
          <cell r="A715" t="str">
            <v>LG25257</v>
          </cell>
          <cell r="B715" t="str">
            <v>Kelvin Mureti Kaburu</v>
          </cell>
        </row>
        <row r="716">
          <cell r="A716" t="str">
            <v>LG24919</v>
          </cell>
          <cell r="B716" t="str">
            <v>Kelvin Kubai</v>
          </cell>
        </row>
        <row r="717">
          <cell r="A717" t="str">
            <v>AB011N6</v>
          </cell>
          <cell r="B717" t="str">
            <v>Kelvin Kimutai</v>
          </cell>
        </row>
        <row r="718">
          <cell r="A718" t="str">
            <v>AB017VB</v>
          </cell>
          <cell r="B718" t="str">
            <v>Kelvin Kimanthi Mutoko</v>
          </cell>
        </row>
        <row r="719">
          <cell r="A719" t="str">
            <v>AB019UV</v>
          </cell>
          <cell r="B719" t="str">
            <v>Kelvin Alwala</v>
          </cell>
        </row>
        <row r="720">
          <cell r="A720" t="str">
            <v>LG24948</v>
          </cell>
          <cell r="B720" t="str">
            <v xml:space="preserve">Kegan Okello Omulo </v>
          </cell>
        </row>
        <row r="721">
          <cell r="A721" t="str">
            <v>MKL0609</v>
          </cell>
          <cell r="B721" t="str">
            <v>Kabutu, Basilio Nyamu</v>
          </cell>
        </row>
        <row r="722">
          <cell r="A722" t="str">
            <v>LG21711</v>
          </cell>
          <cell r="B722" t="str">
            <v>Justus Nockrose Onyango</v>
          </cell>
        </row>
        <row r="723">
          <cell r="A723" t="str">
            <v>LG24269</v>
          </cell>
          <cell r="B723" t="str">
            <v xml:space="preserve">Justin Okemwa  </v>
          </cell>
        </row>
        <row r="724">
          <cell r="A724" t="str">
            <v>LG25050</v>
          </cell>
          <cell r="B724" t="str">
            <v>JUSTA NDUBA MBAABU</v>
          </cell>
        </row>
        <row r="725">
          <cell r="A725" t="str">
            <v>LG19773</v>
          </cell>
          <cell r="B725" t="str">
            <v>June Kedego Lihanda</v>
          </cell>
        </row>
        <row r="726">
          <cell r="A726" t="str">
            <v>LG21890</v>
          </cell>
          <cell r="B726" t="str">
            <v>June  Kiptoo</v>
          </cell>
        </row>
        <row r="727">
          <cell r="A727" t="str">
            <v>BB13454</v>
          </cell>
          <cell r="B727" t="str">
            <v>Jumapili  Lenkewa</v>
          </cell>
        </row>
        <row r="728">
          <cell r="A728" t="str">
            <v>ABJMABO</v>
          </cell>
          <cell r="B728" t="str">
            <v>Julius Mugane</v>
          </cell>
        </row>
        <row r="729">
          <cell r="A729" t="str">
            <v>BB06034</v>
          </cell>
          <cell r="B729" t="str">
            <v>Juliet Ndila Matheka</v>
          </cell>
        </row>
        <row r="730">
          <cell r="A730" t="str">
            <v>AB0250R</v>
          </cell>
          <cell r="B730" t="str">
            <v>Juliet Momanyi</v>
          </cell>
        </row>
        <row r="731">
          <cell r="A731" t="str">
            <v>AB025OR</v>
          </cell>
          <cell r="B731" t="str">
            <v>Juliet Kemunto Momanyi</v>
          </cell>
        </row>
        <row r="732">
          <cell r="A732" t="str">
            <v>LG24407</v>
          </cell>
          <cell r="B732" t="str">
            <v>Juliet Atieno Odongo</v>
          </cell>
        </row>
        <row r="733">
          <cell r="A733" t="str">
            <v>AB025HE</v>
          </cell>
          <cell r="B733" t="str">
            <v>Juliana Wavinya Mutua</v>
          </cell>
        </row>
        <row r="734">
          <cell r="A734" t="str">
            <v>LG24360</v>
          </cell>
          <cell r="B734" t="str">
            <v>Julia Waithera Mburu</v>
          </cell>
        </row>
        <row r="735">
          <cell r="A735" t="str">
            <v>SM24341</v>
          </cell>
          <cell r="B735" t="str">
            <v>Julia Marenya</v>
          </cell>
        </row>
        <row r="736">
          <cell r="A736" t="str">
            <v>HISA0011</v>
          </cell>
          <cell r="B736" t="str">
            <v>Julia Kamau</v>
          </cell>
        </row>
        <row r="737">
          <cell r="A737" t="str">
            <v>LG24401</v>
          </cell>
          <cell r="B737" t="str">
            <v>Julia Edna Wanjira Gichuki</v>
          </cell>
        </row>
        <row r="738">
          <cell r="A738" t="str">
            <v>AB011JT</v>
          </cell>
          <cell r="B738" t="str">
            <v>Judy Sambai</v>
          </cell>
        </row>
        <row r="739">
          <cell r="A739" t="str">
            <v>LG23238</v>
          </cell>
          <cell r="B739" t="str">
            <v>Judy Ngami Francis</v>
          </cell>
        </row>
        <row r="740">
          <cell r="A740" t="str">
            <v>13057</v>
          </cell>
          <cell r="B740" t="str">
            <v>Judy Mumbe Berita</v>
          </cell>
        </row>
        <row r="741">
          <cell r="A741" t="str">
            <v>AB023WC</v>
          </cell>
          <cell r="B741" t="str">
            <v>Judy Mugo</v>
          </cell>
        </row>
        <row r="742">
          <cell r="A742" t="str">
            <v>AB022VO</v>
          </cell>
          <cell r="B742" t="str">
            <v>Judy Kipchumba</v>
          </cell>
        </row>
        <row r="743">
          <cell r="A743" t="str">
            <v>AB022V0</v>
          </cell>
          <cell r="B743" t="str">
            <v>Judy Jerono Kipchumba</v>
          </cell>
        </row>
        <row r="744">
          <cell r="A744" t="str">
            <v>AB019V2</v>
          </cell>
          <cell r="B744" t="str">
            <v>Judy Arama</v>
          </cell>
        </row>
        <row r="745">
          <cell r="A745" t="str">
            <v>BB09553</v>
          </cell>
          <cell r="B745" t="str">
            <v>Judith Nyathira Njogu</v>
          </cell>
        </row>
        <row r="746">
          <cell r="A746" t="str">
            <v>LG18862</v>
          </cell>
          <cell r="B746" t="str">
            <v>Judith Chebet Langat</v>
          </cell>
        </row>
        <row r="747">
          <cell r="A747" t="str">
            <v>LG12701</v>
          </cell>
          <cell r="B747" t="str">
            <v>Judith Atieno Otieno</v>
          </cell>
        </row>
        <row r="748">
          <cell r="A748" t="str">
            <v>LG23551</v>
          </cell>
          <cell r="B748" t="str">
            <v>Judith  Chepkoech</v>
          </cell>
        </row>
        <row r="749">
          <cell r="A749" t="str">
            <v>AB019VX</v>
          </cell>
          <cell r="B749" t="str">
            <v>Juddy Gathoni Kiboi</v>
          </cell>
        </row>
        <row r="750">
          <cell r="A750" t="str">
            <v>HISA0004</v>
          </cell>
          <cell r="B750" t="str">
            <v>JOYCE WANGUI NGANGA</v>
          </cell>
        </row>
        <row r="751">
          <cell r="A751" t="str">
            <v>LG24557</v>
          </cell>
          <cell r="B751" t="str">
            <v>Joyce Wambui Kabugua</v>
          </cell>
        </row>
        <row r="752">
          <cell r="A752" t="str">
            <v>AB027FR</v>
          </cell>
          <cell r="B752" t="str">
            <v>Joyce Otieno</v>
          </cell>
        </row>
        <row r="753">
          <cell r="A753" t="str">
            <v>LG24761</v>
          </cell>
          <cell r="B753" t="str">
            <v>Joyce Nyakio thairu</v>
          </cell>
        </row>
        <row r="754">
          <cell r="A754" t="str">
            <v>AB019L0</v>
          </cell>
          <cell r="B754" t="str">
            <v>Joyce Mercy Onyango</v>
          </cell>
        </row>
        <row r="755">
          <cell r="A755" t="str">
            <v>HISA0010</v>
          </cell>
          <cell r="B755" t="str">
            <v>Joyce Kamau</v>
          </cell>
        </row>
        <row r="756">
          <cell r="A756" t="str">
            <v>LG20055</v>
          </cell>
          <cell r="B756" t="str">
            <v>Joyce Kabura Otieno</v>
          </cell>
        </row>
        <row r="757">
          <cell r="A757" t="str">
            <v>AB015MA</v>
          </cell>
          <cell r="B757" t="str">
            <v xml:space="preserve">Joy Wamboi Munge </v>
          </cell>
        </row>
        <row r="758">
          <cell r="A758" t="str">
            <v>AB0154W</v>
          </cell>
          <cell r="B758" t="str">
            <v>Joy Miya</v>
          </cell>
        </row>
        <row r="759">
          <cell r="A759" t="str">
            <v>LG23416</v>
          </cell>
          <cell r="B759" t="str">
            <v>Joy Chepkorir Koech</v>
          </cell>
        </row>
        <row r="760">
          <cell r="A760" t="str">
            <v>AB019IG</v>
          </cell>
          <cell r="B760" t="str">
            <v>Josphat Theuri</v>
          </cell>
        </row>
        <row r="761">
          <cell r="A761" t="str">
            <v>LG21126</v>
          </cell>
          <cell r="B761" t="str">
            <v>Josphat NGURE Wairimu</v>
          </cell>
        </row>
        <row r="762">
          <cell r="A762" t="str">
            <v>BB17013</v>
          </cell>
          <cell r="B762" t="str">
            <v>Josphat Mutwiri</v>
          </cell>
        </row>
        <row r="763">
          <cell r="A763" t="str">
            <v>LG17013</v>
          </cell>
          <cell r="B763" t="str">
            <v>Josphat Muriungi Mutwiri</v>
          </cell>
        </row>
        <row r="764">
          <cell r="A764" t="str">
            <v>ZBRG081</v>
          </cell>
          <cell r="B764" t="str">
            <v>Josiah Kihono</v>
          </cell>
        </row>
        <row r="765">
          <cell r="A765" t="str">
            <v>LG205891</v>
          </cell>
          <cell r="B765" t="str">
            <v>Joshua Riandi</v>
          </cell>
        </row>
        <row r="766">
          <cell r="A766" t="str">
            <v>AB0154R</v>
          </cell>
          <cell r="B766" t="str">
            <v>Joshua Owidi</v>
          </cell>
        </row>
        <row r="767">
          <cell r="A767" t="str">
            <v>LG15404</v>
          </cell>
          <cell r="B767" t="str">
            <v>Joshua Maluti Kilei</v>
          </cell>
        </row>
        <row r="768">
          <cell r="A768" t="str">
            <v>BB10852</v>
          </cell>
          <cell r="B768" t="str">
            <v>Joshua Maiyo</v>
          </cell>
        </row>
        <row r="769">
          <cell r="A769" t="str">
            <v>AB019I2</v>
          </cell>
          <cell r="B769" t="str">
            <v>Joshua Kiendi Mutua</v>
          </cell>
        </row>
        <row r="770">
          <cell r="A770" t="str">
            <v>LG23192</v>
          </cell>
          <cell r="B770" t="str">
            <v>Joshua Kiendi Mutua</v>
          </cell>
        </row>
        <row r="771">
          <cell r="A771" t="str">
            <v>AB0297P</v>
          </cell>
          <cell r="B771" t="str">
            <v>Joshua Kerema</v>
          </cell>
        </row>
        <row r="772">
          <cell r="A772" t="str">
            <v>LG20589</v>
          </cell>
          <cell r="B772" t="str">
            <v>Joshua  Riandi</v>
          </cell>
        </row>
        <row r="773">
          <cell r="A773" t="str">
            <v>LG24337</v>
          </cell>
          <cell r="B773" t="str">
            <v>Josephine Mbula</v>
          </cell>
        </row>
        <row r="774">
          <cell r="A774" t="str">
            <v>LG22273</v>
          </cell>
          <cell r="B774" t="str">
            <v>Josephine Kilonzo</v>
          </cell>
        </row>
        <row r="775">
          <cell r="A775" t="str">
            <v>LG22166</v>
          </cell>
          <cell r="B775" t="str">
            <v>JOSEPHINE KATHURI</v>
          </cell>
        </row>
        <row r="776">
          <cell r="A776" t="str">
            <v>LG15780</v>
          </cell>
          <cell r="B776" t="str">
            <v>Josephine Atieno Odhiambo</v>
          </cell>
        </row>
        <row r="777">
          <cell r="A777" t="str">
            <v>ABJK643</v>
          </cell>
          <cell r="B777" t="str">
            <v>Josephine  Kilonzo</v>
          </cell>
        </row>
        <row r="778">
          <cell r="A778" t="str">
            <v>BB11107</v>
          </cell>
          <cell r="B778" t="str">
            <v>Josephat Musyoka Mwau</v>
          </cell>
        </row>
        <row r="779">
          <cell r="A779" t="str">
            <v>LG24322</v>
          </cell>
          <cell r="B779" t="str">
            <v xml:space="preserve">Joseph Wamutira </v>
          </cell>
        </row>
        <row r="780">
          <cell r="A780" t="str">
            <v>LG18302</v>
          </cell>
          <cell r="B780" t="str">
            <v>Joseph Wambugu Njeri</v>
          </cell>
        </row>
        <row r="781">
          <cell r="A781" t="str">
            <v>LG24611</v>
          </cell>
          <cell r="B781" t="str">
            <v>Joseph Odari Mahenwe</v>
          </cell>
        </row>
        <row r="782">
          <cell r="A782" t="str">
            <v>BB07547</v>
          </cell>
          <cell r="B782" t="str">
            <v>Joseph Ngugi Muthee</v>
          </cell>
        </row>
        <row r="783">
          <cell r="A783" t="str">
            <v>BB20651</v>
          </cell>
          <cell r="B783" t="str">
            <v>Joseph Mwangi Watoro</v>
          </cell>
        </row>
        <row r="784">
          <cell r="A784" t="str">
            <v>AB011GR</v>
          </cell>
          <cell r="B784" t="str">
            <v>Joseph Mwangi</v>
          </cell>
        </row>
        <row r="785">
          <cell r="A785" t="str">
            <v>LG06025</v>
          </cell>
          <cell r="B785" t="str">
            <v>Joseph Munyao Kitala</v>
          </cell>
        </row>
        <row r="786">
          <cell r="A786" t="str">
            <v>LG12969</v>
          </cell>
          <cell r="B786" t="str">
            <v>Joseph Mugambi Japhet</v>
          </cell>
        </row>
        <row r="787">
          <cell r="A787" t="str">
            <v>LG21485</v>
          </cell>
          <cell r="B787" t="str">
            <v>Joseph Mbondo Nzula</v>
          </cell>
        </row>
        <row r="788">
          <cell r="A788" t="str">
            <v>AB0154S</v>
          </cell>
          <cell r="B788" t="str">
            <v>Joseph Mbithi</v>
          </cell>
        </row>
        <row r="789">
          <cell r="A789" t="str">
            <v>BB16863</v>
          </cell>
          <cell r="B789" t="str">
            <v>Joseph Macharia</v>
          </cell>
        </row>
        <row r="790">
          <cell r="A790" t="str">
            <v>LG16923</v>
          </cell>
          <cell r="B790" t="str">
            <v>Joseph Kimetu Ngila</v>
          </cell>
        </row>
        <row r="791">
          <cell r="A791" t="str">
            <v>AB0111GR</v>
          </cell>
          <cell r="B791" t="str">
            <v>Joseph Kiberu Mwangi</v>
          </cell>
        </row>
        <row r="792">
          <cell r="A792" t="str">
            <v>LG24266</v>
          </cell>
          <cell r="B792" t="str">
            <v>Joseph Kamau Kairu</v>
          </cell>
        </row>
        <row r="793">
          <cell r="A793" t="str">
            <v>SP3212001</v>
          </cell>
          <cell r="B793" t="str">
            <v xml:space="preserve">Joseph Kairu </v>
          </cell>
        </row>
        <row r="794">
          <cell r="A794" t="str">
            <v>ABJK798</v>
          </cell>
          <cell r="B794" t="str">
            <v xml:space="preserve">Joseph Kairu </v>
          </cell>
        </row>
        <row r="795">
          <cell r="A795" t="str">
            <v>ABJK798</v>
          </cell>
          <cell r="B795" t="str">
            <v>Joseph Kairu</v>
          </cell>
        </row>
        <row r="796">
          <cell r="A796" t="str">
            <v>LG16863</v>
          </cell>
          <cell r="B796" t="str">
            <v>Joseph Gatoto Macharia</v>
          </cell>
        </row>
        <row r="797">
          <cell r="A797" t="str">
            <v>LG23077</v>
          </cell>
          <cell r="B797" t="str">
            <v>Joram Macharia Irungu</v>
          </cell>
        </row>
        <row r="798">
          <cell r="A798" t="str">
            <v>LG10602</v>
          </cell>
          <cell r="B798" t="str">
            <v>Jonathan Parsinante Naisho</v>
          </cell>
        </row>
        <row r="799">
          <cell r="A799" t="str">
            <v>LG16258</v>
          </cell>
          <cell r="B799" t="str">
            <v>Jonathan Birya Kopia</v>
          </cell>
        </row>
        <row r="800">
          <cell r="A800" t="str">
            <v>LG25048</v>
          </cell>
          <cell r="B800" t="str">
            <v>Jonah Mutua Philip</v>
          </cell>
        </row>
        <row r="801">
          <cell r="A801" t="str">
            <v>AB021KN</v>
          </cell>
          <cell r="B801" t="str">
            <v>Johnstone Makio</v>
          </cell>
        </row>
        <row r="802">
          <cell r="A802" t="str">
            <v>AB019HU</v>
          </cell>
          <cell r="B802" t="str">
            <v>Johnson Kanene</v>
          </cell>
        </row>
        <row r="803">
          <cell r="A803" t="str">
            <v>BB11962</v>
          </cell>
          <cell r="B803" t="str">
            <v>Johnpaul Mulongo Lukorito</v>
          </cell>
        </row>
        <row r="804">
          <cell r="A804" t="str">
            <v>HISA0003</v>
          </cell>
          <cell r="B804" t="str">
            <v>JOHN WANJAGI GICHANGA</v>
          </cell>
        </row>
        <row r="805">
          <cell r="A805" t="str">
            <v>AB020B8</v>
          </cell>
          <cell r="B805" t="str">
            <v>John Obuya</v>
          </cell>
        </row>
        <row r="806">
          <cell r="A806" t="str">
            <v>BB14948</v>
          </cell>
          <cell r="B806" t="str">
            <v>John Nzau Mulee</v>
          </cell>
        </row>
        <row r="807">
          <cell r="A807" t="str">
            <v>BB13104</v>
          </cell>
          <cell r="B807" t="str">
            <v xml:space="preserve">John Mwangi </v>
          </cell>
        </row>
        <row r="808">
          <cell r="A808" t="str">
            <v>AB022G8</v>
          </cell>
          <cell r="B808" t="str">
            <v>John Murumba</v>
          </cell>
        </row>
        <row r="809">
          <cell r="A809" t="str">
            <v>AB026BA</v>
          </cell>
          <cell r="B809" t="str">
            <v>John Muregi Kamau</v>
          </cell>
        </row>
        <row r="810">
          <cell r="A810" t="str">
            <v>LG22825</v>
          </cell>
          <cell r="B810" t="str">
            <v>John Mumo Mwetu</v>
          </cell>
        </row>
        <row r="811">
          <cell r="A811" t="str">
            <v>AB029OY</v>
          </cell>
          <cell r="B811" t="str">
            <v>John Mbithe</v>
          </cell>
        </row>
        <row r="812">
          <cell r="A812" t="str">
            <v>LG24530</v>
          </cell>
          <cell r="B812" t="str">
            <v>John Kyalo Mwangangi</v>
          </cell>
        </row>
        <row r="813">
          <cell r="A813" t="str">
            <v>AB020BH</v>
          </cell>
          <cell r="B813" t="str">
            <v>John Gitundu</v>
          </cell>
        </row>
        <row r="814">
          <cell r="A814" t="str">
            <v>LG18631</v>
          </cell>
          <cell r="B814" t="str">
            <v>John Gitau Mwangi</v>
          </cell>
        </row>
        <row r="815">
          <cell r="A815" t="str">
            <v>LG22297</v>
          </cell>
          <cell r="B815" t="str">
            <v>John Chege Mwangi</v>
          </cell>
        </row>
        <row r="816">
          <cell r="A816" t="str">
            <v>LG25091</v>
          </cell>
          <cell r="B816" t="str">
            <v xml:space="preserve">John Akinyi Angeline </v>
          </cell>
        </row>
        <row r="817">
          <cell r="A817" t="str">
            <v>LG21853</v>
          </cell>
          <cell r="B817" t="str">
            <v>John  Owino</v>
          </cell>
        </row>
        <row r="818">
          <cell r="A818" t="str">
            <v>BB21346</v>
          </cell>
          <cell r="B818" t="str">
            <v>John  Mutua</v>
          </cell>
        </row>
        <row r="819">
          <cell r="A819" t="str">
            <v>LG22392</v>
          </cell>
          <cell r="B819" t="str">
            <v>Johana Njagi Nyaga</v>
          </cell>
        </row>
        <row r="820">
          <cell r="A820" t="str">
            <v>BB06820</v>
          </cell>
          <cell r="B820" t="str">
            <v>Joel Willis Onyango</v>
          </cell>
        </row>
        <row r="821">
          <cell r="A821" t="str">
            <v>AB019HM</v>
          </cell>
          <cell r="B821" t="str">
            <v>Joel Mutweko</v>
          </cell>
        </row>
        <row r="822">
          <cell r="A822" t="str">
            <v>BB25126</v>
          </cell>
          <cell r="B822" t="str">
            <v xml:space="preserve">Joel Kipkoech Korir </v>
          </cell>
        </row>
        <row r="823">
          <cell r="A823" t="str">
            <v>AB024OW</v>
          </cell>
          <cell r="B823" t="str">
            <v>Joel Bundi Ongeta</v>
          </cell>
        </row>
        <row r="824">
          <cell r="A824" t="str">
            <v>AB019HW</v>
          </cell>
          <cell r="B824" t="str">
            <v>Job Munyao</v>
          </cell>
        </row>
        <row r="825">
          <cell r="A825" t="str">
            <v>LG24626</v>
          </cell>
          <cell r="B825" t="str">
            <v>Job Gitonga</v>
          </cell>
        </row>
        <row r="826">
          <cell r="A826" t="str">
            <v>BB09278</v>
          </cell>
          <cell r="B826" t="str">
            <v>Joan Njoki Kiragu</v>
          </cell>
        </row>
        <row r="827">
          <cell r="A827" t="str">
            <v>LG23544</v>
          </cell>
          <cell r="B827" t="str">
            <v>Joan Njoki Kariuki</v>
          </cell>
        </row>
        <row r="828">
          <cell r="A828" t="str">
            <v>BB20656</v>
          </cell>
          <cell r="B828" t="str">
            <v>Joan Monthe Ngui</v>
          </cell>
        </row>
        <row r="829">
          <cell r="A829" t="str">
            <v>LG21255</v>
          </cell>
          <cell r="B829" t="str">
            <v>Joan KIGEN Kibet</v>
          </cell>
        </row>
        <row r="830">
          <cell r="A830" t="str">
            <v>LG23330</v>
          </cell>
          <cell r="B830" t="str">
            <v>Joan Jerono Sang</v>
          </cell>
        </row>
        <row r="831">
          <cell r="A831" t="str">
            <v>BB18986</v>
          </cell>
          <cell r="B831" t="str">
            <v>Joan Amondi Abega</v>
          </cell>
        </row>
        <row r="832">
          <cell r="A832" t="str">
            <v>AB027LB</v>
          </cell>
          <cell r="B832" t="str">
            <v>Jerotich Cherop</v>
          </cell>
        </row>
        <row r="833">
          <cell r="A833" t="str">
            <v>LG24911</v>
          </cell>
          <cell r="B833" t="str">
            <v>Jenniffer  Nyambura Kimaru</v>
          </cell>
        </row>
        <row r="834">
          <cell r="A834" t="str">
            <v>LG20393</v>
          </cell>
          <cell r="B834" t="str">
            <v>Jenipher WAKIO Msinga</v>
          </cell>
        </row>
        <row r="835">
          <cell r="A835" t="str">
            <v>AB0231A</v>
          </cell>
          <cell r="B835" t="str">
            <v>Jemutai Kirwok</v>
          </cell>
        </row>
        <row r="836">
          <cell r="A836" t="str">
            <v>BB22508</v>
          </cell>
          <cell r="B836" t="str">
            <v>Jemimah Auma</v>
          </cell>
        </row>
        <row r="837">
          <cell r="A837" t="str">
            <v>BB17441</v>
          </cell>
          <cell r="B837" t="str">
            <v>Jelimo Jepkosgei Biwott</v>
          </cell>
        </row>
        <row r="838">
          <cell r="A838" t="str">
            <v>LG25609</v>
          </cell>
          <cell r="B838" t="str">
            <v xml:space="preserve">Jeffrey Mugambi </v>
          </cell>
        </row>
        <row r="839">
          <cell r="A839" t="str">
            <v>LG24583</v>
          </cell>
          <cell r="B839" t="str">
            <v>Jefferson Muendo Mulandi</v>
          </cell>
        </row>
        <row r="840">
          <cell r="A840" t="str">
            <v>ABJW599</v>
          </cell>
          <cell r="B840" t="str">
            <v>Jedidah Wangari Waititu</v>
          </cell>
        </row>
        <row r="841">
          <cell r="A841" t="str">
            <v>AB02897</v>
          </cell>
          <cell r="B841" t="str">
            <v>Jecinta Mburu</v>
          </cell>
        </row>
        <row r="842">
          <cell r="A842" t="str">
            <v>AB024VV</v>
          </cell>
          <cell r="B842" t="str">
            <v>Jebet Kipyegon</v>
          </cell>
        </row>
        <row r="843">
          <cell r="A843" t="str">
            <v>BB04526</v>
          </cell>
          <cell r="B843" t="str">
            <v>Jashon Mumbo Owino</v>
          </cell>
        </row>
        <row r="844">
          <cell r="A844" t="str">
            <v>AB006MM</v>
          </cell>
          <cell r="B844" t="str">
            <v>Jarson Kilonzo</v>
          </cell>
        </row>
        <row r="845">
          <cell r="A845" t="str">
            <v>AB019Y1</v>
          </cell>
          <cell r="B845" t="str">
            <v>Jared Olwal</v>
          </cell>
        </row>
        <row r="846">
          <cell r="A846" t="str">
            <v>BB12807</v>
          </cell>
          <cell r="B846" t="str">
            <v>Jared Nyambox</v>
          </cell>
        </row>
        <row r="847">
          <cell r="A847" t="str">
            <v>LG23431</v>
          </cell>
          <cell r="B847" t="str">
            <v>Jared Kiprono Bichiy</v>
          </cell>
        </row>
        <row r="848">
          <cell r="A848" t="str">
            <v>LG24242</v>
          </cell>
          <cell r="B848" t="str">
            <v>Janet Jepkemboi Kiprono</v>
          </cell>
        </row>
        <row r="849">
          <cell r="A849" t="str">
            <v>BB15791</v>
          </cell>
          <cell r="B849" t="str">
            <v>Janet Wanjiku Gicho</v>
          </cell>
        </row>
        <row r="850">
          <cell r="A850" t="str">
            <v>LG21841</v>
          </cell>
          <cell r="B850" t="str">
            <v>Janet  Kitaka</v>
          </cell>
        </row>
        <row r="851">
          <cell r="A851" t="str">
            <v>HISA0005</v>
          </cell>
          <cell r="B851" t="str">
            <v>Beatrice Wanjiku Ndukui</v>
          </cell>
        </row>
        <row r="852">
          <cell r="A852" t="str">
            <v>BB04451</v>
          </cell>
          <cell r="B852" t="str">
            <v>Jane Wambui Karanja</v>
          </cell>
        </row>
        <row r="853">
          <cell r="A853" t="str">
            <v>BB14528</v>
          </cell>
          <cell r="B853" t="str">
            <v>Jane Waikwa</v>
          </cell>
        </row>
        <row r="854">
          <cell r="A854" t="str">
            <v>LG12958</v>
          </cell>
          <cell r="B854" t="str">
            <v>Jane Vivian Adhiambo</v>
          </cell>
        </row>
        <row r="855">
          <cell r="A855" t="str">
            <v>BB06539</v>
          </cell>
          <cell r="B855" t="str">
            <v>Jane Nyambura Mburu</v>
          </cell>
        </row>
        <row r="856">
          <cell r="A856" t="str">
            <v>11606</v>
          </cell>
          <cell r="B856" t="str">
            <v>Jane Ngai</v>
          </cell>
        </row>
        <row r="857">
          <cell r="A857" t="str">
            <v>ABJK582</v>
          </cell>
          <cell r="B857" t="str">
            <v>Jane Nduta Karanja</v>
          </cell>
        </row>
        <row r="858">
          <cell r="A858" t="str">
            <v>AB017VX</v>
          </cell>
          <cell r="B858" t="str">
            <v>Jane Mundi</v>
          </cell>
        </row>
        <row r="859">
          <cell r="A859" t="str">
            <v>AB027B2</v>
          </cell>
          <cell r="B859" t="str">
            <v>Jane Mumbi</v>
          </cell>
        </row>
        <row r="860">
          <cell r="A860" t="str">
            <v>LG17147</v>
          </cell>
          <cell r="B860" t="str">
            <v>Jane Mugure Wambui</v>
          </cell>
        </row>
        <row r="861">
          <cell r="A861" t="str">
            <v>BB17147</v>
          </cell>
          <cell r="B861" t="str">
            <v>Jane Mugure Wambui</v>
          </cell>
        </row>
        <row r="862">
          <cell r="A862" t="str">
            <v>BB6539</v>
          </cell>
          <cell r="B862" t="str">
            <v xml:space="preserve">Jane Mburu </v>
          </cell>
        </row>
        <row r="863">
          <cell r="A863" t="str">
            <v>AB017VX</v>
          </cell>
          <cell r="B863" t="str">
            <v>Jane Mbithe Mundi</v>
          </cell>
        </row>
        <row r="864">
          <cell r="A864" t="str">
            <v>ABJK582</v>
          </cell>
          <cell r="B864" t="str">
            <v>Jane Karanja</v>
          </cell>
        </row>
        <row r="865">
          <cell r="A865" t="str">
            <v>LG25252</v>
          </cell>
          <cell r="B865" t="str">
            <v xml:space="preserve">Jane Karambu </v>
          </cell>
        </row>
        <row r="866">
          <cell r="A866" t="str">
            <v>LG25573</v>
          </cell>
          <cell r="B866" t="str">
            <v>Jane Chepngetich Koech</v>
          </cell>
        </row>
        <row r="867">
          <cell r="A867" t="str">
            <v>AB025OP</v>
          </cell>
          <cell r="B867" t="str">
            <v>Jamlick Kimathi</v>
          </cell>
        </row>
        <row r="868">
          <cell r="A868" t="str">
            <v>AB02074</v>
          </cell>
          <cell r="B868" t="str">
            <v>James Wanyama Simiyu</v>
          </cell>
        </row>
        <row r="869">
          <cell r="A869" t="str">
            <v>AB0207H</v>
          </cell>
          <cell r="B869" t="str">
            <v>James Simiyu</v>
          </cell>
        </row>
        <row r="870">
          <cell r="A870" t="str">
            <v>LG19358</v>
          </cell>
          <cell r="B870" t="str">
            <v>James Otieno Ochom</v>
          </cell>
        </row>
        <row r="871">
          <cell r="A871" t="str">
            <v>AB023XX</v>
          </cell>
          <cell r="B871" t="str">
            <v>James Ondere Nyachong</v>
          </cell>
        </row>
        <row r="872">
          <cell r="A872" t="str">
            <v>5115</v>
          </cell>
          <cell r="B872" t="str">
            <v>James Mwangangi Makau</v>
          </cell>
        </row>
        <row r="873">
          <cell r="A873" t="str">
            <v>BB07459</v>
          </cell>
          <cell r="B873" t="str">
            <v>James Mutugi Nyaga</v>
          </cell>
        </row>
        <row r="874">
          <cell r="A874" t="str">
            <v>LG24309</v>
          </cell>
          <cell r="B874" t="str">
            <v>James Mbuvi Mwongela</v>
          </cell>
        </row>
        <row r="875">
          <cell r="A875" t="str">
            <v>ABJT405</v>
          </cell>
          <cell r="B875" t="str">
            <v>James Maingi Thetu</v>
          </cell>
        </row>
        <row r="876">
          <cell r="A876" t="str">
            <v>BB20254</v>
          </cell>
          <cell r="B876" t="str">
            <v>James Maingi Thetu</v>
          </cell>
        </row>
        <row r="877">
          <cell r="A877" t="str">
            <v>AB017VN</v>
          </cell>
          <cell r="B877" t="str">
            <v>James Kuyo</v>
          </cell>
        </row>
        <row r="878">
          <cell r="A878" t="str">
            <v>ABJK664</v>
          </cell>
          <cell r="B878" t="str">
            <v xml:space="preserve">James Koigi </v>
          </cell>
        </row>
        <row r="879">
          <cell r="A879" t="str">
            <v>BB06203</v>
          </cell>
          <cell r="B879" t="str">
            <v>James Kinoti Kamundi</v>
          </cell>
        </row>
        <row r="880">
          <cell r="A880" t="str">
            <v>LG23537</v>
          </cell>
          <cell r="B880" t="str">
            <v>James Kariuki Njau</v>
          </cell>
        </row>
        <row r="881">
          <cell r="A881" t="str">
            <v>LG24566</v>
          </cell>
          <cell r="B881" t="str">
            <v xml:space="preserve">Jacquiline Wakibia </v>
          </cell>
        </row>
        <row r="882">
          <cell r="A882" t="str">
            <v>LG25219</v>
          </cell>
          <cell r="B882" t="str">
            <v>Jacqueline Wambui Mwaura</v>
          </cell>
        </row>
        <row r="883">
          <cell r="A883" t="str">
            <v>LG16712</v>
          </cell>
          <cell r="B883" t="str">
            <v>Jacqueline Kharanda Makomere</v>
          </cell>
        </row>
        <row r="884">
          <cell r="A884">
            <v>12052</v>
          </cell>
          <cell r="B884" t="str">
            <v>Jackson Onzere</v>
          </cell>
        </row>
        <row r="885">
          <cell r="A885" t="str">
            <v>LG23046</v>
          </cell>
          <cell r="B885" t="str">
            <v>Jackson Nyaito Ochungo</v>
          </cell>
        </row>
        <row r="886">
          <cell r="A886" t="str">
            <v>ABJO243</v>
          </cell>
          <cell r="B886" t="str">
            <v>Jackson Nyaito Ochungo</v>
          </cell>
        </row>
        <row r="887">
          <cell r="A887" t="str">
            <v>BB23496</v>
          </cell>
          <cell r="B887" t="str">
            <v>Jackson  Nyakang'o</v>
          </cell>
        </row>
        <row r="888">
          <cell r="A888" t="str">
            <v>5148</v>
          </cell>
          <cell r="B888" t="str">
            <v>Jacklyn Okuku</v>
          </cell>
        </row>
        <row r="889">
          <cell r="A889" t="str">
            <v>HISA0002</v>
          </cell>
          <cell r="B889" t="str">
            <v>JACKLINE WATURI MUIGA</v>
          </cell>
        </row>
        <row r="890">
          <cell r="A890" t="str">
            <v>AB0155B</v>
          </cell>
          <cell r="B890" t="str">
            <v>Jackline Peter</v>
          </cell>
        </row>
        <row r="891">
          <cell r="A891" t="str">
            <v>AB011JO</v>
          </cell>
          <cell r="B891" t="str">
            <v>Jackline Njuki</v>
          </cell>
        </row>
        <row r="892">
          <cell r="A892" t="str">
            <v>AB019HY</v>
          </cell>
          <cell r="B892" t="str">
            <v>Jackline Njiru</v>
          </cell>
        </row>
        <row r="893">
          <cell r="A893" t="str">
            <v>LG24759</v>
          </cell>
          <cell r="B893" t="str">
            <v>Jackline Murugi Njoka</v>
          </cell>
        </row>
        <row r="894">
          <cell r="A894" t="str">
            <v>AB011JN</v>
          </cell>
          <cell r="B894" t="str">
            <v>Jackline Mumbua</v>
          </cell>
        </row>
        <row r="895">
          <cell r="A895" t="str">
            <v>LG22226</v>
          </cell>
          <cell r="B895" t="str">
            <v>Jackline Makena Mbaabu</v>
          </cell>
        </row>
        <row r="896">
          <cell r="A896" t="str">
            <v>ABJMAGL</v>
          </cell>
          <cell r="B896" t="str">
            <v>Jackline Kavoo Mwengi</v>
          </cell>
        </row>
        <row r="897">
          <cell r="A897" t="str">
            <v>LG21904</v>
          </cell>
          <cell r="B897" t="str">
            <v>Jackline Adongo Lumumba</v>
          </cell>
        </row>
        <row r="898">
          <cell r="A898" t="str">
            <v>LG18893</v>
          </cell>
          <cell r="B898" t="str">
            <v>Jackline  Yego</v>
          </cell>
        </row>
        <row r="899">
          <cell r="A899" t="str">
            <v>BB09744</v>
          </cell>
          <cell r="B899" t="str">
            <v>Jack  Mukabwa</v>
          </cell>
        </row>
        <row r="900">
          <cell r="A900" t="str">
            <v>AB022UG</v>
          </cell>
          <cell r="B900" t="str">
            <v>Jacinta Mwau</v>
          </cell>
        </row>
        <row r="901">
          <cell r="A901" t="str">
            <v>ABJMAG8</v>
          </cell>
          <cell r="B901" t="str">
            <v>Jacinta Mutuku</v>
          </cell>
        </row>
        <row r="902">
          <cell r="A902" t="str">
            <v>AB025GL</v>
          </cell>
          <cell r="B902" t="str">
            <v>Jacinta Francis</v>
          </cell>
        </row>
        <row r="903">
          <cell r="A903" t="str">
            <v>LG24896</v>
          </cell>
          <cell r="B903" t="str">
            <v xml:space="preserve">Ismail Hassan Mohamed </v>
          </cell>
        </row>
        <row r="904">
          <cell r="A904" t="str">
            <v>AB0236P</v>
          </cell>
          <cell r="B904" t="str">
            <v>Ishmael King'ori</v>
          </cell>
        </row>
        <row r="905">
          <cell r="A905" t="str">
            <v>AB022GF</v>
          </cell>
          <cell r="B905" t="str">
            <v>Isabelle Nyanaro</v>
          </cell>
        </row>
        <row r="906">
          <cell r="A906" t="str">
            <v>LG12082</v>
          </cell>
          <cell r="B906" t="str">
            <v>Isabella Wanjiku Manyara</v>
          </cell>
        </row>
        <row r="907">
          <cell r="A907" t="str">
            <v>BB12082</v>
          </cell>
          <cell r="B907" t="str">
            <v>Isabella Manyara</v>
          </cell>
        </row>
        <row r="908">
          <cell r="A908" t="str">
            <v>AB02063</v>
          </cell>
          <cell r="B908" t="str">
            <v>Isaac Odongo</v>
          </cell>
        </row>
        <row r="909">
          <cell r="A909" t="str">
            <v>BB07421</v>
          </cell>
          <cell r="B909" t="str">
            <v xml:space="preserve">Isaac Ndachi </v>
          </cell>
        </row>
        <row r="910">
          <cell r="A910" t="str">
            <v>LG24946</v>
          </cell>
          <cell r="B910" t="str">
            <v>Isaac Mwaura Kiburi</v>
          </cell>
        </row>
        <row r="911">
          <cell r="A911" t="str">
            <v>ABIM443</v>
          </cell>
          <cell r="B911" t="str">
            <v>Isaac Mutie</v>
          </cell>
        </row>
        <row r="912">
          <cell r="A912" t="str">
            <v>BB21376</v>
          </cell>
          <cell r="B912" t="str">
            <v>Isaac Kioko Maingi</v>
          </cell>
        </row>
        <row r="913">
          <cell r="A913" t="str">
            <v>AB018G8</v>
          </cell>
          <cell r="B913" t="str">
            <v>Isaac Kinyanjui Wainaina</v>
          </cell>
        </row>
        <row r="914">
          <cell r="A914" t="str">
            <v>LG24559</v>
          </cell>
          <cell r="B914" t="str">
            <v>Iris Chebet Chepkirui</v>
          </cell>
        </row>
        <row r="915">
          <cell r="A915" t="str">
            <v>LG18357</v>
          </cell>
          <cell r="B915" t="str">
            <v>Irene Wagaki Kimanyi</v>
          </cell>
        </row>
        <row r="916">
          <cell r="A916" t="str">
            <v>BB11286</v>
          </cell>
          <cell r="B916" t="str">
            <v>Irene Rotich</v>
          </cell>
        </row>
        <row r="917">
          <cell r="A917" t="str">
            <v>LG24236</v>
          </cell>
          <cell r="B917" t="str">
            <v>Irene Mumbua Mululi</v>
          </cell>
        </row>
        <row r="918">
          <cell r="A918" t="str">
            <v>BB24446</v>
          </cell>
          <cell r="B918" t="str">
            <v>Irene Mbugua</v>
          </cell>
        </row>
        <row r="919">
          <cell r="A919" t="str">
            <v>LG06640</v>
          </cell>
          <cell r="B919" t="str">
            <v>Irene Lily Akoth Ondiek</v>
          </cell>
        </row>
        <row r="920">
          <cell r="A920" t="str">
            <v>BB17939</v>
          </cell>
          <cell r="B920" t="str">
            <v>Irene Kutswa</v>
          </cell>
        </row>
        <row r="921">
          <cell r="A921" t="str">
            <v>BB11826</v>
          </cell>
          <cell r="B921" t="str">
            <v>Irene Jemurgor Rotich</v>
          </cell>
        </row>
        <row r="922">
          <cell r="A922" t="str">
            <v>AB027CV</v>
          </cell>
          <cell r="B922" t="str">
            <v xml:space="preserve">Irene Chepngetich </v>
          </cell>
        </row>
        <row r="923">
          <cell r="A923" t="str">
            <v>LG25222</v>
          </cell>
          <cell r="B923" t="str">
            <v xml:space="preserve">Irene Atieno </v>
          </cell>
        </row>
        <row r="924">
          <cell r="A924" t="str">
            <v>AB019F4</v>
          </cell>
          <cell r="B924" t="str">
            <v>Innocent Marete</v>
          </cell>
        </row>
        <row r="925">
          <cell r="A925" t="str">
            <v>AB027CU</v>
          </cell>
          <cell r="B925" t="str">
            <v xml:space="preserve">Immaculate Cheruto </v>
          </cell>
        </row>
        <row r="926">
          <cell r="A926" t="str">
            <v>LG24394</v>
          </cell>
          <cell r="B926" t="str">
            <v>Immaculate A. Lumumba</v>
          </cell>
        </row>
        <row r="927">
          <cell r="A927" t="str">
            <v>MKL0662</v>
          </cell>
          <cell r="B927" t="str">
            <v>Imanene, Jeremy Nyaga</v>
          </cell>
        </row>
        <row r="928">
          <cell r="A928" t="str">
            <v>AB0263I</v>
          </cell>
          <cell r="B928" t="str">
            <v>Idah Wanja Marangu</v>
          </cell>
        </row>
        <row r="929">
          <cell r="A929" t="str">
            <v>LG25455</v>
          </cell>
          <cell r="B929" t="str">
            <v xml:space="preserve">Ida Nafula Simiyu </v>
          </cell>
        </row>
        <row r="930">
          <cell r="A930" t="str">
            <v>LG24534</v>
          </cell>
          <cell r="B930" t="str">
            <v>Ibrahim Opiyo Amwayi</v>
          </cell>
        </row>
        <row r="931">
          <cell r="A931" t="str">
            <v>LG24895</v>
          </cell>
          <cell r="B931" t="str">
            <v xml:space="preserve">Ibrahim Aura Omari </v>
          </cell>
        </row>
        <row r="932">
          <cell r="A932" t="str">
            <v>AB016KC</v>
          </cell>
          <cell r="B932" t="str">
            <v>IanJohn Karinga</v>
          </cell>
        </row>
        <row r="933">
          <cell r="A933" t="str">
            <v>ABIM490</v>
          </cell>
          <cell r="B933" t="str">
            <v>Ian Mudiri</v>
          </cell>
        </row>
        <row r="934">
          <cell r="A934" t="str">
            <v>LG21961</v>
          </cell>
          <cell r="B934" t="str">
            <v>Ian Jandi Mudiri</v>
          </cell>
        </row>
        <row r="935">
          <cell r="A935" t="str">
            <v>ABHM597</v>
          </cell>
          <cell r="B935" t="str">
            <v>Hyline Mosigisi</v>
          </cell>
        </row>
        <row r="936">
          <cell r="A936" t="str">
            <v>LG13155</v>
          </cell>
          <cell r="B936" t="str">
            <v>Hyline Bochaberi Mosigisi</v>
          </cell>
        </row>
        <row r="937">
          <cell r="A937" t="str">
            <v>LG23241</v>
          </cell>
          <cell r="B937" t="str">
            <v>Hudhaifa Wario Yusuf Doyo</v>
          </cell>
        </row>
        <row r="938">
          <cell r="A938" t="str">
            <v>HISA0001</v>
          </cell>
          <cell r="B938" t="str">
            <v>HISA AFRICA INSURANCE AGENCY</v>
          </cell>
        </row>
        <row r="939">
          <cell r="A939" t="str">
            <v>HISA0013</v>
          </cell>
          <cell r="B939" t="str">
            <v>HISA AFRICA INSURANCE AGENCY</v>
          </cell>
        </row>
        <row r="940">
          <cell r="A940" t="str">
            <v>AB054A</v>
          </cell>
          <cell r="B940" t="str">
            <v>Hillary Soita Kupara</v>
          </cell>
        </row>
        <row r="941">
          <cell r="A941"/>
          <cell r="B941"/>
        </row>
        <row r="942">
          <cell r="A942" t="str">
            <v>AB025OQ</v>
          </cell>
          <cell r="B942" t="str">
            <v>Hillary Oduor Odhiambo</v>
          </cell>
        </row>
        <row r="943">
          <cell r="A943" t="str">
            <v>LG24315</v>
          </cell>
          <cell r="B943" t="str">
            <v>Hillary Mutai Kipsang</v>
          </cell>
        </row>
        <row r="944">
          <cell r="A944" t="str">
            <v>AB026U4</v>
          </cell>
          <cell r="B944" t="str">
            <v>Hillary Chepkwony</v>
          </cell>
        </row>
        <row r="945">
          <cell r="A945" t="str">
            <v>7157</v>
          </cell>
          <cell r="B945" t="str">
            <v>Hildah Nyakio Karung'a</v>
          </cell>
        </row>
        <row r="946">
          <cell r="A946">
            <v>7157</v>
          </cell>
          <cell r="B946" t="str">
            <v>Hildah Karunga</v>
          </cell>
        </row>
        <row r="947">
          <cell r="A947" t="str">
            <v>AB016KO</v>
          </cell>
          <cell r="B947" t="str">
            <v>Hilda Nabulyuli</v>
          </cell>
        </row>
        <row r="948">
          <cell r="A948" t="str">
            <v>AB0154A</v>
          </cell>
          <cell r="B948" t="str">
            <v>Hilary Soita</v>
          </cell>
        </row>
        <row r="949">
          <cell r="A949" t="str">
            <v>BB06959</v>
          </cell>
          <cell r="B949" t="str">
            <v>HEZBONE OWINO</v>
          </cell>
        </row>
        <row r="950">
          <cell r="A950" t="str">
            <v>LG23435</v>
          </cell>
          <cell r="B950" t="str">
            <v>Henry Wasua Muteti</v>
          </cell>
        </row>
        <row r="951">
          <cell r="A951" t="str">
            <v>BB20899</v>
          </cell>
          <cell r="B951" t="str">
            <v>Henry Nyachoke Onyinkwa</v>
          </cell>
        </row>
        <row r="952">
          <cell r="A952" t="str">
            <v>BB20769</v>
          </cell>
          <cell r="B952" t="str">
            <v>Henry Kavuu Mulinge</v>
          </cell>
        </row>
        <row r="953">
          <cell r="A953" t="str">
            <v>LG22698</v>
          </cell>
          <cell r="B953" t="str">
            <v>Henry Kasairo Stephen</v>
          </cell>
        </row>
        <row r="954">
          <cell r="A954" t="str">
            <v>BB13252</v>
          </cell>
          <cell r="B954" t="str">
            <v>Hellen Yator</v>
          </cell>
        </row>
        <row r="955">
          <cell r="A955" t="str">
            <v>BB18638</v>
          </cell>
          <cell r="B955" t="str">
            <v>Hellen Wanjiru Mwangi</v>
          </cell>
        </row>
        <row r="956">
          <cell r="A956" t="str">
            <v>LG24868</v>
          </cell>
          <cell r="B956" t="str">
            <v>HELLEN NJOKI NYAGA</v>
          </cell>
        </row>
        <row r="957">
          <cell r="A957" t="str">
            <v>AB027KD</v>
          </cell>
          <cell r="B957" t="str">
            <v>Hellen Kumba</v>
          </cell>
        </row>
        <row r="958">
          <cell r="A958" t="str">
            <v>LG13252</v>
          </cell>
          <cell r="B958" t="str">
            <v>Hellen Jebiwot Yator</v>
          </cell>
        </row>
        <row r="959">
          <cell r="A959" t="str">
            <v>AB02645</v>
          </cell>
          <cell r="B959" t="str">
            <v>Helida Atieno Ooko</v>
          </cell>
        </row>
        <row r="960">
          <cell r="A960" t="str">
            <v>BB09436</v>
          </cell>
          <cell r="B960" t="str">
            <v>Harvex Katana Mwambire</v>
          </cell>
        </row>
        <row r="961">
          <cell r="A961" t="str">
            <v>LG23286</v>
          </cell>
          <cell r="B961" t="str">
            <v>Harron Maingi Muasya</v>
          </cell>
        </row>
        <row r="962">
          <cell r="A962" t="str">
            <v>LG25242</v>
          </cell>
          <cell r="B962" t="str">
            <v>Harriet N Malo</v>
          </cell>
        </row>
        <row r="963">
          <cell r="A963" t="str">
            <v>ZBRG073</v>
          </cell>
          <cell r="B963" t="str">
            <v>Harriet Alung’at</v>
          </cell>
        </row>
        <row r="964">
          <cell r="A964" t="str">
            <v>LG25583</v>
          </cell>
          <cell r="B964" t="str">
            <v xml:space="preserve">Hannah Ngendo </v>
          </cell>
        </row>
        <row r="965">
          <cell r="A965" t="str">
            <v>LG24214</v>
          </cell>
          <cell r="B965" t="str">
            <v xml:space="preserve">Hanna Muga Nyafwa </v>
          </cell>
        </row>
        <row r="966">
          <cell r="A966" t="str">
            <v>LG18448</v>
          </cell>
          <cell r="B966" t="str">
            <v>Hamisi Mwaviswa Mwaluma</v>
          </cell>
        </row>
        <row r="967">
          <cell r="A967" t="str">
            <v>13038</v>
          </cell>
          <cell r="B967" t="str">
            <v>Grace Wanjugu Wangura</v>
          </cell>
        </row>
        <row r="968">
          <cell r="A968">
            <v>5215</v>
          </cell>
          <cell r="B968" t="str">
            <v>Grace Wangeshi</v>
          </cell>
        </row>
        <row r="969">
          <cell r="A969" t="str">
            <v>LG23273</v>
          </cell>
          <cell r="B969" t="str">
            <v>Grace Wamboi Thuku</v>
          </cell>
        </row>
        <row r="970">
          <cell r="A970" t="str">
            <v>LG20315</v>
          </cell>
          <cell r="B970" t="str">
            <v>Grace Wamaitha Gitau</v>
          </cell>
        </row>
        <row r="971">
          <cell r="A971" t="str">
            <v>LG24250</v>
          </cell>
          <cell r="B971" t="str">
            <v>Grace Owich</v>
          </cell>
        </row>
        <row r="972">
          <cell r="A972" t="str">
            <v>LG13153</v>
          </cell>
          <cell r="B972" t="str">
            <v>Grace Nkirote Nkirote</v>
          </cell>
        </row>
        <row r="973">
          <cell r="A973" t="str">
            <v>BB25193</v>
          </cell>
          <cell r="B973" t="str">
            <v xml:space="preserve">Grace Njoroge </v>
          </cell>
        </row>
        <row r="974">
          <cell r="A974">
            <v>5215</v>
          </cell>
          <cell r="B974" t="str">
            <v>Grace Muriithi</v>
          </cell>
        </row>
        <row r="975">
          <cell r="A975" t="str">
            <v>LG24361</v>
          </cell>
          <cell r="B975" t="str">
            <v>Grace Mbula Ngei</v>
          </cell>
        </row>
        <row r="976">
          <cell r="A976" t="str">
            <v>LG25074</v>
          </cell>
          <cell r="B976" t="str">
            <v xml:space="preserve">Grace Kamene Mutisya </v>
          </cell>
        </row>
        <row r="977">
          <cell r="A977" t="str">
            <v>LG24855</v>
          </cell>
          <cell r="B977" t="str">
            <v>Grace Gatwiri  Karuntini</v>
          </cell>
        </row>
        <row r="978">
          <cell r="A978" t="str">
            <v>BB05293</v>
          </cell>
          <cell r="B978" t="str">
            <v>Grace Chelimo Keitany</v>
          </cell>
        </row>
        <row r="979">
          <cell r="A979" t="str">
            <v>LG16985</v>
          </cell>
          <cell r="B979" t="str">
            <v>Grace Awino Owino</v>
          </cell>
        </row>
        <row r="980">
          <cell r="A980" t="str">
            <v>LG21261</v>
          </cell>
          <cell r="B980" t="str">
            <v>Grace  Kambi</v>
          </cell>
        </row>
        <row r="981">
          <cell r="A981" t="str">
            <v>LG22567</v>
          </cell>
          <cell r="B981" t="str">
            <v>Gordon Otieno Ngoche</v>
          </cell>
        </row>
        <row r="982">
          <cell r="A982" t="str">
            <v>BB22567</v>
          </cell>
          <cell r="B982" t="str">
            <v>Gordon Ngoche</v>
          </cell>
        </row>
        <row r="983">
          <cell r="A983" t="str">
            <v>LG18597</v>
          </cell>
          <cell r="B983" t="str">
            <v>Godfrey Ounga Otieno</v>
          </cell>
        </row>
        <row r="984">
          <cell r="A984" t="str">
            <v>LG19320</v>
          </cell>
          <cell r="B984" t="str">
            <v>Godfrey Okumu Simiyu</v>
          </cell>
        </row>
        <row r="985">
          <cell r="A985" t="str">
            <v>BB22902</v>
          </cell>
          <cell r="B985" t="str">
            <v>Godfrey Mutinda Peter</v>
          </cell>
        </row>
        <row r="986">
          <cell r="A986" t="str">
            <v>LG18277</v>
          </cell>
          <cell r="B986" t="str">
            <v>Glory Wanjiru Ndaiga</v>
          </cell>
        </row>
        <row r="987">
          <cell r="A987" t="str">
            <v>BB18277</v>
          </cell>
          <cell r="B987" t="str">
            <v>Glory Ndaiga</v>
          </cell>
        </row>
        <row r="988">
          <cell r="A988" t="str">
            <v>AB029Z2</v>
          </cell>
          <cell r="B988" t="str">
            <v>Gloria Kimetto</v>
          </cell>
        </row>
        <row r="989">
          <cell r="A989" t="str">
            <v>LG25098</v>
          </cell>
          <cell r="B989" t="str">
            <v xml:space="preserve">Gladys Wanjiku Maina </v>
          </cell>
        </row>
        <row r="990">
          <cell r="A990" t="str">
            <v>LG24549</v>
          </cell>
          <cell r="B990" t="str">
            <v xml:space="preserve">Gladys Wambui Kibugi </v>
          </cell>
        </row>
        <row r="991">
          <cell r="A991" t="str">
            <v>LG25220</v>
          </cell>
          <cell r="B991" t="str">
            <v>Gladys Nzisa Ibrahim</v>
          </cell>
        </row>
        <row r="992">
          <cell r="A992" t="str">
            <v>LG20867</v>
          </cell>
          <cell r="B992" t="str">
            <v>Gladys Nyaguthii Kabugu</v>
          </cell>
        </row>
        <row r="993">
          <cell r="A993" t="str">
            <v>13028</v>
          </cell>
          <cell r="B993" t="str">
            <v>Gladys Kerubo Angwenyi</v>
          </cell>
        </row>
        <row r="994">
          <cell r="A994" t="str">
            <v>AB027PN</v>
          </cell>
          <cell r="B994" t="str">
            <v>Gladys Chepkwogen</v>
          </cell>
        </row>
        <row r="995">
          <cell r="A995" t="str">
            <v>LG24909</v>
          </cell>
          <cell r="B995" t="str">
            <v xml:space="preserve">Gladwell Wanjai Wamwiri </v>
          </cell>
        </row>
        <row r="996">
          <cell r="A996" t="str">
            <v>MKL0497</v>
          </cell>
          <cell r="B996" t="str">
            <v>Githinji, Leah Wangechi</v>
          </cell>
        </row>
        <row r="997">
          <cell r="A997" t="str">
            <v>LG22695</v>
          </cell>
          <cell r="B997" t="str">
            <v xml:space="preserve">Gilbert Ambuli </v>
          </cell>
        </row>
        <row r="998">
          <cell r="A998" t="str">
            <v>LG22280</v>
          </cell>
          <cell r="B998" t="str">
            <v>Gilbert  Kemei</v>
          </cell>
        </row>
        <row r="999">
          <cell r="A999" t="str">
            <v>LG17335</v>
          </cell>
          <cell r="B999" t="str">
            <v>Gideon Gichuki Gachema</v>
          </cell>
        </row>
        <row r="1000">
          <cell r="A1000" t="str">
            <v>BB09227</v>
          </cell>
          <cell r="B1000" t="str">
            <v>Gezzy Namaemba Wafula</v>
          </cell>
        </row>
        <row r="1001">
          <cell r="A1001" t="str">
            <v>LG25574</v>
          </cell>
          <cell r="B1001" t="str">
            <v xml:space="preserve">Georia Nzyioki </v>
          </cell>
        </row>
        <row r="1002">
          <cell r="A1002" t="str">
            <v>BB21992</v>
          </cell>
          <cell r="B1002" t="str">
            <v>Georgette Adonya Imbaya</v>
          </cell>
        </row>
        <row r="1003">
          <cell r="A1003" t="str">
            <v>BB25129</v>
          </cell>
          <cell r="B1003" t="str">
            <v xml:space="preserve">George Stephen Abong'o Awuor </v>
          </cell>
        </row>
        <row r="1004">
          <cell r="A1004" t="str">
            <v>LG24247</v>
          </cell>
          <cell r="B1004" t="str">
            <v>George Noel Nyawade</v>
          </cell>
        </row>
        <row r="1005">
          <cell r="A1005" t="str">
            <v>BB18603</v>
          </cell>
          <cell r="B1005" t="str">
            <v>George Mwaura Muturi</v>
          </cell>
        </row>
        <row r="1006">
          <cell r="A1006" t="str">
            <v>BB16261</v>
          </cell>
          <cell r="B1006" t="str">
            <v>George Mvuko Ndune</v>
          </cell>
        </row>
        <row r="1007">
          <cell r="A1007" t="str">
            <v>LG22017</v>
          </cell>
          <cell r="B1007" t="str">
            <v>George Kingi Kazungu</v>
          </cell>
        </row>
        <row r="1008">
          <cell r="A1008" t="str">
            <v>BB25626</v>
          </cell>
          <cell r="B1008" t="str">
            <v>George Kenga Mizimu</v>
          </cell>
        </row>
        <row r="1009">
          <cell r="A1009" t="str">
            <v>LG21620</v>
          </cell>
          <cell r="B1009" t="str">
            <v>George Gathoitha Njoroge</v>
          </cell>
        </row>
        <row r="1010">
          <cell r="A1010" t="str">
            <v>LG19099</v>
          </cell>
          <cell r="B1010" t="str">
            <v xml:space="preserve">George Alukwe Barasa </v>
          </cell>
        </row>
        <row r="1011">
          <cell r="A1011" t="str">
            <v>AB025OJ</v>
          </cell>
          <cell r="B1011" t="str">
            <v>Geogina Mbithe Kioko</v>
          </cell>
        </row>
        <row r="1012">
          <cell r="A1012" t="str">
            <v>LG24866</v>
          </cell>
          <cell r="B1012" t="str">
            <v>GEOFFREY ROTICH KIBET</v>
          </cell>
        </row>
        <row r="1013">
          <cell r="A1013" t="str">
            <v>ABGO135</v>
          </cell>
          <cell r="B1013" t="str">
            <v>Geoffrey Onyango Otuoma</v>
          </cell>
        </row>
        <row r="1014">
          <cell r="A1014" t="str">
            <v>LG24539</v>
          </cell>
          <cell r="B1014" t="str">
            <v>Geoffrey Mwiva Mutua</v>
          </cell>
        </row>
        <row r="1015">
          <cell r="A1015" t="str">
            <v>AB016KW</v>
          </cell>
          <cell r="B1015" t="str">
            <v>Geoffrey Milune</v>
          </cell>
        </row>
        <row r="1016">
          <cell r="A1016" t="str">
            <v>LG13655</v>
          </cell>
          <cell r="B1016" t="str">
            <v>Gastone Ojwang Ogweno</v>
          </cell>
        </row>
        <row r="1017">
          <cell r="A1017" t="str">
            <v>MKL0202</v>
          </cell>
          <cell r="B1017" t="str">
            <v>Gakii, Susan Caroline</v>
          </cell>
        </row>
        <row r="1018">
          <cell r="A1018" t="str">
            <v>LG25049</v>
          </cell>
          <cell r="B1018" t="str">
            <v>Gabriel Odiwuor Otieno</v>
          </cell>
        </row>
        <row r="1019">
          <cell r="A1019" t="str">
            <v>BB20931</v>
          </cell>
          <cell r="B1019" t="str">
            <v>Furaha Pole</v>
          </cell>
        </row>
        <row r="1020">
          <cell r="A1020" t="str">
            <v>BB09587</v>
          </cell>
          <cell r="B1020" t="str">
            <v>Fridah Mukusya Mutisya</v>
          </cell>
        </row>
        <row r="1021">
          <cell r="A1021" t="str">
            <v>BB10939</v>
          </cell>
          <cell r="B1021" t="str">
            <v>Fridah Mukuba Marangu</v>
          </cell>
        </row>
        <row r="1022">
          <cell r="A1022" t="str">
            <v>LG25569</v>
          </cell>
          <cell r="B1022" t="str">
            <v>Freidah Wanda</v>
          </cell>
        </row>
        <row r="1023">
          <cell r="A1023" t="str">
            <v>LG25586</v>
          </cell>
          <cell r="B1023" t="str">
            <v>Fredrick Sakaya</v>
          </cell>
        </row>
        <row r="1024">
          <cell r="A1024" t="str">
            <v>BB06294</v>
          </cell>
          <cell r="B1024" t="str">
            <v>Fredrick Owuor</v>
          </cell>
        </row>
        <row r="1025">
          <cell r="A1025" t="str">
            <v>ABFO054</v>
          </cell>
          <cell r="B1025" t="str">
            <v>Fredrick Owiye</v>
          </cell>
        </row>
        <row r="1026">
          <cell r="A1026" t="str">
            <v>AB018EB</v>
          </cell>
          <cell r="B1026" t="str">
            <v>Fredrick Ouya</v>
          </cell>
        </row>
        <row r="1027">
          <cell r="A1027" t="str">
            <v>LG12148</v>
          </cell>
          <cell r="B1027" t="str">
            <v>Fredrick Otieno Mitema</v>
          </cell>
        </row>
        <row r="1028">
          <cell r="A1028" t="str">
            <v>AB016LJ</v>
          </cell>
          <cell r="B1028" t="str">
            <v>Fredrick Onyango</v>
          </cell>
        </row>
        <row r="1029">
          <cell r="A1029" t="str">
            <v>LG19899</v>
          </cell>
          <cell r="B1029" t="str">
            <v>Fredrick Ochieng Odhiambo</v>
          </cell>
        </row>
        <row r="1030">
          <cell r="A1030" t="str">
            <v>AB025ON</v>
          </cell>
          <cell r="B1030" t="str">
            <v>Fredrick Kingesi Munyao</v>
          </cell>
        </row>
        <row r="1031">
          <cell r="A1031" t="str">
            <v>LG17363</v>
          </cell>
          <cell r="B1031" t="str">
            <v>Fredrick Kiiru Wanjiru</v>
          </cell>
        </row>
        <row r="1032">
          <cell r="A1032" t="str">
            <v>LG24565</v>
          </cell>
          <cell r="B1032" t="str">
            <v>Fred Omullo Odero</v>
          </cell>
        </row>
        <row r="1033">
          <cell r="A1033" t="str">
            <v>LG19623</v>
          </cell>
          <cell r="B1033" t="str">
            <v>Fred Ogaye Iro</v>
          </cell>
        </row>
        <row r="1034">
          <cell r="A1034" t="str">
            <v>AB019VN</v>
          </cell>
          <cell r="B1034" t="str">
            <v>Frasiah Muhuhi</v>
          </cell>
        </row>
        <row r="1035">
          <cell r="A1035" t="str">
            <v>AB019HP</v>
          </cell>
          <cell r="B1035" t="str">
            <v>Frashier Mwangi</v>
          </cell>
        </row>
        <row r="1036">
          <cell r="A1036" t="str">
            <v>LG17924</v>
          </cell>
          <cell r="B1036" t="str">
            <v>Frankline Mathew Odhiambo</v>
          </cell>
        </row>
        <row r="1037">
          <cell r="A1037" t="str">
            <v>BB17924</v>
          </cell>
          <cell r="B1037" t="str">
            <v>Frankline Mathew Odhiambo</v>
          </cell>
        </row>
        <row r="1038">
          <cell r="A1038" t="str">
            <v>LG15815</v>
          </cell>
          <cell r="B1038" t="str">
            <v>Francis Sicheyi Imbwenya</v>
          </cell>
        </row>
        <row r="1039">
          <cell r="A1039" t="str">
            <v>LG17847</v>
          </cell>
          <cell r="B1039" t="str">
            <v>Francis Otieno Ajowi</v>
          </cell>
        </row>
        <row r="1040">
          <cell r="A1040" t="str">
            <v>LG17790</v>
          </cell>
          <cell r="B1040" t="str">
            <v>Francis Olumbe Osodo</v>
          </cell>
        </row>
        <row r="1041">
          <cell r="A1041" t="str">
            <v>LG24848</v>
          </cell>
          <cell r="B1041" t="str">
            <v>Francis Mwangi  Maina</v>
          </cell>
        </row>
        <row r="1042">
          <cell r="A1042" t="str">
            <v>LG21371</v>
          </cell>
          <cell r="B1042" t="str">
            <v>Francis Mulwa Musya</v>
          </cell>
        </row>
        <row r="1043">
          <cell r="A1043" t="str">
            <v>BB06471</v>
          </cell>
          <cell r="B1043" t="str">
            <v>Francis Irungu Kareri</v>
          </cell>
        </row>
        <row r="1044">
          <cell r="A1044" t="str">
            <v>LG19664</v>
          </cell>
          <cell r="B1044" t="str">
            <v xml:space="preserve">Francis Gicheru Ruiyi </v>
          </cell>
        </row>
        <row r="1045">
          <cell r="A1045" t="str">
            <v>ABFM710</v>
          </cell>
          <cell r="B1045" t="str">
            <v xml:space="preserve">Florence Muthoni Mumbi </v>
          </cell>
        </row>
        <row r="1046">
          <cell r="A1046" t="str">
            <v>LG18307</v>
          </cell>
          <cell r="B1046" t="str">
            <v xml:space="preserve">Florence Muthoni Mumbi </v>
          </cell>
        </row>
        <row r="1047">
          <cell r="A1047" t="str">
            <v>BB09732</v>
          </cell>
          <cell r="B1047" t="str">
            <v>Florence Eve Aketi</v>
          </cell>
        </row>
        <row r="1048">
          <cell r="A1048" t="str">
            <v>BB09490</v>
          </cell>
          <cell r="B1048" t="str">
            <v>Florence Chepkogei Gregory</v>
          </cell>
        </row>
        <row r="1049">
          <cell r="A1049" t="str">
            <v>LG23413</v>
          </cell>
          <cell r="B1049" t="str">
            <v>Fiona Lynne Anyango Olang</v>
          </cell>
        </row>
        <row r="1050">
          <cell r="A1050" t="str">
            <v>LG24243</v>
          </cell>
          <cell r="B1050" t="str">
            <v>Fiona Kiprop</v>
          </cell>
        </row>
        <row r="1051">
          <cell r="A1051" t="str">
            <v>LG17233</v>
          </cell>
          <cell r="B1051" t="str">
            <v>Fidel Kituu</v>
          </cell>
        </row>
        <row r="1052">
          <cell r="A1052" t="str">
            <v>LG12787</v>
          </cell>
          <cell r="B1052" t="str">
            <v>Fethar  Kagwiria</v>
          </cell>
        </row>
        <row r="1053">
          <cell r="A1053" t="str">
            <v>BB11806</v>
          </cell>
          <cell r="B1053" t="str">
            <v xml:space="preserve">Festus Kioko </v>
          </cell>
        </row>
        <row r="1054">
          <cell r="A1054" t="str">
            <v>AB016LS</v>
          </cell>
          <cell r="B1054" t="str">
            <v>Festus Kilole Mweu</v>
          </cell>
        </row>
        <row r="1055">
          <cell r="A1055" t="str">
            <v>AB016KM</v>
          </cell>
          <cell r="B1055" t="str">
            <v xml:space="preserve">Felix Odhiambo </v>
          </cell>
        </row>
        <row r="1056">
          <cell r="A1056" t="str">
            <v>BB07608</v>
          </cell>
          <cell r="B1056" t="str">
            <v>Felix Maingi Kikunga</v>
          </cell>
        </row>
        <row r="1057">
          <cell r="A1057" t="str">
            <v>LG24552</v>
          </cell>
          <cell r="B1057" t="str">
            <v>Felix Kipkurui Bii</v>
          </cell>
        </row>
        <row r="1058">
          <cell r="A1058" t="str">
            <v>AB019UG</v>
          </cell>
          <cell r="B1058" t="str">
            <v>Felix Bundi</v>
          </cell>
        </row>
        <row r="1059">
          <cell r="A1059" t="str">
            <v>LG24357</v>
          </cell>
          <cell r="B1059" t="str">
            <v>Felister Nkipidah</v>
          </cell>
        </row>
        <row r="1060">
          <cell r="A1060" t="str">
            <v>ABFN166</v>
          </cell>
          <cell r="B1060" t="str">
            <v>Felista Wamboi Njoroge</v>
          </cell>
        </row>
        <row r="1061">
          <cell r="A1061" t="str">
            <v>BB24579</v>
          </cell>
          <cell r="B1061" t="str">
            <v>Felista Mutindi Muathe</v>
          </cell>
        </row>
        <row r="1062">
          <cell r="A1062" t="str">
            <v>LG19543</v>
          </cell>
          <cell r="B1062" t="str">
            <v>Fatuma Ali Isaack</v>
          </cell>
        </row>
        <row r="1063">
          <cell r="A1063" t="str">
            <v>ABFH125</v>
          </cell>
          <cell r="B1063" t="str">
            <v xml:space="preserve">Farida Halkand </v>
          </cell>
        </row>
        <row r="1064">
          <cell r="A1064" t="str">
            <v>BB10335</v>
          </cell>
          <cell r="B1064" t="str">
            <v>Fanilla Mayaka</v>
          </cell>
        </row>
        <row r="1065">
          <cell r="A1065" t="str">
            <v>AB018DN</v>
          </cell>
          <cell r="B1065" t="str">
            <v>Faith Wanza Kimengele</v>
          </cell>
        </row>
        <row r="1066">
          <cell r="A1066" t="str">
            <v>LG24917</v>
          </cell>
          <cell r="B1066" t="str">
            <v xml:space="preserve">Faith Wanjiru Kaguru </v>
          </cell>
        </row>
        <row r="1067">
          <cell r="A1067" t="str">
            <v>BB06000</v>
          </cell>
          <cell r="B1067" t="str">
            <v>Faith Wanjiku Thiong'o</v>
          </cell>
        </row>
        <row r="1068">
          <cell r="A1068" t="str">
            <v>LG19637</v>
          </cell>
          <cell r="B1068" t="str">
            <v>Faith Nziku Muthinu</v>
          </cell>
        </row>
        <row r="1069">
          <cell r="A1069" t="str">
            <v>BB22666</v>
          </cell>
          <cell r="B1069" t="str">
            <v xml:space="preserve">Faith Musyoki Mwongeli </v>
          </cell>
        </row>
        <row r="1070">
          <cell r="A1070" t="str">
            <v>LG24756</v>
          </cell>
          <cell r="B1070" t="str">
            <v>Faith Mbeke Kiume</v>
          </cell>
        </row>
        <row r="1071">
          <cell r="A1071" t="str">
            <v>LG16425</v>
          </cell>
          <cell r="B1071" t="str">
            <v>Faith Majory Kariuki</v>
          </cell>
        </row>
        <row r="1072">
          <cell r="A1072" t="str">
            <v>LG1536S</v>
          </cell>
          <cell r="B1072" t="str">
            <v>Faith Lumadede</v>
          </cell>
        </row>
        <row r="1073">
          <cell r="A1073" t="str">
            <v>LG24858</v>
          </cell>
          <cell r="B1073" t="str">
            <v>Faith Kavivi Munyoki</v>
          </cell>
        </row>
        <row r="1074">
          <cell r="A1074" t="str">
            <v>LG25073</v>
          </cell>
          <cell r="B1074" t="str">
            <v xml:space="preserve">Faith Kamene Muema </v>
          </cell>
        </row>
        <row r="1075">
          <cell r="A1075" t="str">
            <v>AB019FL</v>
          </cell>
          <cell r="B1075" t="str">
            <v>Faith Kagendo Njeru</v>
          </cell>
        </row>
        <row r="1076">
          <cell r="A1076" t="str">
            <v>LG24208</v>
          </cell>
          <cell r="B1076" t="str">
            <v>Faith Jepkorir Kwambai</v>
          </cell>
        </row>
        <row r="1077">
          <cell r="A1077" t="str">
            <v>ABFL113</v>
          </cell>
          <cell r="B1077" t="str">
            <v>Faith  Lumadede</v>
          </cell>
        </row>
        <row r="1078">
          <cell r="A1078" t="str">
            <v>BB24637</v>
          </cell>
          <cell r="B1078" t="str">
            <v>Faith  Ketter</v>
          </cell>
        </row>
        <row r="1079">
          <cell r="A1079" t="str">
            <v>AB0155E</v>
          </cell>
          <cell r="B1079" t="str">
            <v>Everton Mwaragu</v>
          </cell>
        </row>
        <row r="1080">
          <cell r="A1080" t="str">
            <v>LG24326</v>
          </cell>
          <cell r="B1080" t="str">
            <v>Everlyne Munee Peter</v>
          </cell>
        </row>
        <row r="1081">
          <cell r="A1081" t="str">
            <v>ABES753</v>
          </cell>
          <cell r="B1081" t="str">
            <v xml:space="preserve">Everlyne Mangala Singa </v>
          </cell>
        </row>
        <row r="1082">
          <cell r="A1082" t="str">
            <v>AB023F8</v>
          </cell>
          <cell r="B1082" t="str">
            <v>Evelyne Waithaka</v>
          </cell>
        </row>
        <row r="1083">
          <cell r="A1083" t="str">
            <v>LG23018</v>
          </cell>
          <cell r="B1083" t="str">
            <v>Evans Luhatse Mwisunji</v>
          </cell>
        </row>
        <row r="1084">
          <cell r="A1084" t="str">
            <v>LG14392</v>
          </cell>
          <cell r="B1084" t="str">
            <v>Evans Iteleng Barasa</v>
          </cell>
        </row>
        <row r="1085">
          <cell r="A1085" t="str">
            <v>BB15964</v>
          </cell>
          <cell r="B1085" t="str">
            <v>Evans Githinji</v>
          </cell>
        </row>
        <row r="1086">
          <cell r="A1086" t="str">
            <v>LG23531</v>
          </cell>
          <cell r="B1086" t="str">
            <v>Evance Onyango Okoth</v>
          </cell>
        </row>
        <row r="1087">
          <cell r="A1087" t="str">
            <v>AB02915</v>
          </cell>
          <cell r="B1087" t="str">
            <v>Evance Okomo</v>
          </cell>
        </row>
        <row r="1088">
          <cell r="A1088" t="str">
            <v>LG20371</v>
          </cell>
          <cell r="B1088" t="str">
            <v>Evaline maina</v>
          </cell>
        </row>
        <row r="1089">
          <cell r="A1089" t="str">
            <v>BB06160</v>
          </cell>
          <cell r="B1089" t="str">
            <v>Evaline Chebet Boitt</v>
          </cell>
        </row>
        <row r="1090">
          <cell r="A1090" t="str">
            <v>BB04917</v>
          </cell>
          <cell r="B1090" t="str">
            <v>Eva Wanjiru Nyota</v>
          </cell>
        </row>
        <row r="1091">
          <cell r="A1091" t="str">
            <v>AB025OI</v>
          </cell>
          <cell r="B1091" t="str">
            <v>Eva Jemutai Rutto</v>
          </cell>
        </row>
        <row r="1092">
          <cell r="A1092" t="str">
            <v>AB026V7</v>
          </cell>
          <cell r="B1092" t="str">
            <v>Eva Chepchirchir Labatt</v>
          </cell>
        </row>
        <row r="1093">
          <cell r="A1093" t="str">
            <v>BB06116</v>
          </cell>
          <cell r="B1093" t="str">
            <v>Eunice Nthambi Mutisya</v>
          </cell>
        </row>
        <row r="1094">
          <cell r="A1094" t="str">
            <v>LG12779</v>
          </cell>
          <cell r="B1094" t="str">
            <v>Eunice Ngendo Kimani</v>
          </cell>
        </row>
        <row r="1095">
          <cell r="A1095" t="str">
            <v>ABEK322</v>
          </cell>
          <cell r="B1095" t="str">
            <v>Eunice Koigu</v>
          </cell>
        </row>
        <row r="1096">
          <cell r="A1096" t="str">
            <v>LG13096</v>
          </cell>
          <cell r="B1096" t="str">
            <v>Eunice Kiriro Msagha</v>
          </cell>
        </row>
        <row r="1097">
          <cell r="A1097" t="str">
            <v>BB11099</v>
          </cell>
          <cell r="B1097" t="str">
            <v>Eunice Gachau</v>
          </cell>
        </row>
        <row r="1098">
          <cell r="A1098" t="str">
            <v>LG17834</v>
          </cell>
          <cell r="B1098" t="str">
            <v>Eunice Chesista Lokicha</v>
          </cell>
        </row>
        <row r="1099">
          <cell r="A1099" t="str">
            <v>AB006TR</v>
          </cell>
          <cell r="B1099" t="str">
            <v>Eunice Chege</v>
          </cell>
        </row>
        <row r="1100">
          <cell r="A1100" t="str">
            <v>AB019VS</v>
          </cell>
          <cell r="B1100" t="str">
            <v>Eugene Karugu</v>
          </cell>
        </row>
        <row r="1101">
          <cell r="A1101" t="str">
            <v>BB11208</v>
          </cell>
          <cell r="B1101" t="str">
            <v>Esther Wanyugu Rwigi</v>
          </cell>
        </row>
        <row r="1102">
          <cell r="A1102" t="str">
            <v>LG24852</v>
          </cell>
          <cell r="B1102" t="str">
            <v>ESTHER WANJIRU WAIYEGO</v>
          </cell>
        </row>
        <row r="1103">
          <cell r="A1103" t="str">
            <v>HISA0006</v>
          </cell>
          <cell r="B1103" t="str">
            <v>ESTHER WANJIRU GITHUKU</v>
          </cell>
        </row>
        <row r="1104">
          <cell r="A1104" t="str">
            <v>LG23389</v>
          </cell>
          <cell r="B1104" t="str">
            <v>Esther Wamutwa Mutunga</v>
          </cell>
        </row>
        <row r="1105">
          <cell r="A1105" t="str">
            <v>AB020F1</v>
          </cell>
          <cell r="B1105" t="str">
            <v>Esther Wairimu Miricho</v>
          </cell>
        </row>
        <row r="1106">
          <cell r="A1106" t="str">
            <v>LG18466</v>
          </cell>
          <cell r="B1106" t="str">
            <v>Esther Wairimu Maina</v>
          </cell>
        </row>
        <row r="1107">
          <cell r="A1107" t="str">
            <v>BB06514</v>
          </cell>
          <cell r="B1107" t="str">
            <v>Esther Wairimu Kigathi</v>
          </cell>
        </row>
        <row r="1108">
          <cell r="A1108" t="str">
            <v>LG25458</v>
          </cell>
          <cell r="B1108" t="str">
            <v>Esther Nyambura Mathenge</v>
          </cell>
        </row>
        <row r="1109">
          <cell r="A1109" t="str">
            <v>LG24851</v>
          </cell>
          <cell r="B1109" t="str">
            <v>Esther Namunyak Nampaso</v>
          </cell>
        </row>
        <row r="1110">
          <cell r="A1110" t="str">
            <v>ABE0125</v>
          </cell>
          <cell r="B1110" t="str">
            <v>Esther Naipanoi</v>
          </cell>
        </row>
        <row r="1111">
          <cell r="A1111" t="str">
            <v>LG15157</v>
          </cell>
          <cell r="B1111" t="str">
            <v>Esther Mutuku</v>
          </cell>
        </row>
        <row r="1112">
          <cell r="A1112" t="str">
            <v>BB16899</v>
          </cell>
          <cell r="B1112" t="str">
            <v xml:space="preserve">Esther Murugi </v>
          </cell>
        </row>
        <row r="1113">
          <cell r="A1113" t="str">
            <v>LG19768</v>
          </cell>
          <cell r="B1113" t="str">
            <v>Esther Mueni Kilonzo</v>
          </cell>
        </row>
        <row r="1114">
          <cell r="A1114" t="str">
            <v>BB09636</v>
          </cell>
          <cell r="B1114" t="str">
            <v>Esther Mose</v>
          </cell>
        </row>
        <row r="1115">
          <cell r="A1115" t="str">
            <v>LG24300</v>
          </cell>
          <cell r="B1115" t="str">
            <v>Esther Mkabili mwambewa</v>
          </cell>
        </row>
        <row r="1116">
          <cell r="A1116" t="str">
            <v>AB022XO</v>
          </cell>
          <cell r="B1116" t="str">
            <v>Esther Mbula Mwaka</v>
          </cell>
        </row>
        <row r="1117">
          <cell r="A1117" t="str">
            <v>LG19135</v>
          </cell>
          <cell r="B1117" t="str">
            <v>Esther Maureen Olwasi</v>
          </cell>
        </row>
        <row r="1118">
          <cell r="A1118" t="str">
            <v>BB19768</v>
          </cell>
          <cell r="B1118" t="str">
            <v>Esther Kilonzo</v>
          </cell>
        </row>
        <row r="1119">
          <cell r="A1119" t="str">
            <v>AB026V6</v>
          </cell>
          <cell r="B1119" t="str">
            <v xml:space="preserve">Esther Isoe </v>
          </cell>
        </row>
        <row r="1120">
          <cell r="A1120" t="str">
            <v>LG19118</v>
          </cell>
          <cell r="B1120" t="str">
            <v>Esther  Tatu</v>
          </cell>
        </row>
        <row r="1121">
          <cell r="A1121">
            <v>15017</v>
          </cell>
          <cell r="B1121" t="str">
            <v>Espendita Nyaga</v>
          </cell>
        </row>
        <row r="1122">
          <cell r="A1122" t="str">
            <v>15017</v>
          </cell>
          <cell r="B1122" t="str">
            <v>Espendita Muthoni Nyaga</v>
          </cell>
        </row>
        <row r="1123">
          <cell r="A1123" t="str">
            <v>LG21443</v>
          </cell>
          <cell r="B1123" t="str">
            <v>Erick Cheruiyot Kiprono</v>
          </cell>
        </row>
        <row r="1124">
          <cell r="A1124" t="str">
            <v>5160</v>
          </cell>
          <cell r="B1124" t="str">
            <v>Eric Stanley Ng'ethe</v>
          </cell>
        </row>
        <row r="1125">
          <cell r="A1125" t="str">
            <v>AB0198T</v>
          </cell>
          <cell r="B1125" t="str">
            <v>Eric Ouko</v>
          </cell>
        </row>
        <row r="1126">
          <cell r="A1126" t="str">
            <v>BB13434</v>
          </cell>
          <cell r="B1126" t="str">
            <v>Eric Njenjere Mugaa</v>
          </cell>
        </row>
        <row r="1127">
          <cell r="A1127" t="str">
            <v>LG16356</v>
          </cell>
          <cell r="B1127" t="str">
            <v>Eric Mluka Mwabili</v>
          </cell>
        </row>
        <row r="1128">
          <cell r="A1128" t="str">
            <v>AB026QX</v>
          </cell>
          <cell r="B1128" t="str">
            <v>Eric Kibet Rono</v>
          </cell>
        </row>
        <row r="1129">
          <cell r="A1129" t="str">
            <v>BB13793</v>
          </cell>
          <cell r="B1129" t="str">
            <v>Eric  Wambua</v>
          </cell>
        </row>
        <row r="1130">
          <cell r="A1130" t="str">
            <v>AB024UK</v>
          </cell>
          <cell r="B1130" t="str">
            <v>Erastus Sakwa</v>
          </cell>
        </row>
        <row r="1131">
          <cell r="A1131" t="str">
            <v>LG15242</v>
          </cell>
          <cell r="B1131" t="str">
            <v>Erasto Ocholah Omengo</v>
          </cell>
        </row>
        <row r="1132">
          <cell r="A1132" t="str">
            <v>AB022EY</v>
          </cell>
          <cell r="B1132" t="str">
            <v>Emmy Chepkirui</v>
          </cell>
        </row>
        <row r="1133">
          <cell r="A1133" t="str">
            <v>AB021RG</v>
          </cell>
          <cell r="B1133" t="str">
            <v>Emmanuel Olando</v>
          </cell>
        </row>
        <row r="1134">
          <cell r="A1134" t="str">
            <v>LG23185</v>
          </cell>
          <cell r="B1134" t="str">
            <v>Emmanuel Odhiambo Ouma</v>
          </cell>
        </row>
        <row r="1135">
          <cell r="A1135" t="str">
            <v>5185</v>
          </cell>
          <cell r="B1135" t="str">
            <v>Emmanuel Mwendwa Mutua</v>
          </cell>
        </row>
        <row r="1136">
          <cell r="A1136" t="str">
            <v>BB09279</v>
          </cell>
          <cell r="B1136" t="str">
            <v>Emmanuel Benzi Masoka</v>
          </cell>
        </row>
        <row r="1137">
          <cell r="A1137" t="str">
            <v>AB023XJ</v>
          </cell>
          <cell r="B1137" t="str">
            <v>Emmah Kapcherui</v>
          </cell>
        </row>
        <row r="1138">
          <cell r="A1138" t="str">
            <v>AB026TP</v>
          </cell>
          <cell r="B1138" t="str">
            <v>Emmah Bancon</v>
          </cell>
        </row>
        <row r="1139">
          <cell r="A1139" t="str">
            <v>LG18613</v>
          </cell>
          <cell r="B1139" t="str">
            <v>Evans Githinji</v>
          </cell>
        </row>
        <row r="1140">
          <cell r="A1140" t="str">
            <v>AB019HT</v>
          </cell>
          <cell r="B1140" t="str">
            <v>Emma Mwilaria</v>
          </cell>
        </row>
        <row r="1141">
          <cell r="A1141" t="str">
            <v>LG24762</v>
          </cell>
          <cell r="B1141" t="str">
            <v>Emma Masiliani Muriuki</v>
          </cell>
        </row>
        <row r="1142">
          <cell r="A1142" t="str">
            <v>AB024LD</v>
          </cell>
          <cell r="B1142" t="str">
            <v>Emily Jepchirchir</v>
          </cell>
        </row>
        <row r="1143">
          <cell r="A1143" t="str">
            <v>LG16575</v>
          </cell>
          <cell r="B1143" t="str">
            <v>Emily Awuor Muga</v>
          </cell>
        </row>
        <row r="1144">
          <cell r="A1144" t="str">
            <v>LG23498</v>
          </cell>
          <cell r="B1144" t="str">
            <v>Emily Adhimbo Odeny</v>
          </cell>
        </row>
        <row r="1145">
          <cell r="A1145" t="str">
            <v>LG09390</v>
          </cell>
          <cell r="B1145" t="str">
            <v>Emilly Osebe Mokano</v>
          </cell>
        </row>
        <row r="1146">
          <cell r="A1146" t="str">
            <v>ABEP409</v>
          </cell>
          <cell r="B1146" t="str">
            <v>Emilly Ekirapa papa</v>
          </cell>
        </row>
        <row r="1147">
          <cell r="A1147" t="str">
            <v>LG19417</v>
          </cell>
          <cell r="B1147" t="str">
            <v>Elvis Wafula Kalizo</v>
          </cell>
        </row>
        <row r="1148">
          <cell r="A1148" t="str">
            <v>AB021R1</v>
          </cell>
          <cell r="B1148" t="str">
            <v>Elpina Kima Mwashao</v>
          </cell>
        </row>
        <row r="1149">
          <cell r="A1149" t="str">
            <v>BB17984</v>
          </cell>
          <cell r="B1149" t="str">
            <v>Elly Alfred Karuba</v>
          </cell>
        </row>
        <row r="1150">
          <cell r="A1150" t="str">
            <v>LG24531</v>
          </cell>
          <cell r="B1150" t="str">
            <v xml:space="preserve">Ellen Makio </v>
          </cell>
        </row>
        <row r="1151">
          <cell r="A1151" t="str">
            <v>LG17191</v>
          </cell>
          <cell r="B1151" t="str">
            <v>Elizabeth Syokau Mweu</v>
          </cell>
        </row>
        <row r="1152">
          <cell r="A1152" t="str">
            <v>AB025D1</v>
          </cell>
          <cell r="B1152" t="str">
            <v>Elizabeth Onuko</v>
          </cell>
        </row>
        <row r="1153">
          <cell r="A1153" t="str">
            <v>LG21723</v>
          </cell>
          <cell r="B1153" t="str">
            <v>Elizabeth Nyambura Njoroge</v>
          </cell>
        </row>
        <row r="1154">
          <cell r="A1154" t="str">
            <v>LG19039</v>
          </cell>
          <cell r="B1154" t="str">
            <v>Elizabeth Kimwoma Otsyula</v>
          </cell>
        </row>
        <row r="1155">
          <cell r="A1155" t="str">
            <v>BB06460</v>
          </cell>
          <cell r="B1155" t="str">
            <v>Elizabeth Katethya Mwendwa</v>
          </cell>
        </row>
        <row r="1156">
          <cell r="A1156" t="str">
            <v>BB07815</v>
          </cell>
          <cell r="B1156" t="str">
            <v>Elizabeth Gachingiri</v>
          </cell>
        </row>
        <row r="1157">
          <cell r="A1157" t="str">
            <v>AB0203N</v>
          </cell>
          <cell r="B1157" t="str">
            <v>Eliud Nkunja</v>
          </cell>
        </row>
        <row r="1158">
          <cell r="A1158"/>
          <cell r="B1158" t="str">
            <v>Eliud Ng'ang'a</v>
          </cell>
        </row>
        <row r="1159">
          <cell r="A1159">
            <v>5214</v>
          </cell>
          <cell r="B1159" t="str">
            <v>Eliud Nganga</v>
          </cell>
        </row>
        <row r="1160">
          <cell r="A1160" t="str">
            <v>AB011H7</v>
          </cell>
          <cell r="B1160" t="str">
            <v>Elinisia Pauline Nasumuni</v>
          </cell>
        </row>
        <row r="1161">
          <cell r="A1161" t="str">
            <v>BB09575</v>
          </cell>
          <cell r="B1161" t="str">
            <v>Elijah Nyambichu Omoyo</v>
          </cell>
        </row>
        <row r="1162">
          <cell r="A1162" t="str">
            <v>LG24576</v>
          </cell>
          <cell r="B1162" t="str">
            <v>Eli Onyango Ngoha</v>
          </cell>
        </row>
        <row r="1163">
          <cell r="A1163" t="str">
            <v>LG11038</v>
          </cell>
          <cell r="B1163" t="str">
            <v>Ekirah Gathoni Wachira</v>
          </cell>
        </row>
        <row r="1164">
          <cell r="A1164" t="str">
            <v>LG15700</v>
          </cell>
          <cell r="B1164" t="str">
            <v>Edwin Wafula Manyore</v>
          </cell>
        </row>
        <row r="1165">
          <cell r="A1165" t="str">
            <v>ZBRG078</v>
          </cell>
          <cell r="B1165" t="str">
            <v>Edwin Okero</v>
          </cell>
        </row>
        <row r="1166">
          <cell r="A1166" t="str">
            <v>LG25467</v>
          </cell>
          <cell r="B1166" t="str">
            <v>Edwin Nyakundi</v>
          </cell>
        </row>
        <row r="1167">
          <cell r="A1167" t="str">
            <v>LG13671</v>
          </cell>
          <cell r="B1167" t="str">
            <v>Edward Mwangoma Mulanghui</v>
          </cell>
        </row>
        <row r="1168">
          <cell r="A1168" t="str">
            <v>BB20440</v>
          </cell>
          <cell r="B1168" t="str">
            <v>Edward KIPROTICH Chepngotie</v>
          </cell>
        </row>
        <row r="1169">
          <cell r="A1169" t="str">
            <v>ABEK320</v>
          </cell>
          <cell r="B1169" t="str">
            <v xml:space="preserve">Edward Kiprono Kipchumba </v>
          </cell>
        </row>
        <row r="1170">
          <cell r="A1170" t="str">
            <v>LG20973</v>
          </cell>
          <cell r="B1170" t="str">
            <v>Edward Kiprono</v>
          </cell>
        </row>
        <row r="1171">
          <cell r="A1171" t="str">
            <v>BB11097</v>
          </cell>
          <cell r="B1171" t="str">
            <v>Edna Wangui</v>
          </cell>
        </row>
        <row r="1172">
          <cell r="A1172" t="str">
            <v>LG25450</v>
          </cell>
          <cell r="B1172" t="str">
            <v>Edna Kimanzi Wambui</v>
          </cell>
        </row>
        <row r="1173">
          <cell r="A1173" t="str">
            <v>LG25449</v>
          </cell>
          <cell r="B1173" t="str">
            <v>Edna Kimanzi Wambui</v>
          </cell>
        </row>
        <row r="1174">
          <cell r="A1174" t="str">
            <v>LG20174</v>
          </cell>
          <cell r="B1174" t="str">
            <v>Edna Kerubo Ombati</v>
          </cell>
        </row>
        <row r="1175">
          <cell r="A1175" t="str">
            <v>LG24039</v>
          </cell>
          <cell r="B1175" t="str">
            <v>Edith Wanjiru Gathaci</v>
          </cell>
        </row>
        <row r="1176">
          <cell r="A1176" t="str">
            <v>LG24564</v>
          </cell>
          <cell r="B1176" t="str">
            <v xml:space="preserve">Edith Mumbi Mwanza </v>
          </cell>
        </row>
        <row r="1177">
          <cell r="A1177" t="str">
            <v>AB019G4</v>
          </cell>
          <cell r="B1177" t="str">
            <v>Edith Mercy Wanjiru Waweru</v>
          </cell>
        </row>
        <row r="1178">
          <cell r="A1178" t="str">
            <v>LG25095</v>
          </cell>
          <cell r="B1178" t="str">
            <v xml:space="preserve">Edita Anyango Amadi </v>
          </cell>
        </row>
        <row r="1179">
          <cell r="A1179" t="str">
            <v>LG19828</v>
          </cell>
          <cell r="B1179" t="str">
            <v xml:space="preserve">Edgar Ochieng Okello </v>
          </cell>
        </row>
        <row r="1180">
          <cell r="A1180" t="str">
            <v>LG07603</v>
          </cell>
          <cell r="B1180" t="str">
            <v>Edel Eunice Ngina Katumo</v>
          </cell>
        </row>
        <row r="1181">
          <cell r="A1181" t="str">
            <v>BB13799</v>
          </cell>
          <cell r="B1181" t="str">
            <v>Duncan Omondi Wambani</v>
          </cell>
        </row>
        <row r="1182">
          <cell r="A1182" t="str">
            <v>ABDMA87</v>
          </cell>
          <cell r="B1182" t="str">
            <v>Duncan Iregi Muhoro</v>
          </cell>
        </row>
        <row r="1183">
          <cell r="A1183" t="str">
            <v>LG24859</v>
          </cell>
          <cell r="B1183" t="str">
            <v>Douglas Ondieki  Omagwa</v>
          </cell>
        </row>
        <row r="1184">
          <cell r="A1184" t="str">
            <v>AB015N8</v>
          </cell>
          <cell r="B1184" t="str">
            <v>Douglas Munene</v>
          </cell>
        </row>
        <row r="1185">
          <cell r="A1185" t="str">
            <v>AB0296V</v>
          </cell>
          <cell r="B1185" t="str">
            <v>Dorothy Ochich</v>
          </cell>
        </row>
        <row r="1186">
          <cell r="A1186" t="str">
            <v>LG10923</v>
          </cell>
          <cell r="B1186" t="str">
            <v>Dorothy Akelo Orwa</v>
          </cell>
        </row>
        <row r="1187">
          <cell r="A1187" t="str">
            <v>LG07987</v>
          </cell>
          <cell r="B1187" t="str">
            <v>Doris Nekoye Malilo</v>
          </cell>
        </row>
        <row r="1188">
          <cell r="A1188" t="str">
            <v>LG25226</v>
          </cell>
          <cell r="B1188" t="str">
            <v>Dorice Amondi Odhiambo</v>
          </cell>
        </row>
        <row r="1189">
          <cell r="A1189" t="str">
            <v>BB06140</v>
          </cell>
          <cell r="B1189" t="str">
            <v>Doreen Naliaka Mutua</v>
          </cell>
        </row>
        <row r="1190">
          <cell r="A1190" t="str">
            <v>LG24288</v>
          </cell>
          <cell r="B1190" t="str">
            <v xml:space="preserve">Doreen Kendi </v>
          </cell>
        </row>
        <row r="1191">
          <cell r="A1191" t="str">
            <v>LG21682</v>
          </cell>
          <cell r="B1191" t="str">
            <v>Dorcus Munanye Ngula</v>
          </cell>
        </row>
        <row r="1192">
          <cell r="A1192" t="str">
            <v>ABR0139</v>
          </cell>
          <cell r="B1192" t="str">
            <v>Dorcus Ayuma Ongondo</v>
          </cell>
        </row>
        <row r="1193">
          <cell r="A1193" t="str">
            <v>LG19586</v>
          </cell>
          <cell r="B1193" t="str">
            <v>Dorcus Ayuma Ongindo</v>
          </cell>
        </row>
        <row r="1194">
          <cell r="A1194" t="str">
            <v>AB019Z2</v>
          </cell>
          <cell r="B1194" t="str">
            <v>Dora Chakua</v>
          </cell>
        </row>
        <row r="1195">
          <cell r="A1195" t="str">
            <v>AB030QW</v>
          </cell>
          <cell r="B1195" t="str">
            <v>Donah Soitah</v>
          </cell>
        </row>
        <row r="1196">
          <cell r="A1196" t="str">
            <v>LG18623</v>
          </cell>
          <cell r="B1196" t="str">
            <v>Dominic Ondong'A Mokua</v>
          </cell>
        </row>
        <row r="1197">
          <cell r="A1197" t="str">
            <v>AB020BI</v>
          </cell>
          <cell r="B1197" t="str">
            <v>Dominic Ngetich</v>
          </cell>
        </row>
        <row r="1198">
          <cell r="A1198" t="str">
            <v>AB019ZE</v>
          </cell>
          <cell r="B1198" t="str">
            <v xml:space="preserve">Dominic Musyoki Muteti </v>
          </cell>
        </row>
        <row r="1199">
          <cell r="A1199" t="str">
            <v>AB0154C</v>
          </cell>
          <cell r="B1199" t="str">
            <v>Dishon Walter Ongayi</v>
          </cell>
        </row>
        <row r="1200">
          <cell r="A1200" t="str">
            <v>AB019UB</v>
          </cell>
          <cell r="B1200" t="str">
            <v>Dickson Ombaba</v>
          </cell>
        </row>
        <row r="1201">
          <cell r="A1201" t="str">
            <v>LG24489</v>
          </cell>
          <cell r="B1201" t="str">
            <v>Dickson Nyangara Ombaba</v>
          </cell>
        </row>
        <row r="1202">
          <cell r="A1202" t="str">
            <v>LG17265</v>
          </cell>
          <cell r="B1202" t="str">
            <v>Dickson Matunda Bosire</v>
          </cell>
        </row>
        <row r="1203">
          <cell r="A1203" t="str">
            <v>AB02338</v>
          </cell>
          <cell r="B1203" t="str">
            <v>Dianah Mauku</v>
          </cell>
        </row>
        <row r="1204">
          <cell r="A1204" t="str">
            <v>LG24367</v>
          </cell>
          <cell r="B1204" t="str">
            <v>Diana Purity Nasong`o</v>
          </cell>
        </row>
        <row r="1205">
          <cell r="A1205" t="str">
            <v>AB023UP</v>
          </cell>
          <cell r="B1205" t="str">
            <v>Diana Ooko</v>
          </cell>
        </row>
        <row r="1206">
          <cell r="A1206" t="str">
            <v>ABDK459</v>
          </cell>
          <cell r="B1206" t="str">
            <v>Diana Nabwile Kituyi</v>
          </cell>
        </row>
        <row r="1207">
          <cell r="A1207" t="str">
            <v>LG25459</v>
          </cell>
          <cell r="B1207" t="str">
            <v>Diana Nabwile Kituyi</v>
          </cell>
        </row>
        <row r="1208">
          <cell r="A1208" t="str">
            <v>AB020AX</v>
          </cell>
          <cell r="B1208" t="str">
            <v>Diana Mbuvi</v>
          </cell>
        </row>
        <row r="1209">
          <cell r="A1209" t="str">
            <v>LG24304</v>
          </cell>
          <cell r="B1209" t="str">
            <v>Diana Akinyi Odera</v>
          </cell>
        </row>
        <row r="1210">
          <cell r="A1210" t="str">
            <v>LG21530</v>
          </cell>
          <cell r="B1210" t="str">
            <v>Dennis Mutua Mutiso</v>
          </cell>
        </row>
        <row r="1211">
          <cell r="A1211" t="str">
            <v>BB20996</v>
          </cell>
          <cell r="B1211" t="str">
            <v>Dennis KYALO Kilonzo</v>
          </cell>
        </row>
        <row r="1212">
          <cell r="A1212" t="str">
            <v>BB07470</v>
          </cell>
          <cell r="B1212" t="str">
            <v>Dennis Kamau</v>
          </cell>
        </row>
        <row r="1213">
          <cell r="A1213" t="str">
            <v>BB04910</v>
          </cell>
          <cell r="B1213" t="str">
            <v>Denis Nyongesa Wekesa</v>
          </cell>
        </row>
        <row r="1214">
          <cell r="A1214">
            <v>9201</v>
          </cell>
          <cell r="B1214" t="str">
            <v>Denis Munene</v>
          </cell>
        </row>
        <row r="1215">
          <cell r="A1215" t="str">
            <v>LG15818</v>
          </cell>
          <cell r="B1215" t="str">
            <v>Denis Gucha Odoyo</v>
          </cell>
        </row>
        <row r="1216">
          <cell r="A1216" t="str">
            <v>AB022BT</v>
          </cell>
          <cell r="B1216" t="str">
            <v>Debra Lang'at</v>
          </cell>
        </row>
        <row r="1217">
          <cell r="A1217" t="str">
            <v>BB07356</v>
          </cell>
          <cell r="B1217" t="str">
            <v>Debra Clementina Oweya</v>
          </cell>
        </row>
        <row r="1218">
          <cell r="A1218" t="str">
            <v>LG23232</v>
          </cell>
          <cell r="B1218" t="str">
            <v>David Wanjohi Wachiuri</v>
          </cell>
        </row>
        <row r="1219">
          <cell r="A1219" t="str">
            <v>LG23171</v>
          </cell>
          <cell r="B1219" t="str">
            <v>David Otieno Adero</v>
          </cell>
        </row>
        <row r="1220">
          <cell r="A1220" t="str">
            <v>LG25270</v>
          </cell>
          <cell r="B1220" t="str">
            <v xml:space="preserve">David Okoth Odongo </v>
          </cell>
        </row>
        <row r="1221">
          <cell r="A1221" t="str">
            <v>AB027V9</v>
          </cell>
          <cell r="B1221" t="str">
            <v>David Mwandembu</v>
          </cell>
        </row>
        <row r="1222">
          <cell r="A1222" t="str">
            <v>LG24926</v>
          </cell>
          <cell r="B1222" t="str">
            <v>David Musee  Vincent</v>
          </cell>
        </row>
        <row r="1223">
          <cell r="A1223" t="str">
            <v>BB00648</v>
          </cell>
          <cell r="B1223" t="str">
            <v>David Makari Simiyu</v>
          </cell>
        </row>
        <row r="1224">
          <cell r="A1224" t="str">
            <v>AB026BD</v>
          </cell>
          <cell r="B1224" t="str">
            <v>David Maina</v>
          </cell>
        </row>
        <row r="1225">
          <cell r="A1225" t="str">
            <v>BB14996</v>
          </cell>
          <cell r="B1225" t="str">
            <v>David Luvai Chavasu</v>
          </cell>
        </row>
        <row r="1226">
          <cell r="A1226" t="str">
            <v>AB027X3</v>
          </cell>
          <cell r="B1226" t="str">
            <v>David Kiprono</v>
          </cell>
        </row>
        <row r="1227">
          <cell r="A1227" t="str">
            <v>LG25241</v>
          </cell>
          <cell r="B1227" t="str">
            <v xml:space="preserve">David Keya </v>
          </cell>
        </row>
        <row r="1228">
          <cell r="A1228" t="str">
            <v>BB20666</v>
          </cell>
          <cell r="B1228" t="str">
            <v>David Kariru Macharia</v>
          </cell>
        </row>
        <row r="1229">
          <cell r="A1229" t="str">
            <v>BB06988</v>
          </cell>
          <cell r="B1229" t="str">
            <v>David Kamanza Munee</v>
          </cell>
        </row>
        <row r="1230">
          <cell r="A1230" t="str">
            <v>MKL0670</v>
          </cell>
          <cell r="B1230" t="str">
            <v>Daudi, Hellen Nthenya</v>
          </cell>
        </row>
        <row r="1231">
          <cell r="A1231" t="str">
            <v>4090</v>
          </cell>
          <cell r="B1231" t="str">
            <v>Danson Gilbert Maina Nduyu</v>
          </cell>
        </row>
        <row r="1232">
          <cell r="A1232" t="str">
            <v>AB027AG</v>
          </cell>
          <cell r="B1232" t="str">
            <v>Daniel Otieno Oduor</v>
          </cell>
        </row>
        <row r="1233">
          <cell r="A1233" t="str">
            <v>LG06171</v>
          </cell>
          <cell r="B1233" t="str">
            <v>Daniel Onditi Minyong'a</v>
          </cell>
        </row>
        <row r="1234">
          <cell r="A1234" t="str">
            <v>AB0190V</v>
          </cell>
          <cell r="B1234" t="str">
            <v>Daniel Odhiambo Owino</v>
          </cell>
        </row>
        <row r="1235">
          <cell r="A1235" t="str">
            <v>AB027DH</v>
          </cell>
          <cell r="B1235" t="str">
            <v>Daniel Mbaabu</v>
          </cell>
        </row>
        <row r="1236">
          <cell r="A1236" t="str">
            <v>BB14712</v>
          </cell>
          <cell r="B1236" t="str">
            <v>Daniel Masika Kikuvi</v>
          </cell>
        </row>
        <row r="1237">
          <cell r="A1237" t="str">
            <v>LG12463</v>
          </cell>
          <cell r="B1237" t="str">
            <v>Daniel Kiseli Kimeu</v>
          </cell>
        </row>
        <row r="1238">
          <cell r="A1238" t="str">
            <v>AB02916</v>
          </cell>
          <cell r="B1238" t="str">
            <v>Daniel Kerose</v>
          </cell>
        </row>
        <row r="1239">
          <cell r="A1239" t="str">
            <v>LG24554</v>
          </cell>
          <cell r="B1239" t="str">
            <v>Dancun Kasivi Muthenya</v>
          </cell>
        </row>
        <row r="1240">
          <cell r="A1240" t="str">
            <v>BB11923</v>
          </cell>
          <cell r="B1240" t="str">
            <v>Dan Oluoch Olale</v>
          </cell>
        </row>
        <row r="1241">
          <cell r="A1241" t="str">
            <v>LG20050</v>
          </cell>
          <cell r="B1241" t="str">
            <v>Damaris  Munyao</v>
          </cell>
        </row>
        <row r="1242">
          <cell r="A1242" t="str">
            <v>AB0229U</v>
          </cell>
          <cell r="B1242" t="str">
            <v>Daisy Wanjiku Wanjohi</v>
          </cell>
        </row>
        <row r="1243">
          <cell r="A1243" t="str">
            <v>AB019I1</v>
          </cell>
          <cell r="B1243" t="str">
            <v>Daisy Adhiambo Odhiambo</v>
          </cell>
        </row>
        <row r="1244">
          <cell r="A1244" t="str">
            <v>ABCC553</v>
          </cell>
          <cell r="B1244" t="str">
            <v>Cythia Chahele</v>
          </cell>
        </row>
        <row r="1245">
          <cell r="A1245" t="str">
            <v>LG24206</v>
          </cell>
          <cell r="B1245" t="str">
            <v>Cynthia Katumbi Matheka</v>
          </cell>
        </row>
        <row r="1246">
          <cell r="A1246" t="str">
            <v>LG24393</v>
          </cell>
          <cell r="B1246" t="str">
            <v>Cynthia Jill Akoth</v>
          </cell>
        </row>
        <row r="1247">
          <cell r="A1247" t="str">
            <v>LG20692</v>
          </cell>
          <cell r="B1247" t="str">
            <v>Cynthia Agiza Chahale</v>
          </cell>
        </row>
        <row r="1248">
          <cell r="A1248" t="str">
            <v>LG25070</v>
          </cell>
          <cell r="B1248" t="str">
            <v xml:space="preserve">Cynaida Miriam Kwendo </v>
          </cell>
        </row>
        <row r="1249">
          <cell r="A1249" t="str">
            <v>LG25028</v>
          </cell>
          <cell r="B1249" t="str">
            <v>Cosmon Langaat Kipkorir</v>
          </cell>
        </row>
        <row r="1250">
          <cell r="A1250" t="str">
            <v>LG06969</v>
          </cell>
          <cell r="B1250" t="str">
            <v>Cornelius Joseph Ndemwa</v>
          </cell>
        </row>
        <row r="1251">
          <cell r="A1251" t="str">
            <v>AB02898</v>
          </cell>
          <cell r="B1251" t="str">
            <v>Constance Mutisya</v>
          </cell>
        </row>
        <row r="1252">
          <cell r="A1252" t="str">
            <v>AB030WO</v>
          </cell>
          <cell r="B1252" t="str">
            <v>Consolata Donde</v>
          </cell>
        </row>
        <row r="1253">
          <cell r="A1253" t="str">
            <v>LG23480</v>
          </cell>
          <cell r="B1253" t="str">
            <v>Concepta Mututa</v>
          </cell>
        </row>
        <row r="1254">
          <cell r="A1254" t="str">
            <v>ABCMAAY</v>
          </cell>
          <cell r="B1254" t="str">
            <v>Concepta  Mututa</v>
          </cell>
        </row>
        <row r="1255">
          <cell r="A1255" t="str">
            <v>BB13815</v>
          </cell>
          <cell r="B1255" t="str">
            <v>Collins Sambai Ngeno</v>
          </cell>
        </row>
        <row r="1256">
          <cell r="A1256" t="str">
            <v>LG25466</v>
          </cell>
          <cell r="B1256" t="str">
            <v xml:space="preserve">Collins Mwangi </v>
          </cell>
        </row>
        <row r="1257">
          <cell r="A1257" t="str">
            <v>BB21109</v>
          </cell>
          <cell r="B1257" t="str">
            <v>Collins MWANGANGI Maweu</v>
          </cell>
        </row>
        <row r="1258">
          <cell r="A1258" t="str">
            <v>AB022GO</v>
          </cell>
          <cell r="B1258" t="str">
            <v>Collins Amolo</v>
          </cell>
        </row>
        <row r="1259">
          <cell r="A1259" t="str">
            <v>LG23174</v>
          </cell>
          <cell r="B1259" t="str">
            <v>Clinton Kegengo Morang'a</v>
          </cell>
        </row>
        <row r="1260">
          <cell r="A1260" t="str">
            <v>LG22950</v>
          </cell>
          <cell r="B1260" t="str">
            <v>Cleophatra  Jemutai</v>
          </cell>
        </row>
        <row r="1261">
          <cell r="A1261" t="str">
            <v>AB0278N</v>
          </cell>
          <cell r="B1261" t="str">
            <v>Clementina Kavila</v>
          </cell>
        </row>
        <row r="1262">
          <cell r="A1262" t="str">
            <v>AB022XC</v>
          </cell>
          <cell r="B1262" t="str">
            <v>Clarkson Owiti</v>
          </cell>
        </row>
        <row r="1263">
          <cell r="A1263" t="str">
            <v>AB030FS</v>
          </cell>
          <cell r="B1263" t="str">
            <v>Claris Mugo Mugo</v>
          </cell>
        </row>
        <row r="1264">
          <cell r="A1264" t="str">
            <v>9182</v>
          </cell>
          <cell r="B1264" t="str">
            <v>Cicily Kanini Mwaniki</v>
          </cell>
        </row>
        <row r="1265">
          <cell r="A1265" t="str">
            <v>BB17345</v>
          </cell>
          <cell r="B1265" t="str">
            <v>Christopher Muthama</v>
          </cell>
        </row>
        <row r="1266">
          <cell r="A1266" t="str">
            <v>LG24947</v>
          </cell>
          <cell r="B1266" t="str">
            <v>Christopher Musyoka Savali</v>
          </cell>
        </row>
        <row r="1267">
          <cell r="A1267" t="str">
            <v>LG12141</v>
          </cell>
          <cell r="B1267" t="str">
            <v>Christopher Juma Omondi</v>
          </cell>
        </row>
        <row r="1268">
          <cell r="A1268" t="str">
            <v>AB01724</v>
          </cell>
          <cell r="B1268" t="str">
            <v>Christine Ouko</v>
          </cell>
        </row>
        <row r="1269">
          <cell r="A1269" t="str">
            <v>AB006DO</v>
          </cell>
          <cell r="B1269" t="str">
            <v xml:space="preserve">Christine Onyango </v>
          </cell>
        </row>
        <row r="1270">
          <cell r="A1270" t="str">
            <v>BB07585</v>
          </cell>
          <cell r="B1270" t="str">
            <v xml:space="preserve">Christine Odhiambo </v>
          </cell>
        </row>
        <row r="1271">
          <cell r="A1271" t="str">
            <v>AB027Z9</v>
          </cell>
          <cell r="B1271" t="str">
            <v>Christine Obwanga</v>
          </cell>
        </row>
        <row r="1272">
          <cell r="A1272" t="str">
            <v>AB017WP</v>
          </cell>
          <cell r="B1272" t="str">
            <v>Christine Ndululu Sila</v>
          </cell>
        </row>
        <row r="1273">
          <cell r="A1273" t="str">
            <v>ABCMAC2</v>
          </cell>
          <cell r="B1273" t="str">
            <v>Christine Mutunga</v>
          </cell>
        </row>
        <row r="1274">
          <cell r="A1274" t="str">
            <v>BB11875</v>
          </cell>
          <cell r="B1274" t="str">
            <v>Christine Awuor Okwach</v>
          </cell>
        </row>
        <row r="1275">
          <cell r="A1275" t="str">
            <v>LG20103</v>
          </cell>
          <cell r="B1275" t="str">
            <v>Christer Adhiambo Ochieng</v>
          </cell>
        </row>
        <row r="1276">
          <cell r="A1276" t="str">
            <v>AB027DB</v>
          </cell>
          <cell r="B1276" t="str">
            <v>Christa m mutisya</v>
          </cell>
        </row>
        <row r="1277">
          <cell r="A1277" t="str">
            <v>AB027OB</v>
          </cell>
          <cell r="B1277" t="str">
            <v>Christa m mutisya</v>
          </cell>
        </row>
        <row r="1278">
          <cell r="A1278" t="str">
            <v>LG25247</v>
          </cell>
          <cell r="B1278" t="str">
            <v xml:space="preserve">Chrispus Wakuloba </v>
          </cell>
        </row>
        <row r="1279">
          <cell r="A1279" t="str">
            <v>LG16011</v>
          </cell>
          <cell r="B1279" t="str">
            <v>Chrispinus Juma Wanamu</v>
          </cell>
        </row>
        <row r="1280">
          <cell r="A1280" t="str">
            <v>LG20959</v>
          </cell>
          <cell r="B1280" t="str">
            <v>Chemjor  Cherongony</v>
          </cell>
        </row>
        <row r="1281">
          <cell r="A1281" t="str">
            <v>LG20776</v>
          </cell>
          <cell r="B1281" t="str">
            <v xml:space="preserve">Chelangat Jacueline </v>
          </cell>
        </row>
        <row r="1282">
          <cell r="A1282" t="str">
            <v>LG22541</v>
          </cell>
          <cell r="B1282" t="str">
            <v>Charlottee Khanyelele Chenge</v>
          </cell>
        </row>
        <row r="1283">
          <cell r="A1283" t="str">
            <v>LG25575</v>
          </cell>
          <cell r="B1283" t="str">
            <v xml:space="preserve">Charlotte Zickie Akinyi </v>
          </cell>
        </row>
        <row r="1284">
          <cell r="A1284" t="str">
            <v>LG06957</v>
          </cell>
          <cell r="B1284" t="str">
            <v>Charlotte Chebet Mibei</v>
          </cell>
        </row>
        <row r="1285">
          <cell r="A1285" t="str">
            <v>LG21279</v>
          </cell>
          <cell r="B1285" t="str">
            <v>Charles Santos Owiti</v>
          </cell>
        </row>
        <row r="1286">
          <cell r="A1286" t="str">
            <v>LG20993</v>
          </cell>
          <cell r="B1286" t="str">
            <v>Charles OMONDI Oluoch</v>
          </cell>
        </row>
        <row r="1287">
          <cell r="A1287" t="str">
            <v>LG24856</v>
          </cell>
          <cell r="B1287" t="str">
            <v xml:space="preserve">Charles Okoth Agango </v>
          </cell>
        </row>
        <row r="1288">
          <cell r="A1288" t="str">
            <v>LG12933</v>
          </cell>
          <cell r="B1288" t="str">
            <v>Charles Njue Gichuki</v>
          </cell>
        </row>
        <row r="1289">
          <cell r="A1289" t="str">
            <v>AB016LR</v>
          </cell>
          <cell r="B1289" t="str">
            <v>Charles Mwaivu</v>
          </cell>
        </row>
        <row r="1290">
          <cell r="A1290" t="str">
            <v>LG13144</v>
          </cell>
          <cell r="B1290" t="str">
            <v>Charles Mutiso Kisilu</v>
          </cell>
        </row>
        <row r="1291">
          <cell r="A1291" t="str">
            <v>BB09368</v>
          </cell>
          <cell r="B1291" t="str">
            <v>Charles Mathenge Maina</v>
          </cell>
        </row>
        <row r="1292">
          <cell r="A1292" t="str">
            <v>AB01721</v>
          </cell>
          <cell r="B1292" t="str">
            <v>Charles Masai</v>
          </cell>
        </row>
        <row r="1293">
          <cell r="A1293" t="str">
            <v>AB019FY</v>
          </cell>
          <cell r="B1293" t="str">
            <v>Charles Gichu</v>
          </cell>
        </row>
        <row r="1294">
          <cell r="A1294" t="str">
            <v>ABCG428</v>
          </cell>
          <cell r="B1294" t="str">
            <v>Charles Gicho</v>
          </cell>
        </row>
        <row r="1295">
          <cell r="A1295" t="str">
            <v>LG15275</v>
          </cell>
          <cell r="B1295" t="str">
            <v>Charity Wangui Mwangi</v>
          </cell>
        </row>
        <row r="1296">
          <cell r="A1296" t="str">
            <v>BB13415</v>
          </cell>
          <cell r="B1296" t="str">
            <v>Charity Wairimu Kimani</v>
          </cell>
        </row>
        <row r="1297">
          <cell r="A1297" t="str">
            <v>LG15805</v>
          </cell>
          <cell r="B1297" t="str">
            <v>Charity Njeri Ndungu</v>
          </cell>
        </row>
        <row r="1298">
          <cell r="A1298" t="str">
            <v>LG23057</v>
          </cell>
          <cell r="B1298" t="str">
            <v>Cephas Mukundi Gitemba</v>
          </cell>
        </row>
        <row r="1299">
          <cell r="A1299" t="str">
            <v>LG07014</v>
          </cell>
          <cell r="B1299" t="str">
            <v>Celina Ngina Mulwa</v>
          </cell>
        </row>
        <row r="1300">
          <cell r="A1300">
            <v>9182</v>
          </cell>
          <cell r="B1300" t="str">
            <v xml:space="preserve">Cecily Mwaniki </v>
          </cell>
        </row>
        <row r="1301">
          <cell r="A1301" t="str">
            <v>LG25450</v>
          </cell>
          <cell r="B1301" t="str">
            <v>Cecilia Wambui Wanjohi</v>
          </cell>
        </row>
        <row r="1302">
          <cell r="A1302" t="str">
            <v>LG18177</v>
          </cell>
          <cell r="B1302" t="str">
            <v>Cecilia Ndaisi Muasya</v>
          </cell>
        </row>
        <row r="1303">
          <cell r="A1303" t="str">
            <v>AB026KD</v>
          </cell>
          <cell r="B1303" t="str">
            <v>Cecilia Muendo</v>
          </cell>
        </row>
        <row r="1304">
          <cell r="A1304" t="str">
            <v>LG12120</v>
          </cell>
          <cell r="B1304" t="str">
            <v>Cecilia Chepkemboi Samoei</v>
          </cell>
        </row>
        <row r="1305">
          <cell r="A1305" t="str">
            <v>LG18171</v>
          </cell>
          <cell r="B1305" t="str">
            <v>Cecelia Ndasi Muasya</v>
          </cell>
        </row>
        <row r="1306">
          <cell r="A1306" t="str">
            <v>AB015NU</v>
          </cell>
          <cell r="B1306" t="str">
            <v>Cathrine Sonya Airo</v>
          </cell>
        </row>
        <row r="1307">
          <cell r="A1307" t="str">
            <v>LG24616</v>
          </cell>
          <cell r="B1307" t="str">
            <v>Catherine  Kavata Kyenze</v>
          </cell>
        </row>
        <row r="1308">
          <cell r="A1308" t="str">
            <v>LG12308</v>
          </cell>
          <cell r="B1308" t="str">
            <v>Catherine Wawira Mwaniki</v>
          </cell>
        </row>
        <row r="1309">
          <cell r="A1309" t="str">
            <v>AB011JJ</v>
          </cell>
          <cell r="B1309" t="str">
            <v>Catherine Wanjiku Kamau</v>
          </cell>
        </row>
        <row r="1310">
          <cell r="A1310" t="str">
            <v>BB09220</v>
          </cell>
          <cell r="B1310" t="str">
            <v>Catherine Wambui Mwangi</v>
          </cell>
        </row>
        <row r="1311">
          <cell r="A1311" t="str">
            <v>ABC0246</v>
          </cell>
          <cell r="B1311" t="str">
            <v>Catherine Ogola</v>
          </cell>
        </row>
        <row r="1312">
          <cell r="A1312" t="str">
            <v>BB07498</v>
          </cell>
          <cell r="B1312" t="str">
            <v>Catherine Njambi Nderitu</v>
          </cell>
        </row>
        <row r="1313">
          <cell r="A1313" t="str">
            <v>BB23136</v>
          </cell>
          <cell r="B1313" t="str">
            <v>Catherine Dzame</v>
          </cell>
        </row>
        <row r="1314">
          <cell r="A1314" t="str">
            <v>LG23136</v>
          </cell>
          <cell r="B1314" t="str">
            <v>Catherine Alice Dzame</v>
          </cell>
        </row>
        <row r="1315">
          <cell r="A1315" t="str">
            <v>LG25029</v>
          </cell>
          <cell r="B1315" t="str">
            <v xml:space="preserve">Catherine Akinyi Ogola </v>
          </cell>
        </row>
        <row r="1316">
          <cell r="A1316" t="str">
            <v>AB019GP</v>
          </cell>
          <cell r="B1316" t="str">
            <v>Catherine Akinyi</v>
          </cell>
        </row>
        <row r="1317">
          <cell r="A1317" t="str">
            <v>LG21130</v>
          </cell>
          <cell r="B1317" t="str">
            <v>Catherine  Nkirote</v>
          </cell>
        </row>
        <row r="1318">
          <cell r="A1318" t="str">
            <v>BB12753</v>
          </cell>
          <cell r="B1318" t="str">
            <v>Catherine  Kimuya</v>
          </cell>
        </row>
        <row r="1319">
          <cell r="A1319" t="str">
            <v>LG17699</v>
          </cell>
          <cell r="B1319" t="str">
            <v>Casty Gakii Nyaga</v>
          </cell>
        </row>
        <row r="1320">
          <cell r="A1320" t="str">
            <v>AB020DY</v>
          </cell>
          <cell r="B1320" t="str">
            <v>Casper Ochieng</v>
          </cell>
        </row>
        <row r="1321">
          <cell r="A1321" t="str">
            <v>AB019GV</v>
          </cell>
          <cell r="B1321" t="str">
            <v>Carroline Owino</v>
          </cell>
        </row>
        <row r="1322">
          <cell r="A1322" t="str">
            <v>LG25063</v>
          </cell>
          <cell r="B1322" t="str">
            <v xml:space="preserve">Carrington Roderique Dulo </v>
          </cell>
        </row>
        <row r="1323">
          <cell r="A1323" t="str">
            <v>LG22577</v>
          </cell>
          <cell r="B1323" t="str">
            <v>Carolyne Waithira Njeri</v>
          </cell>
        </row>
        <row r="1324">
          <cell r="A1324" t="str">
            <v>LG24369</v>
          </cell>
          <cell r="B1324" t="str">
            <v>Carolyne Taabu Were</v>
          </cell>
        </row>
        <row r="1325">
          <cell r="A1325" t="str">
            <v>LG23245</v>
          </cell>
          <cell r="B1325" t="str">
            <v>Carolyne Nekesa Khakina</v>
          </cell>
        </row>
        <row r="1326">
          <cell r="A1326" t="str">
            <v>BBAB00PJ</v>
          </cell>
          <cell r="B1326" t="str">
            <v>Carolyne Muthee</v>
          </cell>
        </row>
        <row r="1327">
          <cell r="A1327" t="str">
            <v>AB023X1</v>
          </cell>
          <cell r="B1327" t="str">
            <v>Carolyne Munini Mule</v>
          </cell>
        </row>
        <row r="1328">
          <cell r="A1328" t="str">
            <v>LG15482</v>
          </cell>
          <cell r="B1328" t="str">
            <v>Carolyne Jenypher Ochieng</v>
          </cell>
        </row>
        <row r="1329">
          <cell r="A1329" t="str">
            <v>BB23329</v>
          </cell>
          <cell r="B1329" t="str">
            <v>Carolyne Jelagat</v>
          </cell>
        </row>
        <row r="1330">
          <cell r="A1330" t="str">
            <v>LG12140</v>
          </cell>
          <cell r="B1330" t="str">
            <v>Carolyne Anyango Ondiege</v>
          </cell>
        </row>
        <row r="1331">
          <cell r="A1331" t="str">
            <v>LG23329</v>
          </cell>
          <cell r="B1331" t="str">
            <v>Carolyne  Jelagat</v>
          </cell>
        </row>
        <row r="1332">
          <cell r="A1332" t="str">
            <v>BB14966</v>
          </cell>
          <cell r="B1332" t="str">
            <v>Caroline Wawira Mugo</v>
          </cell>
        </row>
        <row r="1333">
          <cell r="A1333" t="str">
            <v>BB12930</v>
          </cell>
          <cell r="B1333" t="str">
            <v>Caroline Wangui Maina</v>
          </cell>
        </row>
        <row r="1334">
          <cell r="A1334" t="str">
            <v>BB19482</v>
          </cell>
          <cell r="B1334" t="str">
            <v>Caroline Wangari Esther</v>
          </cell>
        </row>
        <row r="1335">
          <cell r="A1335" t="str">
            <v>BB19482</v>
          </cell>
          <cell r="B1335" t="str">
            <v>Caroline Wangari Esther</v>
          </cell>
        </row>
        <row r="1336">
          <cell r="A1336" t="str">
            <v>BB25127</v>
          </cell>
          <cell r="B1336" t="str">
            <v xml:space="preserve">Caroline Wachera Wambugu </v>
          </cell>
        </row>
        <row r="1337">
          <cell r="A1337" t="str">
            <v>BB18577</v>
          </cell>
          <cell r="B1337" t="str">
            <v>Caroline Nduta Mwangi</v>
          </cell>
        </row>
        <row r="1338">
          <cell r="A1338" t="str">
            <v>LG25064</v>
          </cell>
          <cell r="B1338" t="str">
            <v xml:space="preserve">Caroline Nanjala Mukhebi </v>
          </cell>
        </row>
        <row r="1339">
          <cell r="A1339" t="str">
            <v>AB019J9</v>
          </cell>
          <cell r="B1339" t="str">
            <v>Caroline Mbithe</v>
          </cell>
        </row>
        <row r="1340">
          <cell r="A1340" t="str">
            <v>AB011MZ</v>
          </cell>
          <cell r="B1340" t="str">
            <v>Caroline Manoa</v>
          </cell>
        </row>
        <row r="1341">
          <cell r="A1341" t="str">
            <v>AB01609</v>
          </cell>
          <cell r="B1341" t="str">
            <v>Caroline Kwamboka Kiagu</v>
          </cell>
        </row>
        <row r="1342">
          <cell r="A1342" t="str">
            <v>LG09498</v>
          </cell>
          <cell r="B1342" t="str">
            <v>Caroline Katila Marumbu</v>
          </cell>
        </row>
        <row r="1343">
          <cell r="A1343" t="str">
            <v>BB09498</v>
          </cell>
          <cell r="B1343" t="str">
            <v>Caroline Katila Marumbu</v>
          </cell>
        </row>
        <row r="1344">
          <cell r="A1344" t="str">
            <v>BB05947</v>
          </cell>
          <cell r="B1344" t="str">
            <v>Caroline Gatakaa Gitari</v>
          </cell>
        </row>
        <row r="1345">
          <cell r="A1345" t="str">
            <v>BB15225</v>
          </cell>
          <cell r="B1345" t="str">
            <v>Caroline Cherotich</v>
          </cell>
        </row>
        <row r="1346">
          <cell r="A1346" t="str">
            <v>AB0224</v>
          </cell>
          <cell r="B1346" t="str">
            <v>Caroline Chepkemoi</v>
          </cell>
        </row>
        <row r="1347">
          <cell r="A1347" t="str">
            <v>LG16651</v>
          </cell>
          <cell r="B1347" t="str">
            <v>Caroline Atieno Oyola</v>
          </cell>
        </row>
        <row r="1348">
          <cell r="A1348" t="str">
            <v>LG25598</v>
          </cell>
          <cell r="B1348" t="str">
            <v>Caroline Achieng Ongeche</v>
          </cell>
        </row>
        <row r="1349">
          <cell r="A1349" t="str">
            <v>LG23208</v>
          </cell>
          <cell r="B1349" t="str">
            <v>Caroline  Matany</v>
          </cell>
        </row>
        <row r="1350">
          <cell r="A1350" t="str">
            <v>AB019FO</v>
          </cell>
          <cell r="B1350" t="str">
            <v>Caroli Owuor</v>
          </cell>
        </row>
        <row r="1351">
          <cell r="A1351" t="str">
            <v>ABCN459</v>
          </cell>
          <cell r="B1351" t="str">
            <v>Carol Wambui Ndungu</v>
          </cell>
        </row>
        <row r="1352">
          <cell r="A1352" t="str">
            <v>LG19446</v>
          </cell>
          <cell r="B1352" t="str">
            <v xml:space="preserve">Carol Rehema Asewe </v>
          </cell>
        </row>
        <row r="1353">
          <cell r="A1353" t="str">
            <v>AB019ZB</v>
          </cell>
          <cell r="B1353" t="str">
            <v>Carol Mutiso</v>
          </cell>
        </row>
        <row r="1354">
          <cell r="A1354" t="str">
            <v>ABCK602</v>
          </cell>
          <cell r="B1354" t="str">
            <v>Carol Kaviti</v>
          </cell>
        </row>
        <row r="1355">
          <cell r="A1355" t="str">
            <v>LG20416</v>
          </cell>
          <cell r="B1355" t="str">
            <v>Carol  Kaviti</v>
          </cell>
        </row>
        <row r="1356">
          <cell r="A1356" t="str">
            <v>AB031M8</v>
          </cell>
          <cell r="B1356" t="str">
            <v>Carlton Mutiso</v>
          </cell>
        </row>
        <row r="1357">
          <cell r="A1357" t="str">
            <v>AB024E7</v>
          </cell>
          <cell r="B1357" t="str">
            <v>Caren Kimutai</v>
          </cell>
        </row>
        <row r="1358">
          <cell r="A1358" t="str">
            <v>ABCW533</v>
          </cell>
          <cell r="B1358" t="str">
            <v>Caren Katunge Wambua</v>
          </cell>
        </row>
        <row r="1359">
          <cell r="A1359" t="str">
            <v>AB024TH</v>
          </cell>
          <cell r="B1359" t="str">
            <v>Caren Cherop</v>
          </cell>
        </row>
        <row r="1360">
          <cell r="A1360" t="str">
            <v>AB015ME</v>
          </cell>
          <cell r="B1360" t="str">
            <v>Calvin Ongele</v>
          </cell>
        </row>
        <row r="1361">
          <cell r="A1361" t="str">
            <v>AB025OS</v>
          </cell>
          <cell r="B1361" t="str">
            <v>Caitline Mbithe Muendo</v>
          </cell>
        </row>
        <row r="1362">
          <cell r="A1362" t="str">
            <v>LG18269</v>
          </cell>
          <cell r="B1362" t="str">
            <v>Bundi Kinyua Douglas</v>
          </cell>
        </row>
        <row r="1363">
          <cell r="A1363" t="str">
            <v>AB027LK</v>
          </cell>
          <cell r="B1363" t="str">
            <v>Bryan Njogu</v>
          </cell>
        </row>
        <row r="1364">
          <cell r="A1364" t="str">
            <v>LG24541</v>
          </cell>
          <cell r="B1364" t="str">
            <v>Bruce Titus Korinda</v>
          </cell>
        </row>
        <row r="1365">
          <cell r="A1365" t="str">
            <v>AB026GL</v>
          </cell>
          <cell r="B1365" t="str">
            <v>Brnice Mbinya Mutiso</v>
          </cell>
        </row>
        <row r="1366">
          <cell r="A1366" t="str">
            <v>BB19361</v>
          </cell>
          <cell r="B1366" t="str">
            <v>Briliant  Mwanahawa</v>
          </cell>
        </row>
        <row r="1367">
          <cell r="A1367" t="str">
            <v>AB0277A</v>
          </cell>
          <cell r="B1367" t="str">
            <v>Bridgit Mutinda</v>
          </cell>
        </row>
        <row r="1368">
          <cell r="A1368" t="str">
            <v>AB0150B</v>
          </cell>
          <cell r="B1368" t="str">
            <v>Bridget Mugira</v>
          </cell>
        </row>
        <row r="1369">
          <cell r="A1369" t="str">
            <v>LG24543</v>
          </cell>
          <cell r="B1369" t="str">
            <v>Brian Owino</v>
          </cell>
        </row>
        <row r="1370">
          <cell r="A1370" t="str">
            <v>LG25468</v>
          </cell>
          <cell r="B1370" t="str">
            <v>Brian Osumu Arasa</v>
          </cell>
        </row>
        <row r="1371">
          <cell r="A1371" t="str">
            <v>ABBO096</v>
          </cell>
          <cell r="B1371" t="str">
            <v>Brian Omondi</v>
          </cell>
        </row>
        <row r="1372">
          <cell r="A1372" t="str">
            <v>AB0204N</v>
          </cell>
          <cell r="B1372" t="str">
            <v>Brian Njoroge Ndubissi</v>
          </cell>
        </row>
        <row r="1373">
          <cell r="A1373" t="str">
            <v>LG24580</v>
          </cell>
          <cell r="B1373" t="str">
            <v>Brian Mutua</v>
          </cell>
        </row>
        <row r="1374">
          <cell r="A1374"/>
          <cell r="B1374" t="str">
            <v>Brian Mitchie Njoroge</v>
          </cell>
        </row>
        <row r="1375">
          <cell r="A1375" t="str">
            <v>LG24548</v>
          </cell>
          <cell r="B1375" t="str">
            <v>Brian Kidula</v>
          </cell>
        </row>
        <row r="1376">
          <cell r="A1376" t="str">
            <v>AB0231K</v>
          </cell>
          <cell r="B1376" t="str">
            <v>Brian Kamau Ndungu</v>
          </cell>
        </row>
        <row r="1377">
          <cell r="A1377" t="str">
            <v>AB0202I</v>
          </cell>
          <cell r="B1377" t="str">
            <v>Brian Gwayi</v>
          </cell>
        </row>
        <row r="1378">
          <cell r="A1378" t="str">
            <v>ABBO102</v>
          </cell>
          <cell r="B1378" t="str">
            <v>Brender Ochieng</v>
          </cell>
        </row>
        <row r="1379">
          <cell r="A1379" t="str">
            <v>LG16647</v>
          </cell>
          <cell r="B1379" t="str">
            <v>Brender Ochieng</v>
          </cell>
        </row>
        <row r="1380">
          <cell r="A1380" t="str">
            <v>AB015OE</v>
          </cell>
          <cell r="B1380" t="str">
            <v>Brenda Nyakiongora</v>
          </cell>
        </row>
        <row r="1381">
          <cell r="A1381" t="str">
            <v>LG19113</v>
          </cell>
          <cell r="B1381" t="str">
            <v>Brenda Awuor Omolo</v>
          </cell>
        </row>
        <row r="1382">
          <cell r="A1382" t="str">
            <v>LG24606</v>
          </cell>
          <cell r="B1382" t="str">
            <v>Boniface Mutuma Thuranira</v>
          </cell>
        </row>
        <row r="1383">
          <cell r="A1383" t="str">
            <v>LG22586</v>
          </cell>
          <cell r="B1383" t="str">
            <v>Boniface Kyengo</v>
          </cell>
        </row>
        <row r="1384">
          <cell r="A1384" t="str">
            <v>AB0154N</v>
          </cell>
          <cell r="B1384" t="str">
            <v>Bonface Sifuna Situdungu</v>
          </cell>
        </row>
        <row r="1385">
          <cell r="A1385" t="str">
            <v>LG24758</v>
          </cell>
          <cell r="B1385" t="str">
            <v>Bonface Nzau Mutuku</v>
          </cell>
        </row>
        <row r="1386">
          <cell r="A1386" t="str">
            <v>AB017VD</v>
          </cell>
          <cell r="B1386" t="str">
            <v>Billy Muthomi Mugambi</v>
          </cell>
        </row>
        <row r="1387">
          <cell r="A1387" t="str">
            <v>LG18306</v>
          </cell>
          <cell r="B1387" t="str">
            <v xml:space="preserve">Bilhah Wachira </v>
          </cell>
        </row>
        <row r="1388">
          <cell r="A1388" t="str">
            <v>ABBW193</v>
          </cell>
          <cell r="B1388" t="str">
            <v>Bilhah Gakenia Wachira</v>
          </cell>
        </row>
        <row r="1389">
          <cell r="A1389" t="str">
            <v>AB027CW</v>
          </cell>
          <cell r="B1389" t="str">
            <v>Bilha Waithera</v>
          </cell>
        </row>
        <row r="1390">
          <cell r="A1390" t="str">
            <v>LG25249</v>
          </cell>
          <cell r="B1390" t="str">
            <v>Betty Mwikali Muli</v>
          </cell>
        </row>
        <row r="1391">
          <cell r="A1391" t="str">
            <v>AB020C3</v>
          </cell>
          <cell r="B1391" t="str">
            <v>Betty Chesaina</v>
          </cell>
        </row>
        <row r="1392">
          <cell r="A1392" t="str">
            <v>LG25448</v>
          </cell>
          <cell r="B1392" t="str">
            <v xml:space="preserve">Betty Chebet Mitei </v>
          </cell>
        </row>
        <row r="1393">
          <cell r="A1393" t="str">
            <v>LG25094</v>
          </cell>
          <cell r="B1393" t="str">
            <v xml:space="preserve">Betrina Maghema Mwamburi </v>
          </cell>
        </row>
        <row r="1394">
          <cell r="A1394" t="str">
            <v>LG18500</v>
          </cell>
          <cell r="B1394" t="str">
            <v>Betlina Wali Chanya</v>
          </cell>
        </row>
        <row r="1395">
          <cell r="A1395" t="str">
            <v>BB18500</v>
          </cell>
          <cell r="B1395" t="str">
            <v>Betlina Chanya</v>
          </cell>
        </row>
        <row r="1396">
          <cell r="A1396" t="str">
            <v>LG21882</v>
          </cell>
          <cell r="B1396" t="str">
            <v>Betcy Chepkoech Ngeno</v>
          </cell>
        </row>
        <row r="1397">
          <cell r="A1397" t="str">
            <v>AB027DP</v>
          </cell>
          <cell r="B1397" t="str">
            <v>Beryl Akinyi Barasa</v>
          </cell>
        </row>
        <row r="1398">
          <cell r="A1398" t="str">
            <v>LG20062</v>
          </cell>
          <cell r="B1398" t="str">
            <v>Benter Awuor Ogada</v>
          </cell>
        </row>
        <row r="1399">
          <cell r="A1399" t="str">
            <v>LG15782</v>
          </cell>
          <cell r="B1399" t="str">
            <v>Benstern Lukorito Mukhebo</v>
          </cell>
        </row>
        <row r="1400">
          <cell r="A1400" t="str">
            <v>LG24949</v>
          </cell>
          <cell r="B1400" t="str">
            <v xml:space="preserve">Benson Wachira Miugo </v>
          </cell>
        </row>
        <row r="1401">
          <cell r="A1401" t="str">
            <v>LG05960</v>
          </cell>
          <cell r="B1401" t="str">
            <v>Benson Sammy Nzangi</v>
          </cell>
        </row>
        <row r="1402">
          <cell r="A1402" t="str">
            <v>AB0238B</v>
          </cell>
          <cell r="B1402" t="str">
            <v>Benson Owuonda</v>
          </cell>
        </row>
        <row r="1403">
          <cell r="A1403" t="str">
            <v>LG17779</v>
          </cell>
          <cell r="B1403" t="str">
            <v>Benson Macdowell Mulaha</v>
          </cell>
        </row>
        <row r="1404">
          <cell r="A1404" t="str">
            <v>LG24538</v>
          </cell>
          <cell r="B1404" t="str">
            <v>Benson Kyalo Mulinge</v>
          </cell>
        </row>
        <row r="1405">
          <cell r="A1405" t="str">
            <v>LG12429</v>
          </cell>
          <cell r="B1405" t="str">
            <v>Benson Kisuna Kioko</v>
          </cell>
        </row>
        <row r="1406">
          <cell r="A1406" t="str">
            <v>LG25581</v>
          </cell>
          <cell r="B1406" t="str">
            <v xml:space="preserve">Benjamin Muthama Musyoka </v>
          </cell>
        </row>
        <row r="1407">
          <cell r="A1407" t="str">
            <v>LG24321</v>
          </cell>
          <cell r="B1407" t="str">
            <v>Benard Ngeno</v>
          </cell>
        </row>
        <row r="1408">
          <cell r="A1408" t="str">
            <v>LG20149</v>
          </cell>
          <cell r="B1408" t="str">
            <v>Benard Muchira Kiruri</v>
          </cell>
        </row>
        <row r="1409">
          <cell r="A1409" t="str">
            <v>LG23230</v>
          </cell>
          <cell r="B1409" t="str">
            <v>Benard Kipkoech Ngetich</v>
          </cell>
        </row>
        <row r="1410">
          <cell r="A1410" t="str">
            <v>AB0270X</v>
          </cell>
          <cell r="B1410" t="str">
            <v>Benard Ashona Kiveu</v>
          </cell>
        </row>
        <row r="1411">
          <cell r="A1411" t="str">
            <v>AB02792</v>
          </cell>
          <cell r="B1411" t="str">
            <v>Benadictor Mathinji</v>
          </cell>
        </row>
        <row r="1412">
          <cell r="A1412" t="str">
            <v>LG23008</v>
          </cell>
          <cell r="B1412" t="str">
            <v>Ben  Gachie</v>
          </cell>
        </row>
        <row r="1413">
          <cell r="A1413" t="str">
            <v>LG14469</v>
          </cell>
          <cell r="B1413" t="str">
            <v>Beatrice Wanjiru Mwaniki</v>
          </cell>
        </row>
        <row r="1414">
          <cell r="A1414" t="str">
            <v>BB7631</v>
          </cell>
          <cell r="B1414" t="str">
            <v>Beatrice Oluoch</v>
          </cell>
        </row>
        <row r="1415">
          <cell r="A1415" t="str">
            <v>BB07396</v>
          </cell>
          <cell r="B1415" t="str">
            <v>Beatrice Nyamwange Ongaga</v>
          </cell>
        </row>
        <row r="1416">
          <cell r="A1416" t="str">
            <v>LG21472</v>
          </cell>
          <cell r="B1416" t="str">
            <v>Beatrice Njeri Warui</v>
          </cell>
        </row>
        <row r="1417">
          <cell r="A1417" t="str">
            <v>AB020B5</v>
          </cell>
          <cell r="B1417" t="str">
            <v>Beatrice Mwikali Munyoki</v>
          </cell>
        </row>
        <row r="1418">
          <cell r="A1418" t="str">
            <v>BB09576</v>
          </cell>
          <cell r="B1418" t="str">
            <v>Beatrice Mukuhi Ndung'u</v>
          </cell>
        </row>
        <row r="1419">
          <cell r="A1419" t="str">
            <v>LG24246</v>
          </cell>
          <cell r="B1419" t="str">
            <v>Beatrice Molly Akinyi</v>
          </cell>
        </row>
        <row r="1420">
          <cell r="A1420" t="str">
            <v>BBAB010GT</v>
          </cell>
          <cell r="B1420" t="str">
            <v>Beatrice Chepkorir</v>
          </cell>
        </row>
        <row r="1421">
          <cell r="A1421" t="str">
            <v>LG24339</v>
          </cell>
          <cell r="B1421" t="str">
            <v>Beatrice Chepkorir</v>
          </cell>
        </row>
        <row r="1422">
          <cell r="A1422" t="str">
            <v>LG18678</v>
          </cell>
          <cell r="B1422" t="str">
            <v>Beatrice Chepkemoi Mwaura</v>
          </cell>
        </row>
        <row r="1423">
          <cell r="A1423" t="str">
            <v>LG20684</v>
          </cell>
          <cell r="B1423" t="str">
            <v>Beatrice CHELANGAT Rotich</v>
          </cell>
        </row>
        <row r="1424">
          <cell r="A1424" t="str">
            <v>LG19563</v>
          </cell>
          <cell r="B1424" t="str">
            <v>Beatrice Anyango Odingo</v>
          </cell>
        </row>
        <row r="1425">
          <cell r="A1425" t="str">
            <v>AB011GS</v>
          </cell>
          <cell r="B1425" t="str">
            <v>Beatrice Akinyi Nyagol</v>
          </cell>
        </row>
        <row r="1426">
          <cell r="A1426" t="str">
            <v>BB14975</v>
          </cell>
          <cell r="B1426" t="str">
            <v>Beatrice  Kubasu</v>
          </cell>
        </row>
        <row r="1427">
          <cell r="A1427" t="str">
            <v>LG15842</v>
          </cell>
          <cell r="B1427" t="str">
            <v>Basiliano Juma Omwitakho</v>
          </cell>
        </row>
        <row r="1428">
          <cell r="A1428" t="str">
            <v>BB16278</v>
          </cell>
          <cell r="B1428" t="str">
            <v>Bashir Okari Oroko</v>
          </cell>
        </row>
        <row r="1429">
          <cell r="A1429" t="str">
            <v>ABBK320</v>
          </cell>
          <cell r="B1429" t="str">
            <v>Barako Katelo</v>
          </cell>
        </row>
        <row r="1430">
          <cell r="A1430" t="str">
            <v>LG19904</v>
          </cell>
          <cell r="B1430" t="str">
            <v>Bahati Juma</v>
          </cell>
        </row>
        <row r="1431">
          <cell r="A1431" t="str">
            <v>LG19094</v>
          </cell>
          <cell r="B1431" t="str">
            <v>Bahati Haboya Juma</v>
          </cell>
        </row>
        <row r="1432">
          <cell r="A1432" t="str">
            <v>AB028Q2</v>
          </cell>
          <cell r="B1432" t="str">
            <v>Azinath Onyango</v>
          </cell>
        </row>
        <row r="1433">
          <cell r="A1433" t="str">
            <v>LG24894</v>
          </cell>
          <cell r="B1433" t="str">
            <v>Aysha Morowa</v>
          </cell>
        </row>
        <row r="1434">
          <cell r="A1434" t="str">
            <v>LG25272</v>
          </cell>
          <cell r="B1434" t="str">
            <v>Austin Okoth</v>
          </cell>
        </row>
        <row r="1435">
          <cell r="A1435" t="str">
            <v>LG25272</v>
          </cell>
          <cell r="B1435" t="str">
            <v>Austin Okoth</v>
          </cell>
        </row>
        <row r="1436">
          <cell r="A1436" t="str">
            <v>LG25272</v>
          </cell>
          <cell r="B1436" t="str">
            <v>Austin Okoth</v>
          </cell>
        </row>
        <row r="1437">
          <cell r="A1437" t="str">
            <v>LG25272</v>
          </cell>
          <cell r="B1437" t="str">
            <v>Austin Okoth</v>
          </cell>
        </row>
        <row r="1438">
          <cell r="A1438" t="str">
            <v>LG25272</v>
          </cell>
          <cell r="B1438" t="str">
            <v>Austin Okoth</v>
          </cell>
        </row>
        <row r="1439">
          <cell r="A1439" t="str">
            <v>AB01722</v>
          </cell>
          <cell r="B1439" t="str">
            <v>Austin Ogola</v>
          </cell>
        </row>
        <row r="1440">
          <cell r="A1440" t="str">
            <v>BB09216</v>
          </cell>
          <cell r="B1440" t="str">
            <v>Augustus Ndambuki</v>
          </cell>
        </row>
        <row r="1441">
          <cell r="A1441" t="str">
            <v>BB05811</v>
          </cell>
          <cell r="B1441" t="str">
            <v>Augastine  King'oku</v>
          </cell>
        </row>
        <row r="1442">
          <cell r="A1442" t="str">
            <v>LG11896</v>
          </cell>
          <cell r="B1442" t="str">
            <v>Asha Cherotich Naibei</v>
          </cell>
        </row>
        <row r="1443">
          <cell r="A1443" t="str">
            <v>LG24535</v>
          </cell>
          <cell r="B1443" t="str">
            <v xml:space="preserve">Arnold Maalo </v>
          </cell>
        </row>
        <row r="1444">
          <cell r="A1444" t="str">
            <v>LG23319</v>
          </cell>
          <cell r="B1444" t="str">
            <v>Areri Oguta Felix</v>
          </cell>
        </row>
        <row r="1445">
          <cell r="A1445" t="str">
            <v>LG24221</v>
          </cell>
          <cell r="B1445" t="str">
            <v>Antony Nabiswa Nalianya</v>
          </cell>
        </row>
        <row r="1446">
          <cell r="A1446" t="str">
            <v>BB0174W</v>
          </cell>
          <cell r="B1446" t="str">
            <v>Anthony Yano</v>
          </cell>
        </row>
        <row r="1447">
          <cell r="A1447" t="str">
            <v>5166</v>
          </cell>
          <cell r="B1447" t="str">
            <v>Anthony Wanyoike Gitau</v>
          </cell>
        </row>
        <row r="1448">
          <cell r="A1448" t="str">
            <v>LG24577</v>
          </cell>
          <cell r="B1448" t="str">
            <v>Anthony Ochieng  Otieno</v>
          </cell>
        </row>
        <row r="1449">
          <cell r="A1449" t="str">
            <v>ABAN701</v>
          </cell>
          <cell r="B1449" t="str">
            <v>Anthony Ngila</v>
          </cell>
        </row>
        <row r="1450">
          <cell r="A1450" t="str">
            <v>BB21986</v>
          </cell>
          <cell r="B1450" t="str">
            <v>Anthony Makutubu Netia</v>
          </cell>
        </row>
        <row r="1451">
          <cell r="A1451" t="str">
            <v>AB0276M</v>
          </cell>
          <cell r="B1451" t="str">
            <v>Anthony Macharia</v>
          </cell>
        </row>
        <row r="1452">
          <cell r="A1452" t="str">
            <v>AB026KE</v>
          </cell>
          <cell r="B1452" t="str">
            <v>Anthony Kimani</v>
          </cell>
        </row>
        <row r="1453">
          <cell r="A1453" t="str">
            <v>BB06325</v>
          </cell>
          <cell r="B1453" t="str">
            <v>Anthony Kimani</v>
          </cell>
        </row>
        <row r="1454">
          <cell r="A1454">
            <v>5166</v>
          </cell>
          <cell r="B1454" t="str">
            <v>Anthony Gitau</v>
          </cell>
        </row>
        <row r="1455">
          <cell r="A1455" t="str">
            <v>AB020AY</v>
          </cell>
          <cell r="B1455" t="str">
            <v>Anold Kipserem</v>
          </cell>
        </row>
        <row r="1456">
          <cell r="A1456" t="str">
            <v>LG22716</v>
          </cell>
          <cell r="B1456" t="str">
            <v>Annet Nyamulavu William</v>
          </cell>
        </row>
        <row r="1457">
          <cell r="A1457" t="str">
            <v>AB02359</v>
          </cell>
          <cell r="B1457" t="str">
            <v>Anne Wanjiru Muchiri</v>
          </cell>
        </row>
        <row r="1458">
          <cell r="A1458" t="str">
            <v>5199</v>
          </cell>
          <cell r="B1458" t="str">
            <v>Anne Wambui Kadenge</v>
          </cell>
        </row>
        <row r="1459">
          <cell r="A1459" t="str">
            <v>LG11894</v>
          </cell>
          <cell r="B1459" t="str">
            <v>Anne Njeri Muikia</v>
          </cell>
        </row>
        <row r="1460">
          <cell r="A1460" t="str">
            <v>AB018KC</v>
          </cell>
          <cell r="B1460" t="str">
            <v>Anne Mukure</v>
          </cell>
        </row>
        <row r="1461">
          <cell r="A1461" t="str">
            <v>BB03500</v>
          </cell>
          <cell r="B1461" t="str">
            <v>Anne Margaret Kinyanjui</v>
          </cell>
        </row>
        <row r="1462">
          <cell r="A1462" t="str">
            <v>LG24362</v>
          </cell>
          <cell r="B1462" t="str">
            <v xml:space="preserve">Annastacia Syombua Mwanzia </v>
          </cell>
        </row>
        <row r="1463">
          <cell r="A1463" t="str">
            <v>BB07872</v>
          </cell>
          <cell r="B1463" t="str">
            <v>Annalisa Mbula Muasya</v>
          </cell>
        </row>
        <row r="1464">
          <cell r="A1464" t="str">
            <v>BB25486</v>
          </cell>
          <cell r="B1464" t="str">
            <v xml:space="preserve">Annah Njoroge </v>
          </cell>
        </row>
        <row r="1465">
          <cell r="A1465" t="str">
            <v>SM19458</v>
          </cell>
          <cell r="B1465" t="str">
            <v>Annah Mailu</v>
          </cell>
        </row>
        <row r="1466">
          <cell r="A1466" t="str">
            <v>LG19458</v>
          </cell>
          <cell r="B1466" t="str">
            <v>Annah Mailu</v>
          </cell>
        </row>
        <row r="1467">
          <cell r="A1467" t="str">
            <v>AB025CQ</v>
          </cell>
          <cell r="B1467" t="str">
            <v>Annah Kimanzi</v>
          </cell>
        </row>
        <row r="1468">
          <cell r="A1468" t="str">
            <v>LG24532</v>
          </cell>
          <cell r="B1468" t="str">
            <v>Ann Wanjiru Njoroge</v>
          </cell>
        </row>
        <row r="1469">
          <cell r="A1469" t="str">
            <v>LG12718</v>
          </cell>
          <cell r="B1469" t="str">
            <v>Ann Nyambura Kimani</v>
          </cell>
        </row>
        <row r="1470">
          <cell r="A1470" t="str">
            <v>LG19457</v>
          </cell>
          <cell r="B1470" t="str">
            <v>Ann Ngina Mbaluto</v>
          </cell>
        </row>
        <row r="1471">
          <cell r="A1471" t="str">
            <v>LG17598</v>
          </cell>
          <cell r="B1471" t="str">
            <v>Ann Mary Wamaya Waseka</v>
          </cell>
        </row>
        <row r="1472">
          <cell r="A1472" t="str">
            <v>AB0265P</v>
          </cell>
          <cell r="B1472" t="str">
            <v>Ann Marion Wanjira Muthoni</v>
          </cell>
        </row>
        <row r="1473">
          <cell r="A1473" t="str">
            <v>AB027ZF</v>
          </cell>
          <cell r="B1473" t="str">
            <v>Ann Lawrence</v>
          </cell>
        </row>
        <row r="1474">
          <cell r="A1474" t="str">
            <v>LG25069</v>
          </cell>
          <cell r="B1474" t="str">
            <v xml:space="preserve">Ann Kaptuya Kiprotich </v>
          </cell>
        </row>
        <row r="1475">
          <cell r="A1475" t="str">
            <v>AB0218Y</v>
          </cell>
          <cell r="B1475" t="str">
            <v>Ann Gathoni Kariuki</v>
          </cell>
        </row>
        <row r="1476">
          <cell r="A1476" t="str">
            <v>BB09292</v>
          </cell>
          <cell r="B1476" t="str">
            <v>Ann Chebet Chebet</v>
          </cell>
        </row>
        <row r="1477">
          <cell r="A1477" t="str">
            <v>AB025BW</v>
          </cell>
          <cell r="B1477" t="str">
            <v>Angelyne Ochieng'</v>
          </cell>
        </row>
        <row r="1478">
          <cell r="A1478" t="str">
            <v>AB023XH</v>
          </cell>
          <cell r="B1478" t="str">
            <v>Angellah Situma Naliaka</v>
          </cell>
        </row>
        <row r="1479">
          <cell r="A1479" t="str">
            <v>AB019VM</v>
          </cell>
          <cell r="B1479" t="str">
            <v>Angeline Nduse Ndeli</v>
          </cell>
        </row>
        <row r="1480">
          <cell r="A1480" t="str">
            <v>LG18289</v>
          </cell>
          <cell r="B1480" t="str">
            <v>Angela Waigumo Muchangi</v>
          </cell>
        </row>
        <row r="1481">
          <cell r="A1481" t="str">
            <v>LG25548</v>
          </cell>
          <cell r="B1481" t="str">
            <v>Angela Teresia Kingai</v>
          </cell>
        </row>
        <row r="1482">
          <cell r="A1482" t="str">
            <v>LG24290</v>
          </cell>
          <cell r="B1482" t="str">
            <v>Andrew Rose Maluki</v>
          </cell>
        </row>
        <row r="1483">
          <cell r="A1483" t="str">
            <v>AB024FG</v>
          </cell>
          <cell r="B1483" t="str">
            <v>Andrew Luseno</v>
          </cell>
        </row>
        <row r="1484">
          <cell r="A1484" t="str">
            <v>LG06961</v>
          </cell>
          <cell r="B1484" t="str">
            <v xml:space="preserve">Andisi Marion </v>
          </cell>
        </row>
        <row r="1485">
          <cell r="A1485" t="str">
            <v>ABAN613</v>
          </cell>
          <cell r="B1485" t="str">
            <v>Ancetar Ngungu Mulili</v>
          </cell>
        </row>
        <row r="1486">
          <cell r="A1486" t="str">
            <v>LG19905</v>
          </cell>
          <cell r="B1486" t="str">
            <v>Anastacia Nyawira Njoroge</v>
          </cell>
        </row>
        <row r="1487">
          <cell r="A1487" t="str">
            <v>BB10542</v>
          </cell>
          <cell r="B1487" t="str">
            <v>Amos Mwangi Waithaka</v>
          </cell>
        </row>
        <row r="1488">
          <cell r="A1488" t="str">
            <v>AB027CT</v>
          </cell>
          <cell r="B1488" t="str">
            <v>Amorkirsten Mabubi</v>
          </cell>
        </row>
        <row r="1489">
          <cell r="A1489" t="str">
            <v>LG23519</v>
          </cell>
          <cell r="B1489" t="str">
            <v>Amina Wakio Ochieng</v>
          </cell>
        </row>
        <row r="1490">
          <cell r="A1490" t="str">
            <v>BB12722</v>
          </cell>
          <cell r="B1490" t="str">
            <v>Amina Mohamed Ibrahim</v>
          </cell>
        </row>
        <row r="1491">
          <cell r="A1491" t="str">
            <v>LG23502</v>
          </cell>
          <cell r="B1491" t="str">
            <v>Alphonce Otieno Okeyo</v>
          </cell>
        </row>
        <row r="1492">
          <cell r="A1492" t="str">
            <v>LG24593</v>
          </cell>
          <cell r="B1492" t="str">
            <v>Alphonce Muendo Mwakuya</v>
          </cell>
        </row>
        <row r="1493">
          <cell r="A1493" t="str">
            <v>HISA0008</v>
          </cell>
          <cell r="B1493" t="str">
            <v>ALPHAYO NYAKUNDI</v>
          </cell>
        </row>
        <row r="1494">
          <cell r="A1494" t="str">
            <v>LG23550</v>
          </cell>
          <cell r="B1494" t="str">
            <v>Ally Joel Osiare</v>
          </cell>
        </row>
        <row r="1495">
          <cell r="A1495" t="str">
            <v>AB022TJ</v>
          </cell>
          <cell r="B1495" t="str">
            <v>Alloys Onyisi Angaga</v>
          </cell>
        </row>
        <row r="1496">
          <cell r="A1496" t="str">
            <v>LG23433</v>
          </cell>
          <cell r="B1496" t="str">
            <v>Allan Otieno Ogola</v>
          </cell>
        </row>
        <row r="1497">
          <cell r="A1497" t="str">
            <v>LG24395</v>
          </cell>
          <cell r="B1497" t="str">
            <v>Allan Mmbaya Kai</v>
          </cell>
        </row>
        <row r="1498">
          <cell r="A1498" t="str">
            <v>BB23218</v>
          </cell>
          <cell r="B1498" t="str">
            <v>Allan Kemboi Kpsang</v>
          </cell>
        </row>
        <row r="1499">
          <cell r="A1499" t="str">
            <v>LG25597</v>
          </cell>
          <cell r="B1499" t="str">
            <v xml:space="preserve">Alice Wanja Kabaru </v>
          </cell>
        </row>
        <row r="1500">
          <cell r="A1500" t="str">
            <v>LG17858</v>
          </cell>
          <cell r="B1500" t="str">
            <v>Alice Minage Okole</v>
          </cell>
        </row>
        <row r="1501">
          <cell r="A1501" t="str">
            <v>AB0171Z</v>
          </cell>
          <cell r="B1501" t="str">
            <v>Alice Kiragu</v>
          </cell>
        </row>
        <row r="1502">
          <cell r="A1502" t="str">
            <v>BB06826</v>
          </cell>
          <cell r="B1502" t="str">
            <v xml:space="preserve">Alice Kellong </v>
          </cell>
        </row>
        <row r="1503">
          <cell r="A1503" t="str">
            <v>LG18902</v>
          </cell>
          <cell r="B1503" t="str">
            <v>Alice Akinyi Ogutu</v>
          </cell>
        </row>
        <row r="1504">
          <cell r="A1504" t="str">
            <v>LG06454</v>
          </cell>
          <cell r="B1504" t="str">
            <v>Alice Achieng Wamidha</v>
          </cell>
        </row>
        <row r="1505">
          <cell r="A1505" t="str">
            <v>BB09243</v>
          </cell>
          <cell r="B1505" t="str">
            <v>Ali Mohamed Mohamed</v>
          </cell>
        </row>
        <row r="1506">
          <cell r="A1506" t="str">
            <v>BB07558</v>
          </cell>
          <cell r="B1506" t="str">
            <v>Alfonce Nguu Mbengei</v>
          </cell>
        </row>
        <row r="1507">
          <cell r="A1507" t="str">
            <v>LG17833</v>
          </cell>
          <cell r="B1507" t="str">
            <v>Alexender Lotiolo Ptiyos</v>
          </cell>
        </row>
        <row r="1508">
          <cell r="A1508" t="str">
            <v>AB026QM</v>
          </cell>
          <cell r="B1508" t="str">
            <v>Alexandria Murage</v>
          </cell>
        </row>
        <row r="1509">
          <cell r="A1509" t="str">
            <v>AB023SI</v>
          </cell>
          <cell r="B1509" t="str">
            <v>Alexander Mutia</v>
          </cell>
        </row>
        <row r="1510">
          <cell r="A1510" t="str">
            <v>AB019LB</v>
          </cell>
          <cell r="B1510" t="str">
            <v>Alex Onkwani Ombworo</v>
          </cell>
        </row>
        <row r="1511">
          <cell r="A1511" t="str">
            <v>LG10733</v>
          </cell>
          <cell r="B1511" t="str">
            <v>Alex Mutisya Wambua</v>
          </cell>
        </row>
        <row r="1512">
          <cell r="A1512" t="str">
            <v>LG21648</v>
          </cell>
          <cell r="B1512" t="str">
            <v>Alex Mutinda Matheka</v>
          </cell>
        </row>
        <row r="1513">
          <cell r="A1513" t="str">
            <v>LG24226</v>
          </cell>
          <cell r="B1513" t="str">
            <v>Alex Muhoro Muito</v>
          </cell>
        </row>
        <row r="1514">
          <cell r="A1514" t="str">
            <v>BB07419</v>
          </cell>
          <cell r="B1514" t="str">
            <v>Alex Gathui Muthua</v>
          </cell>
        </row>
        <row r="1515">
          <cell r="A1515" t="str">
            <v>LG23275</v>
          </cell>
          <cell r="B1515" t="str">
            <v>Alex  Kavoi</v>
          </cell>
        </row>
        <row r="1516">
          <cell r="A1516" t="str">
            <v>LG24305</v>
          </cell>
          <cell r="B1516" t="str">
            <v>Akuma Dancan Bikundo</v>
          </cell>
        </row>
        <row r="1517">
          <cell r="A1517" t="str">
            <v>AB010VD</v>
          </cell>
          <cell r="B1517" t="str">
            <v>Akuku Phelix</v>
          </cell>
        </row>
        <row r="1518">
          <cell r="A1518" t="str">
            <v>AB019XH</v>
          </cell>
          <cell r="B1518" t="str">
            <v>Aisha Nabwire Ahmed</v>
          </cell>
        </row>
        <row r="1519">
          <cell r="A1519" t="str">
            <v>13035</v>
          </cell>
          <cell r="B1519" t="str">
            <v>Aida Wanjiku Kimani</v>
          </cell>
        </row>
        <row r="1520">
          <cell r="A1520" t="str">
            <v>LG16991</v>
          </cell>
          <cell r="B1520" t="str">
            <v>Agnetta Kavulu Musangi</v>
          </cell>
        </row>
        <row r="1521">
          <cell r="A1521" t="str">
            <v>BB11463</v>
          </cell>
          <cell r="B1521" t="str">
            <v>Agnes Wanjiku Kiruai</v>
          </cell>
        </row>
        <row r="1522">
          <cell r="A1522" t="str">
            <v>BB10710</v>
          </cell>
          <cell r="B1522" t="str">
            <v>Agnes Wangari Waithira</v>
          </cell>
        </row>
        <row r="1523">
          <cell r="A1523" t="str">
            <v>LG10710</v>
          </cell>
          <cell r="B1523" t="str">
            <v xml:space="preserve">Agnes Wangari Waithera </v>
          </cell>
        </row>
        <row r="1524">
          <cell r="A1524" t="str">
            <v>LG12473</v>
          </cell>
          <cell r="B1524" t="str">
            <v>Agnes Ngusye Mulinge</v>
          </cell>
        </row>
        <row r="1525">
          <cell r="A1525" t="str">
            <v>AB023JL</v>
          </cell>
          <cell r="B1525" t="str">
            <v>Agnes Kilungu</v>
          </cell>
        </row>
        <row r="1526">
          <cell r="A1526" t="str">
            <v>LG09213</v>
          </cell>
          <cell r="B1526" t="str">
            <v>Agnes Karimi Imanene</v>
          </cell>
        </row>
        <row r="1527">
          <cell r="A1527" t="str">
            <v>AB011JV</v>
          </cell>
          <cell r="B1527" t="str">
            <v>Agnes Amata Adhiambo</v>
          </cell>
        </row>
        <row r="1528">
          <cell r="A1528" t="str">
            <v>LG11997</v>
          </cell>
          <cell r="B1528" t="str">
            <v>Aggrey Imbai Azenga</v>
          </cell>
        </row>
        <row r="1529">
          <cell r="A1529" t="str">
            <v>AB019WO</v>
          </cell>
          <cell r="B1529" t="str">
            <v>Adrianna Lang'at</v>
          </cell>
        </row>
        <row r="1530">
          <cell r="A1530" t="str">
            <v>LG24887</v>
          </cell>
          <cell r="B1530" t="str">
            <v xml:space="preserve">Adan Hussein Abdulla </v>
          </cell>
        </row>
        <row r="1531">
          <cell r="A1531" t="str">
            <v>BB17115</v>
          </cell>
          <cell r="B1531" t="str">
            <v>Adan Abdi Issack</v>
          </cell>
        </row>
        <row r="1532">
          <cell r="A1532" t="str">
            <v>LG13467</v>
          </cell>
          <cell r="B1532" t="str">
            <v>Abraham Peter Ogola</v>
          </cell>
        </row>
        <row r="1533">
          <cell r="A1533" t="str">
            <v>BB21413</v>
          </cell>
          <cell r="B1533" t="str">
            <v>Abishag Joy Muriuki</v>
          </cell>
        </row>
        <row r="1534">
          <cell r="A1534" t="str">
            <v>BB05722</v>
          </cell>
          <cell r="B1534" t="str">
            <v>Abigael Manoti Onyancha</v>
          </cell>
        </row>
        <row r="1535">
          <cell r="A1535" t="str">
            <v>AB017W2</v>
          </cell>
          <cell r="B1535" t="str">
            <v>Abigael Kavinya Joseph</v>
          </cell>
        </row>
        <row r="1536">
          <cell r="A1536" t="str">
            <v>LG24344</v>
          </cell>
          <cell r="B1536" t="str">
            <v>Abel Nyamboki Ondima</v>
          </cell>
        </row>
        <row r="1537">
          <cell r="A1537" t="str">
            <v>ZBRG051</v>
          </cell>
          <cell r="B1537" t="str">
            <v>Abednego Mwinzi</v>
          </cell>
        </row>
        <row r="1538">
          <cell r="A1538" t="str">
            <v>LG19364</v>
          </cell>
          <cell r="B1538" t="str">
            <v>Abednego Lucas Olwako</v>
          </cell>
        </row>
        <row r="1539">
          <cell r="A1539" t="str">
            <v>BB13134</v>
          </cell>
          <cell r="B1539" t="str">
            <v>Abdulrahman Abdallah Kofa Hyssein</v>
          </cell>
        </row>
        <row r="1540">
          <cell r="A1540" t="str">
            <v>LG24888</v>
          </cell>
          <cell r="B1540" t="str">
            <v xml:space="preserve">Abdullahi Alio Sheikh </v>
          </cell>
        </row>
        <row r="1541">
          <cell r="A1541" t="str">
            <v>BB18983</v>
          </cell>
          <cell r="B1541" t="str">
            <v>Abdinasir Hussein Abdullahi</v>
          </cell>
        </row>
        <row r="1542">
          <cell r="A1542" t="str">
            <v>LG24893</v>
          </cell>
          <cell r="B1542" t="str">
            <v xml:space="preserve">Abdikafar Hassan Ibrahim </v>
          </cell>
        </row>
        <row r="1543">
          <cell r="A1543" t="str">
            <v>LG24897</v>
          </cell>
          <cell r="B1543" t="str">
            <v xml:space="preserve">Abdiaziz Ali Abdi </v>
          </cell>
        </row>
        <row r="1544">
          <cell r="A1544" t="str">
            <v>LG24922</v>
          </cell>
          <cell r="B1544" t="str">
            <v xml:space="preserve"> Hassan Abdi Ali </v>
          </cell>
        </row>
        <row r="1545">
          <cell r="A1545" t="str">
            <v>LG23537</v>
          </cell>
          <cell r="B1545"/>
        </row>
        <row r="1546">
          <cell r="A1546" t="str">
            <v/>
          </cell>
          <cell r="B1546"/>
        </row>
        <row r="1547">
          <cell r="A1547" t="str">
            <v>AB030XO</v>
          </cell>
          <cell r="B1547" t="str">
            <v>Moses Baki</v>
          </cell>
        </row>
        <row r="1548">
          <cell r="A1548" t="str">
            <v>AB029OT</v>
          </cell>
          <cell r="B1548" t="str">
            <v>Jane Maria</v>
          </cell>
        </row>
        <row r="1549">
          <cell r="A1549" t="str">
            <v>AB029OV</v>
          </cell>
          <cell r="B1549" t="str">
            <v>Brian Njeru</v>
          </cell>
        </row>
        <row r="1550">
          <cell r="A1550" t="str">
            <v>ABPK281</v>
          </cell>
          <cell r="B1550" t="str">
            <v>Paul Kithuka</v>
          </cell>
        </row>
        <row r="1551">
          <cell r="A1551" t="str">
            <v>BB21841</v>
          </cell>
          <cell r="B1551" t="str">
            <v>Janet Kitaka</v>
          </cell>
        </row>
        <row r="1552">
          <cell r="A1552" t="str">
            <v>C.1986</v>
          </cell>
          <cell r="B1552" t="str">
            <v>Claire Muhoro</v>
          </cell>
        </row>
        <row r="1553">
          <cell r="A1553" t="str">
            <v>HISA0027</v>
          </cell>
          <cell r="B1553" t="str">
            <v>KT Shield Insurance Agency</v>
          </cell>
        </row>
        <row r="1554">
          <cell r="A1554" t="str">
            <v>ABEMA41</v>
          </cell>
          <cell r="B1554" t="str">
            <v>Esther Maina</v>
          </cell>
        </row>
        <row r="1555">
          <cell r="A1555" t="str">
            <v>ABCMAAV</v>
          </cell>
          <cell r="B1555" t="str">
            <v>Clinton Morang'a</v>
          </cell>
        </row>
        <row r="1556">
          <cell r="A1556" t="str">
            <v>AB028K1</v>
          </cell>
          <cell r="B1556" t="str">
            <v>Moses Mabonga</v>
          </cell>
        </row>
        <row r="1557">
          <cell r="A1557" t="str">
            <v>HISA0026</v>
          </cell>
          <cell r="B1557" t="str">
            <v>Charlene Kimara</v>
          </cell>
        </row>
        <row r="1558">
          <cell r="A1558" t="str">
            <v>ABD0139</v>
          </cell>
          <cell r="B1558" t="str">
            <v>Dorcus Ayuma Ong'ondo</v>
          </cell>
        </row>
        <row r="1559">
          <cell r="A1559" t="str">
            <v>AB02025</v>
          </cell>
          <cell r="B1559" t="str">
            <v>Rahab Gichure</v>
          </cell>
        </row>
        <row r="1560">
          <cell r="A1560" t="str">
            <v>ABJR643</v>
          </cell>
          <cell r="B1560" t="str">
            <v>Joshua Riandi</v>
          </cell>
        </row>
        <row r="1561">
          <cell r="A1561" t="str">
            <v>AB027D9</v>
          </cell>
          <cell r="B1561" t="str">
            <v>Loret Angelyne Wamkoya</v>
          </cell>
        </row>
        <row r="1562">
          <cell r="A1562" t="str">
            <v>ABPMAN0</v>
          </cell>
          <cell r="B1562" t="str">
            <v>Patrick Githui Matu</v>
          </cell>
        </row>
        <row r="1563">
          <cell r="A1563" t="str">
            <v>AB0309O</v>
          </cell>
          <cell r="B1563" t="str">
            <v>Kennedy Owuor</v>
          </cell>
        </row>
        <row r="1564">
          <cell r="A1564" t="str">
            <v>AB030RL</v>
          </cell>
          <cell r="B1564" t="str">
            <v>Faith Mugure Ndungu</v>
          </cell>
        </row>
        <row r="1565">
          <cell r="A1565" t="str">
            <v>ABEA272</v>
          </cell>
          <cell r="B1565" t="str">
            <v xml:space="preserve">Edita Anyango Amadi </v>
          </cell>
        </row>
        <row r="1566">
          <cell r="A1566" t="str">
            <v>AB031FI</v>
          </cell>
          <cell r="B1566" t="str">
            <v>John Njenga Githama</v>
          </cell>
        </row>
        <row r="1567">
          <cell r="A1567" t="str">
            <v>AB0261T</v>
          </cell>
          <cell r="B1567" t="str">
            <v>Grace Mutave Kavisi</v>
          </cell>
        </row>
        <row r="1568">
          <cell r="A1568" t="str">
            <v>AB030QS</v>
          </cell>
          <cell r="B1568" t="str">
            <v>Isaiah Pseret</v>
          </cell>
        </row>
        <row r="1569">
          <cell r="A1569" t="str">
            <v>LG25274</v>
          </cell>
          <cell r="B1569" t="str">
            <v xml:space="preserve">Mariam Nasimiyu </v>
          </cell>
        </row>
        <row r="1570">
          <cell r="A1570" t="str">
            <v>ABE5753</v>
          </cell>
          <cell r="B1570" t="str">
            <v xml:space="preserve">Everlyne Mangala Singa </v>
          </cell>
        </row>
        <row r="1571">
          <cell r="A1571" t="str">
            <v>AB02416</v>
          </cell>
          <cell r="B1571" t="str">
            <v>Sheila C. Adhiambo</v>
          </cell>
        </row>
        <row r="1572">
          <cell r="A1572" t="str">
            <v>AB030ZR</v>
          </cell>
          <cell r="B1572" t="str">
            <v>Zedekiah Mburu</v>
          </cell>
        </row>
        <row r="1573">
          <cell r="A1573" t="str">
            <v>AB0253L</v>
          </cell>
          <cell r="B1573" t="str">
            <v>James Machini</v>
          </cell>
        </row>
        <row r="1574">
          <cell r="A1574" t="str">
            <v>AB029H5</v>
          </cell>
          <cell r="B1574" t="str">
            <v>Mercy Muli</v>
          </cell>
        </row>
        <row r="1575">
          <cell r="A1575" t="str">
            <v>AB023XI</v>
          </cell>
          <cell r="B1575" t="str">
            <v xml:space="preserve">Carolyne Mule </v>
          </cell>
        </row>
        <row r="1576">
          <cell r="A1576" t="str">
            <v>AB0297I</v>
          </cell>
          <cell r="B1576" t="str">
            <v>Anthony Macharia</v>
          </cell>
        </row>
        <row r="1577">
          <cell r="A1577" t="str">
            <v>AB032CI</v>
          </cell>
          <cell r="B1577" t="str">
            <v>Janet Nanjala</v>
          </cell>
        </row>
        <row r="1578">
          <cell r="A1578" t="str">
            <v>AB027V0</v>
          </cell>
          <cell r="B1578" t="str">
            <v xml:space="preserve">Kenneth Mugendi Kinoti </v>
          </cell>
        </row>
        <row r="1579">
          <cell r="A1579" t="str">
            <v>AB011FS</v>
          </cell>
          <cell r="B1579" t="str">
            <v>Hillary Owiti</v>
          </cell>
        </row>
        <row r="1580">
          <cell r="A1580" t="str">
            <v>AB02797</v>
          </cell>
          <cell r="B1580" t="str">
            <v>Faith Lugard</v>
          </cell>
        </row>
        <row r="1581">
          <cell r="A1581" t="str">
            <v>AB027FQ</v>
          </cell>
          <cell r="B1581" t="str">
            <v>Victor Otieno Ngata</v>
          </cell>
        </row>
        <row r="1582">
          <cell r="A1582" t="str">
            <v>AB029PB</v>
          </cell>
          <cell r="B1582" t="str">
            <v>Leakey Ogolla</v>
          </cell>
        </row>
        <row r="1583">
          <cell r="A1583" t="str">
            <v>AB032XS</v>
          </cell>
          <cell r="B1583" t="str">
            <v>Valentine Kerubo</v>
          </cell>
        </row>
        <row r="1584">
          <cell r="A1584" t="str">
            <v>AB0320J</v>
          </cell>
          <cell r="B1584" t="str">
            <v>Denis Kemboi</v>
          </cell>
        </row>
        <row r="1585">
          <cell r="A1585" t="str">
            <v>AB022FF</v>
          </cell>
          <cell r="B1585" t="str">
            <v>Jeff Kariuki</v>
          </cell>
        </row>
        <row r="1586">
          <cell r="A1586" t="str">
            <v>AB0313X</v>
          </cell>
          <cell r="B1586" t="str">
            <v>Renhard Bonke</v>
          </cell>
        </row>
        <row r="1587">
          <cell r="A1587" t="str">
            <v>AB0311U</v>
          </cell>
          <cell r="B1587" t="str">
            <v>Doris Makena</v>
          </cell>
        </row>
        <row r="1588">
          <cell r="A1588" t="str">
            <v>AB032B9</v>
          </cell>
          <cell r="B1588" t="str">
            <v xml:space="preserve">Everlyn Karani </v>
          </cell>
        </row>
        <row r="1589">
          <cell r="A1589" t="str">
            <v>AB031ZL</v>
          </cell>
          <cell r="B1589" t="str">
            <v xml:space="preserve">Agaphio Njue </v>
          </cell>
        </row>
        <row r="1590">
          <cell r="A1590" t="str">
            <v>AB027CZ</v>
          </cell>
          <cell r="B1590" t="str">
            <v xml:space="preserve">Joyce Juma </v>
          </cell>
        </row>
        <row r="1591">
          <cell r="A1591" t="str">
            <v>AB031DU</v>
          </cell>
          <cell r="B1591" t="str">
            <v xml:space="preserve">Linet Macharia </v>
          </cell>
        </row>
        <row r="1592">
          <cell r="A1592" t="str">
            <v>HISA0018</v>
          </cell>
          <cell r="B1592" t="str">
            <v>SAMMY GIKIRI</v>
          </cell>
        </row>
        <row r="1593">
          <cell r="A1593" t="str">
            <v>ABMO247</v>
          </cell>
          <cell r="B1593" t="str">
            <v>Maurine Opiyo</v>
          </cell>
        </row>
        <row r="1594">
          <cell r="A1594" t="str">
            <v>AB0318L</v>
          </cell>
          <cell r="B1594" t="str">
            <v>Josepehin Oluoch</v>
          </cell>
        </row>
        <row r="1595">
          <cell r="A1595" t="str">
            <v>BB06696</v>
          </cell>
          <cell r="B1595" t="str">
            <v>Peter Ochieng Odhiambo</v>
          </cell>
        </row>
        <row r="1596">
          <cell r="A1596" t="str">
            <v>AB027DA</v>
          </cell>
          <cell r="B1596" t="str">
            <v>Antonine Minayo Lukayu</v>
          </cell>
        </row>
        <row r="1597">
          <cell r="A1597" t="str">
            <v>AB032XY</v>
          </cell>
          <cell r="B1597" t="str">
            <v>Ruth Katela</v>
          </cell>
        </row>
        <row r="1598">
          <cell r="A1598" t="str">
            <v>HISA0032</v>
          </cell>
          <cell r="B1598" t="str">
            <v>Teresia Munene</v>
          </cell>
        </row>
        <row r="1599">
          <cell r="A1599" t="str">
            <v>AB032XR</v>
          </cell>
          <cell r="B1599" t="str">
            <v>Gillian Nyanchama</v>
          </cell>
        </row>
        <row r="1600">
          <cell r="A1600" t="str">
            <v>AB032Ok</v>
          </cell>
          <cell r="B1600" t="str">
            <v>Luncy Mwongeli Muli</v>
          </cell>
        </row>
        <row r="1601">
          <cell r="A1601" t="str">
            <v>AB029LS</v>
          </cell>
          <cell r="B1601" t="str">
            <v>Joseph Kimundi</v>
          </cell>
        </row>
        <row r="1602">
          <cell r="A1602" t="str">
            <v>AB031A8</v>
          </cell>
          <cell r="B1602" t="str">
            <v>Brian Ondiek</v>
          </cell>
        </row>
        <row r="1603">
          <cell r="A1603" t="str">
            <v>AB02027</v>
          </cell>
          <cell r="B1603" t="str">
            <v>Hezron Mbebi</v>
          </cell>
        </row>
        <row r="1604">
          <cell r="A1604" t="str">
            <v>AB032CI</v>
          </cell>
          <cell r="B1604" t="str">
            <v>Gillian Nyanchama</v>
          </cell>
        </row>
        <row r="1605">
          <cell r="A1605" t="str">
            <v>AB023VY</v>
          </cell>
          <cell r="B1605" t="str">
            <v>Abednego Kitonga Munguti</v>
          </cell>
        </row>
        <row r="1606">
          <cell r="A1606" t="str">
            <v>AB024YT</v>
          </cell>
          <cell r="B1606" t="str">
            <v>Morgan Mwangi</v>
          </cell>
        </row>
        <row r="1607">
          <cell r="A1607" t="str">
            <v>AB03147</v>
          </cell>
          <cell r="B1607" t="str">
            <v>Charity Watene</v>
          </cell>
        </row>
        <row r="1608">
          <cell r="A1608" t="str">
            <v>AB0248D</v>
          </cell>
          <cell r="B1608" t="str">
            <v>Roselyne Maina</v>
          </cell>
        </row>
        <row r="1609">
          <cell r="A1609" t="str">
            <v>AB030F7</v>
          </cell>
          <cell r="B1609" t="str">
            <v xml:space="preserve">Lucky Ong'ayi </v>
          </cell>
        </row>
        <row r="1610">
          <cell r="A1610" t="str">
            <v>ABJK582</v>
          </cell>
          <cell r="B1610" t="str">
            <v>Jane Nduta Karanja</v>
          </cell>
        </row>
        <row r="1611">
          <cell r="A1611" t="str">
            <v>ABMKA1Y</v>
          </cell>
          <cell r="B1611" t="str">
            <v>Mary Kazungu</v>
          </cell>
        </row>
        <row r="1612">
          <cell r="A1612" t="str">
            <v>AB032ZD</v>
          </cell>
          <cell r="B1612" t="str">
            <v>Irene Akoth Sylvetser</v>
          </cell>
        </row>
        <row r="1613">
          <cell r="A1613" t="str">
            <v>BB07457</v>
          </cell>
          <cell r="B1613" t="str">
            <v>Samson Wanzala</v>
          </cell>
        </row>
        <row r="1614">
          <cell r="A1614" t="str">
            <v>AB018DG</v>
          </cell>
          <cell r="B1614" t="str">
            <v xml:space="preserve">Patrick kiprono Arap ketiptany  </v>
          </cell>
        </row>
        <row r="1615">
          <cell r="A1615" t="str">
            <v>AB019LS</v>
          </cell>
          <cell r="B1615" t="str">
            <v>Lucas Kimutai Korir</v>
          </cell>
        </row>
        <row r="1616">
          <cell r="A1616" t="str">
            <v>AB019M2</v>
          </cell>
          <cell r="B1616" t="str">
            <v>Norah Wamalwa</v>
          </cell>
        </row>
        <row r="1617">
          <cell r="A1617" t="str">
            <v>AB032OC</v>
          </cell>
          <cell r="B1617" t="str">
            <v>Purity Cherop Jeruto</v>
          </cell>
        </row>
        <row r="1618">
          <cell r="A1618" t="str">
            <v>AB025DY</v>
          </cell>
          <cell r="B1618" t="str">
            <v>Benedict Roy Situma</v>
          </cell>
        </row>
        <row r="1619">
          <cell r="A1619" t="str">
            <v>AB0281U</v>
          </cell>
          <cell r="B1619" t="str">
            <v>Jacob Adienge</v>
          </cell>
        </row>
        <row r="1620">
          <cell r="A1620" t="str">
            <v>AB034F1</v>
          </cell>
          <cell r="B1620" t="str">
            <v>Evans Githinji</v>
          </cell>
        </row>
        <row r="1621">
          <cell r="A1621" t="str">
            <v>AB032HL</v>
          </cell>
          <cell r="B1621" t="str">
            <v>Paul Mteti</v>
          </cell>
        </row>
        <row r="1622">
          <cell r="A1622" t="str">
            <v>AB0293U</v>
          </cell>
          <cell r="B1622" t="str">
            <v>Christpher Maina Wakanyi</v>
          </cell>
        </row>
        <row r="1623">
          <cell r="A1623" t="str">
            <v>AB019W0</v>
          </cell>
          <cell r="B1623" t="str">
            <v>Vincent Mulwa Munywoki</v>
          </cell>
        </row>
        <row r="1624">
          <cell r="A1624" t="str">
            <v>ABVM540</v>
          </cell>
          <cell r="B1624" t="str">
            <v>Direct-Valentine</v>
          </cell>
        </row>
        <row r="1625">
          <cell r="A1625" t="str">
            <v>AB0257N</v>
          </cell>
          <cell r="B1625" t="str">
            <v>Brian Khamadi</v>
          </cell>
        </row>
        <row r="1626">
          <cell r="A1626" t="str">
            <v>ABMBAC2</v>
          </cell>
          <cell r="B1626" t="str">
            <v>Mwanaisha Bakari</v>
          </cell>
        </row>
        <row r="1627">
          <cell r="A1627" t="str">
            <v>AB029OZ</v>
          </cell>
          <cell r="B1627" t="str">
            <v>Rachael Mumbi</v>
          </cell>
        </row>
        <row r="1628">
          <cell r="A1628" t="str">
            <v>ABPMAOB</v>
          </cell>
          <cell r="B1628" t="str">
            <v>Peris Muhia</v>
          </cell>
        </row>
        <row r="1629">
          <cell r="A1629" t="str">
            <v>AB024GQ</v>
          </cell>
          <cell r="B1629" t="str">
            <v>Marion Ojiem</v>
          </cell>
        </row>
        <row r="1630">
          <cell r="A1630" t="str">
            <v>ABJMAG8</v>
          </cell>
          <cell r="B1630" t="str">
            <v>Jacinta Mutuku Nyiva</v>
          </cell>
        </row>
        <row r="1631">
          <cell r="A1631" t="str">
            <v>AB032QC</v>
          </cell>
          <cell r="B1631" t="str">
            <v>Mercy Ndwiga</v>
          </cell>
        </row>
        <row r="1632">
          <cell r="A1632" t="str">
            <v>AB0324W</v>
          </cell>
          <cell r="B1632" t="str">
            <v>Francis Murigi</v>
          </cell>
        </row>
        <row r="1633">
          <cell r="A1633" t="str">
            <v>ABEMA3B</v>
          </cell>
          <cell r="B1633" t="str">
            <v>Edward Mulanghui</v>
          </cell>
        </row>
        <row r="1634">
          <cell r="A1634" t="str">
            <v>HISA0028</v>
          </cell>
          <cell r="B1634" t="str">
            <v>Rhoda Nyaanga Wanjuki</v>
          </cell>
        </row>
        <row r="1635">
          <cell r="A1635" t="str">
            <v>ABMA653</v>
          </cell>
          <cell r="B1635" t="str">
            <v>Moses Atik Omondi</v>
          </cell>
        </row>
        <row r="1636">
          <cell r="A1636" t="str">
            <v>AB034KH</v>
          </cell>
          <cell r="B1636" t="str">
            <v>Lydia Nyagwoka</v>
          </cell>
        </row>
        <row r="1637">
          <cell r="A1637" t="str">
            <v>Hisa0039</v>
          </cell>
          <cell r="B1637" t="str">
            <v>Robinson Nduati Kimani</v>
          </cell>
        </row>
        <row r="1638">
          <cell r="A1638" t="str">
            <v>Hisa0036</v>
          </cell>
          <cell r="B1638" t="str">
            <v>Grace Wahome</v>
          </cell>
        </row>
        <row r="1639">
          <cell r="A1639" t="str">
            <v>ABEO127</v>
          </cell>
          <cell r="B1639" t="str">
            <v>Emmah Omollo</v>
          </cell>
        </row>
        <row r="1640">
          <cell r="A1640" t="str">
            <v>AB031LP</v>
          </cell>
          <cell r="B1640" t="str">
            <v>Joseph Mutiga</v>
          </cell>
        </row>
        <row r="1641">
          <cell r="A1641" t="str">
            <v>AB033DY</v>
          </cell>
          <cell r="B1641" t="str">
            <v>Winnie Wambui</v>
          </cell>
        </row>
        <row r="1642">
          <cell r="A1642" t="str">
            <v>Hisa0017</v>
          </cell>
          <cell r="B1642" t="str">
            <v>Solomon Karanja</v>
          </cell>
        </row>
        <row r="1643">
          <cell r="A1643" t="str">
            <v>AB019MS</v>
          </cell>
          <cell r="B1643" t="str">
            <v>Jerusha Mwangi</v>
          </cell>
        </row>
        <row r="1644">
          <cell r="A1644" t="str">
            <v>AB032J5</v>
          </cell>
          <cell r="B1644" t="str">
            <v>Irene Kagiri</v>
          </cell>
        </row>
        <row r="1645">
          <cell r="A1645" t="str">
            <v>AB030QU</v>
          </cell>
          <cell r="B1645" t="str">
            <v>Lydia Yator</v>
          </cell>
        </row>
        <row r="1646">
          <cell r="A1646" t="str">
            <v>AB02899</v>
          </cell>
          <cell r="B1646" t="str">
            <v>Iddi Sameera</v>
          </cell>
        </row>
        <row r="1647">
          <cell r="A1647" t="str">
            <v>AB032G4</v>
          </cell>
          <cell r="B1647" t="str">
            <v>Morris Mwamure</v>
          </cell>
        </row>
        <row r="1648">
          <cell r="A1648" t="str">
            <v>AB019FB</v>
          </cell>
          <cell r="B1648" t="str">
            <v>Susan Karanja</v>
          </cell>
        </row>
        <row r="1649">
          <cell r="A1649" t="str">
            <v>AB033EQ</v>
          </cell>
          <cell r="B1649" t="str">
            <v>Jane Anyange</v>
          </cell>
        </row>
        <row r="1650">
          <cell r="A1650" t="str">
            <v>AB033T3</v>
          </cell>
          <cell r="B1650" t="str">
            <v>Wickliff Muthomi Kibori</v>
          </cell>
        </row>
        <row r="1651">
          <cell r="A1651" t="str">
            <v>AB031XV</v>
          </cell>
          <cell r="B1651" t="str">
            <v>Maithya Kyove</v>
          </cell>
        </row>
        <row r="1652">
          <cell r="A1652" t="str">
            <v>AB034VO</v>
          </cell>
          <cell r="B1652" t="str">
            <v>Zamzam Kathra</v>
          </cell>
        </row>
        <row r="1653">
          <cell r="A1653" t="str">
            <v>AB011G9</v>
          </cell>
          <cell r="B1653" t="str">
            <v>Veronicah Cherono Chumo</v>
          </cell>
        </row>
        <row r="1654">
          <cell r="A1654" t="str">
            <v>AB032Q9</v>
          </cell>
          <cell r="B1654" t="str">
            <v>Paul Wanjiru</v>
          </cell>
        </row>
        <row r="1655">
          <cell r="A1655" t="str">
            <v>AB034JM</v>
          </cell>
          <cell r="B1655" t="str">
            <v>Joylindah Mwangi</v>
          </cell>
        </row>
        <row r="1656">
          <cell r="A1656" t="str">
            <v>AB035AC</v>
          </cell>
          <cell r="B1656" t="str">
            <v>Angela Ndunda</v>
          </cell>
        </row>
        <row r="1657">
          <cell r="A1657" t="str">
            <v>AB033XO</v>
          </cell>
          <cell r="B1657" t="str">
            <v>Robert Rotich</v>
          </cell>
        </row>
        <row r="1658">
          <cell r="A1658" t="str">
            <v>AB0228Z</v>
          </cell>
          <cell r="B1658" t="str">
            <v>Wallace Opiayo</v>
          </cell>
        </row>
        <row r="1659">
          <cell r="A1659" t="str">
            <v>AB031A6</v>
          </cell>
          <cell r="B1659" t="str">
            <v>Ismael Kipchumba</v>
          </cell>
        </row>
        <row r="1660">
          <cell r="A1660" t="str">
            <v>AB031AJ</v>
          </cell>
          <cell r="B1660" t="str">
            <v>Jackson Irungu</v>
          </cell>
        </row>
        <row r="1661">
          <cell r="A1661" t="str">
            <v>AB034VH</v>
          </cell>
          <cell r="B1661" t="str">
            <v>Ida Wambua</v>
          </cell>
        </row>
        <row r="1662">
          <cell r="A1662" t="str">
            <v>AB032XX</v>
          </cell>
          <cell r="B1662" t="str">
            <v>Nicholus Kibaara</v>
          </cell>
        </row>
        <row r="1663">
          <cell r="A1663" t="str">
            <v>Hisa0046</v>
          </cell>
          <cell r="B1663" t="str">
            <v>Nancy Akungwi</v>
          </cell>
        </row>
        <row r="1664">
          <cell r="A1664" t="str">
            <v>AB031AI</v>
          </cell>
          <cell r="B1664" t="str">
            <v xml:space="preserve">Redempta Mutindi Kilonzo </v>
          </cell>
        </row>
        <row r="1665">
          <cell r="A1665" t="str">
            <v>ABPB463</v>
          </cell>
          <cell r="B1665" t="str">
            <v>Peter Bosse</v>
          </cell>
        </row>
        <row r="1666">
          <cell r="A1666" t="str">
            <v>ABMA473</v>
          </cell>
          <cell r="B1666" t="str">
            <v>Meroline Anyango Abade</v>
          </cell>
        </row>
        <row r="1667">
          <cell r="A1667" t="str">
            <v>AB0354A</v>
          </cell>
          <cell r="B1667" t="str">
            <v>Felix Langat</v>
          </cell>
        </row>
        <row r="1668">
          <cell r="A1668" t="str">
            <v>AB032ZY</v>
          </cell>
          <cell r="B1668" t="str">
            <v>Margaret Nditi Maina</v>
          </cell>
        </row>
        <row r="1669">
          <cell r="A1669" t="str">
            <v>AB033WR</v>
          </cell>
          <cell r="B1669" t="str">
            <v>Kellen Murage</v>
          </cell>
        </row>
        <row r="1670">
          <cell r="A1670" t="str">
            <v>AB032VW</v>
          </cell>
          <cell r="B1670" t="str">
            <v>Jesca Chepkemoi</v>
          </cell>
        </row>
        <row r="1671">
          <cell r="A1671" t="str">
            <v>ABVC131</v>
          </cell>
          <cell r="B1671" t="str">
            <v>Verah Chelimo Chongwony</v>
          </cell>
        </row>
        <row r="1672">
          <cell r="A1672" t="str">
            <v>AB029QM</v>
          </cell>
          <cell r="B1672" t="str">
            <v>Denis Rachami</v>
          </cell>
        </row>
        <row r="1673">
          <cell r="A1673" t="str">
            <v>AB034AM</v>
          </cell>
          <cell r="B1673" t="str">
            <v>Emily Onyango</v>
          </cell>
        </row>
        <row r="1674">
          <cell r="A1674" t="str">
            <v>AB019F7</v>
          </cell>
          <cell r="B1674" t="str">
            <v xml:space="preserve">Job muchui Ntongai </v>
          </cell>
        </row>
        <row r="1675">
          <cell r="A1675" t="str">
            <v>ABCN533</v>
          </cell>
          <cell r="B1675" t="str">
            <v>Catherine Kyenze</v>
          </cell>
        </row>
        <row r="1676">
          <cell r="A1676" t="str">
            <v>AB029P6</v>
          </cell>
          <cell r="B1676" t="str">
            <v>Hassan Ochieng'</v>
          </cell>
        </row>
        <row r="1677">
          <cell r="A1677" t="str">
            <v>AB0314T</v>
          </cell>
          <cell r="B1677" t="str">
            <v>Charity Watene</v>
          </cell>
        </row>
        <row r="1678">
          <cell r="A1678" t="str">
            <v>AB0257X</v>
          </cell>
          <cell r="B1678" t="str">
            <v>Joel Kyatha</v>
          </cell>
        </row>
        <row r="1679">
          <cell r="A1679" t="str">
            <v>ABBW169</v>
          </cell>
          <cell r="B1679" t="str">
            <v>Bilha Wachira</v>
          </cell>
        </row>
        <row r="1680">
          <cell r="A1680" t="str">
            <v>AB028ZV</v>
          </cell>
          <cell r="B1680" t="str">
            <v>Victor Obwocha</v>
          </cell>
        </row>
        <row r="1681">
          <cell r="A1681" t="str">
            <v>AB0336O</v>
          </cell>
          <cell r="B1681" t="str">
            <v>Polycarp Osinga</v>
          </cell>
        </row>
        <row r="1682">
          <cell r="A1682" t="str">
            <v>AB034JW</v>
          </cell>
          <cell r="B1682" t="str">
            <v>Daniel Mutuku Nyile</v>
          </cell>
        </row>
        <row r="1683">
          <cell r="A1683" t="str">
            <v>AB034XM</v>
          </cell>
          <cell r="B1683" t="str">
            <v xml:space="preserve">Anne Njuguna </v>
          </cell>
        </row>
        <row r="1684">
          <cell r="A1684" t="str">
            <v>AB034F0</v>
          </cell>
          <cell r="B1684" t="str">
            <v>Caroline Mutinda</v>
          </cell>
        </row>
        <row r="1685">
          <cell r="A1685" t="str">
            <v>AB03541</v>
          </cell>
          <cell r="B1685" t="str">
            <v>Faith Gichuru</v>
          </cell>
        </row>
        <row r="1686">
          <cell r="A1686" t="str">
            <v>ABJL557</v>
          </cell>
          <cell r="B1686" t="str">
            <v>Jacobeth Liboi</v>
          </cell>
        </row>
        <row r="1687">
          <cell r="A1687" t="str">
            <v>AB032G3</v>
          </cell>
          <cell r="B1687" t="str">
            <v xml:space="preserve">Dalcy Muhonja </v>
          </cell>
        </row>
        <row r="1688">
          <cell r="A1688" t="str">
            <v>AB034AJ</v>
          </cell>
          <cell r="B1688" t="str">
            <v>Esther Wambua</v>
          </cell>
        </row>
        <row r="1689">
          <cell r="A1689" t="str">
            <v>AB0352Y</v>
          </cell>
          <cell r="B1689" t="str">
            <v>Maurice Mbuvi</v>
          </cell>
        </row>
        <row r="1690">
          <cell r="A1690" t="str">
            <v>Hisa63320</v>
          </cell>
          <cell r="B1690" t="str">
            <v>Martin Kamande</v>
          </cell>
        </row>
        <row r="1691">
          <cell r="A1691" t="str">
            <v>Hisa033</v>
          </cell>
          <cell r="B1691" t="str">
            <v>Susan Omondi</v>
          </cell>
        </row>
        <row r="1692">
          <cell r="A1692" t="str">
            <v>ABEMA4F</v>
          </cell>
          <cell r="B1692" t="str">
            <v>Emily Muga</v>
          </cell>
        </row>
        <row r="1693">
          <cell r="A1693" t="str">
            <v>AB034XY</v>
          </cell>
          <cell r="B1693" t="str">
            <v>Brigit Kitil</v>
          </cell>
        </row>
        <row r="1694">
          <cell r="A1694" t="str">
            <v>ABDK371</v>
          </cell>
          <cell r="B1694" t="str">
            <v>Duncan Muthusi</v>
          </cell>
        </row>
        <row r="1695">
          <cell r="A1695" t="str">
            <v>AB033ET</v>
          </cell>
          <cell r="B1695" t="str">
            <v>Lornah Nyandago</v>
          </cell>
        </row>
        <row r="1696">
          <cell r="A1696" t="str">
            <v>Hisa0021</v>
          </cell>
          <cell r="B1696" t="str">
            <v>Fridah Makena Thirari</v>
          </cell>
        </row>
        <row r="1697">
          <cell r="A1697" t="str">
            <v>AB033DV</v>
          </cell>
          <cell r="B1697" t="str">
            <v xml:space="preserve">Judy Ng'ang'a </v>
          </cell>
        </row>
        <row r="1698">
          <cell r="A1698" t="str">
            <v>AB035K6</v>
          </cell>
          <cell r="B1698" t="str">
            <v>Victor Mboya</v>
          </cell>
        </row>
        <row r="1699">
          <cell r="A1699" t="str">
            <v>AB027GM</v>
          </cell>
          <cell r="B1699" t="str">
            <v xml:space="preserve">Antony Macharia </v>
          </cell>
        </row>
        <row r="1700">
          <cell r="A1700" t="str">
            <v>AB032ZB</v>
          </cell>
          <cell r="B1700" t="str">
            <v>Mercy Mutia</v>
          </cell>
        </row>
        <row r="1701">
          <cell r="A1701" t="str">
            <v>AB034XN</v>
          </cell>
          <cell r="B1701" t="str">
            <v>Maurine Usenge</v>
          </cell>
        </row>
        <row r="1702">
          <cell r="A1702" t="str">
            <v>AB030T3</v>
          </cell>
          <cell r="B1702" t="str">
            <v>Hirum Thamu</v>
          </cell>
        </row>
        <row r="1703">
          <cell r="A1703" t="str">
            <v>AB034YX</v>
          </cell>
          <cell r="B1703" t="str">
            <v>Stephen Mlanya</v>
          </cell>
        </row>
        <row r="1704">
          <cell r="A1704" t="str">
            <v>AB032Q6</v>
          </cell>
          <cell r="B1704" t="str">
            <v xml:space="preserve">Exodus Musyoki </v>
          </cell>
        </row>
        <row r="1705">
          <cell r="A1705" t="str">
            <v>AB03545</v>
          </cell>
          <cell r="B1705" t="str">
            <v>Mercy Karimi</v>
          </cell>
        </row>
        <row r="1706">
          <cell r="A1706" t="str">
            <v>Hisa00020</v>
          </cell>
          <cell r="B1706" t="str">
            <v>Ruth Maureen Khaura</v>
          </cell>
        </row>
        <row r="1707">
          <cell r="A1707" t="str">
            <v>AB032Q8</v>
          </cell>
          <cell r="B1707" t="str">
            <v>Nancy Okello</v>
          </cell>
        </row>
        <row r="1708">
          <cell r="A1708" t="str">
            <v>AB033ED</v>
          </cell>
          <cell r="B1708" t="str">
            <v>Daniel Ombasa</v>
          </cell>
        </row>
        <row r="1709">
          <cell r="A1709" t="str">
            <v>ABDMA8Y</v>
          </cell>
          <cell r="B1709" t="str">
            <v xml:space="preserve">Duncan Muhoro </v>
          </cell>
        </row>
        <row r="1710">
          <cell r="A1710"/>
          <cell r="B1710"/>
        </row>
        <row r="1711">
          <cell r="A1711" t="str">
            <v>AB033WS</v>
          </cell>
          <cell r="B1711" t="str">
            <v>Duncan Marangu</v>
          </cell>
        </row>
        <row r="1712">
          <cell r="A1712" t="str">
            <v>AB032Q5</v>
          </cell>
          <cell r="B1712" t="str">
            <v>Victor Odhiambo</v>
          </cell>
        </row>
        <row r="1713">
          <cell r="A1713" t="str">
            <v>AB026FO</v>
          </cell>
          <cell r="B1713" t="str">
            <v>Benyle Obisa</v>
          </cell>
        </row>
        <row r="1714">
          <cell r="A1714" t="str">
            <v>AB03549</v>
          </cell>
          <cell r="B1714" t="str">
            <v>Lucy s Mwasya</v>
          </cell>
        </row>
        <row r="1715">
          <cell r="A1715" t="str">
            <v>AB034U2</v>
          </cell>
          <cell r="B1715" t="str">
            <v>BERYL ONGANYO</v>
          </cell>
        </row>
        <row r="1716">
          <cell r="A1716" t="str">
            <v>AB034VS</v>
          </cell>
          <cell r="B1716" t="str">
            <v>Joan Kalekye Khayadi</v>
          </cell>
        </row>
        <row r="1717">
          <cell r="A1717" t="str">
            <v>AB035K1</v>
          </cell>
          <cell r="B1717" t="str">
            <v>Wayne Otieno</v>
          </cell>
        </row>
        <row r="1718">
          <cell r="A1718" t="str">
            <v>Hisa0051</v>
          </cell>
          <cell r="B1718" t="str">
            <v>Njenga Isabella</v>
          </cell>
        </row>
        <row r="1719">
          <cell r="A1719" t="str">
            <v>AB034VB</v>
          </cell>
          <cell r="B1719" t="str">
            <v>Desmond Odunga Mbuti</v>
          </cell>
        </row>
        <row r="1720">
          <cell r="A1720" t="str">
            <v>AB033WL</v>
          </cell>
          <cell r="B1720" t="str">
            <v xml:space="preserve">Fraciah Muchangi </v>
          </cell>
        </row>
        <row r="1721">
          <cell r="A1721"/>
          <cell r="B1721"/>
        </row>
        <row r="1722">
          <cell r="A1722" t="str">
            <v>AB019F9</v>
          </cell>
          <cell r="B1722" t="str">
            <v>Kioko Kariuki</v>
          </cell>
        </row>
        <row r="1723">
          <cell r="A1723" t="str">
            <v>AB034XX</v>
          </cell>
          <cell r="B1723" t="str">
            <v>Ronny Ndungu</v>
          </cell>
        </row>
        <row r="1724">
          <cell r="A1724" t="str">
            <v>ABEK348</v>
          </cell>
          <cell r="B1724" t="str">
            <v>Elvis Kalizo</v>
          </cell>
        </row>
        <row r="1725">
          <cell r="A1725" t="str">
            <v>AB032T5</v>
          </cell>
          <cell r="B1725" t="str">
            <v xml:space="preserve">Joseph Kipino </v>
          </cell>
        </row>
        <row r="1726">
          <cell r="A1726" t="str">
            <v>Hisa0033</v>
          </cell>
          <cell r="B1726" t="str">
            <v>Susan Omondi</v>
          </cell>
        </row>
        <row r="1727">
          <cell r="A1727" t="str">
            <v>AB034L4</v>
          </cell>
          <cell r="B1727" t="str">
            <v xml:space="preserve">Polyne Obiero </v>
          </cell>
        </row>
        <row r="1728">
          <cell r="A1728"/>
          <cell r="B1728"/>
        </row>
        <row r="1729">
          <cell r="A1729" t="str">
            <v>AB032AF</v>
          </cell>
          <cell r="B1729" t="str">
            <v xml:space="preserve">Franz Ochieng </v>
          </cell>
        </row>
        <row r="1730">
          <cell r="A1730" t="str">
            <v>AB034JL</v>
          </cell>
          <cell r="B1730" t="str">
            <v>Grace Muriuki</v>
          </cell>
        </row>
        <row r="1731">
          <cell r="A1731" t="str">
            <v>AB032ZX</v>
          </cell>
          <cell r="B1731" t="str">
            <v>Carol Kamoet</v>
          </cell>
        </row>
        <row r="1732">
          <cell r="A1732"/>
          <cell r="B1732"/>
        </row>
        <row r="1733">
          <cell r="A1733" t="str">
            <v>AB035BS</v>
          </cell>
          <cell r="B1733" t="str">
            <v>Christabel Makero</v>
          </cell>
        </row>
        <row r="1734">
          <cell r="A1734" t="str">
            <v>AB019LC</v>
          </cell>
          <cell r="B1734" t="str">
            <v>Ruth Nasipwoni Mukuusi</v>
          </cell>
        </row>
        <row r="1735">
          <cell r="A1735" t="str">
            <v>Hisa0040</v>
          </cell>
          <cell r="B1735" t="str">
            <v>Martin Kamande</v>
          </cell>
        </row>
        <row r="1736">
          <cell r="A1736" t="str">
            <v>AB0311T</v>
          </cell>
          <cell r="B1736" t="str">
            <v>PATRICK IKUNDA NANJAU</v>
          </cell>
        </row>
        <row r="1737">
          <cell r="A1737" t="str">
            <v>AB029P7</v>
          </cell>
          <cell r="B1737" t="str">
            <v xml:space="preserve">Diana Abuta </v>
          </cell>
        </row>
        <row r="1738">
          <cell r="A1738" t="str">
            <v>Hisa001</v>
          </cell>
          <cell r="B1738" t="str">
            <v>Alfred Mathu</v>
          </cell>
        </row>
        <row r="1739">
          <cell r="A1739" t="str">
            <v>AB0364W</v>
          </cell>
          <cell r="B1739" t="str">
            <v>William Everia</v>
          </cell>
        </row>
        <row r="1740">
          <cell r="A1740" t="str">
            <v>AB034U3</v>
          </cell>
          <cell r="B1740" t="str">
            <v>EDNA ODERA</v>
          </cell>
        </row>
        <row r="1741">
          <cell r="A1741" t="str">
            <v>AB035BM</v>
          </cell>
          <cell r="B1741" t="str">
            <v>Moses Dalla</v>
          </cell>
        </row>
        <row r="1742">
          <cell r="A1742" t="str">
            <v>AB034ZF</v>
          </cell>
          <cell r="B1742" t="str">
            <v>Jeremiah Otieno</v>
          </cell>
        </row>
        <row r="1743">
          <cell r="A1743" t="str">
            <v>AB035ZK</v>
          </cell>
          <cell r="B1743" t="str">
            <v>Gradus Pondi</v>
          </cell>
        </row>
        <row r="1744">
          <cell r="A1744" t="str">
            <v>ABEMA4I</v>
          </cell>
          <cell r="B1744" t="str">
            <v>Esther Maina</v>
          </cell>
        </row>
        <row r="1745">
          <cell r="A1745" t="str">
            <v>Hisa0054</v>
          </cell>
          <cell r="B1745" t="str">
            <v>Amos Chege Karanja</v>
          </cell>
        </row>
        <row r="1746">
          <cell r="A1746" t="str">
            <v>AB035RC</v>
          </cell>
          <cell r="B1746" t="str">
            <v>Kiprotich Chepkwony</v>
          </cell>
        </row>
        <row r="1747">
          <cell r="A1747" t="str">
            <v>ABMG755</v>
          </cell>
          <cell r="B1747" t="str">
            <v>Martin Gikonyo</v>
          </cell>
        </row>
        <row r="1748">
          <cell r="A1748" t="str">
            <v>AB023VY</v>
          </cell>
          <cell r="B1748" t="str">
            <v xml:space="preserve">Abednego Kitonga Munguti Abednego </v>
          </cell>
        </row>
        <row r="1749">
          <cell r="A1749" t="str">
            <v>AB033XK</v>
          </cell>
          <cell r="B1749" t="str">
            <v xml:space="preserve">Chrispinus Echesa </v>
          </cell>
        </row>
        <row r="1750">
          <cell r="A1750" t="str">
            <v>AB035RG</v>
          </cell>
          <cell r="B1750" t="str">
            <v xml:space="preserve">Lincolin Ngenge Komora </v>
          </cell>
        </row>
        <row r="1751">
          <cell r="A1751" t="str">
            <v>AB03273</v>
          </cell>
          <cell r="B1751" t="str">
            <v xml:space="preserve">Hellen Muthoni </v>
          </cell>
        </row>
        <row r="1752">
          <cell r="A1752" t="str">
            <v>AB034UZ</v>
          </cell>
          <cell r="B1752" t="str">
            <v>AB034UZ</v>
          </cell>
        </row>
        <row r="1753">
          <cell r="A1753" t="str">
            <v>AB023F8</v>
          </cell>
          <cell r="B1753" t="str">
            <v>EVELYNE WAITHAKA</v>
          </cell>
        </row>
        <row r="1754">
          <cell r="A1754" t="str">
            <v>AB0335L</v>
          </cell>
          <cell r="B1754" t="str">
            <v>Abigail Wambua</v>
          </cell>
        </row>
        <row r="1755">
          <cell r="A1755" t="str">
            <v>AB034X5</v>
          </cell>
          <cell r="B1755" t="str">
            <v>George Gikunda</v>
          </cell>
        </row>
        <row r="1756">
          <cell r="A1756" t="str">
            <v>AB0354G</v>
          </cell>
          <cell r="B1756" t="str">
            <v>Kiprono Kelvin</v>
          </cell>
        </row>
        <row r="1757">
          <cell r="A1757" t="str">
            <v>AB034V6</v>
          </cell>
          <cell r="B1757" t="str">
            <v>FRANCIS MWANGI</v>
          </cell>
        </row>
        <row r="1758">
          <cell r="A1758" t="str">
            <v>ABMG773</v>
          </cell>
          <cell r="B1758" t="str">
            <v>Margaret Gichuhi</v>
          </cell>
        </row>
        <row r="1759">
          <cell r="A1759" t="str">
            <v>AB029LS</v>
          </cell>
          <cell r="B1759" t="str">
            <v>Joseph Kimundi</v>
          </cell>
        </row>
        <row r="1760">
          <cell r="A1760" t="str">
            <v>ABHM594</v>
          </cell>
          <cell r="B1760" t="str">
            <v>Henry Muteti</v>
          </cell>
        </row>
        <row r="1761">
          <cell r="A1761" t="str">
            <v>ABMKA1Y</v>
          </cell>
          <cell r="B1761" t="str">
            <v>Mary Kazungu</v>
          </cell>
        </row>
        <row r="1762">
          <cell r="A1762" t="str">
            <v>Hisa0040</v>
          </cell>
          <cell r="B1762" t="str">
            <v>Martin Njuguna Kamande</v>
          </cell>
        </row>
        <row r="1763">
          <cell r="A1763" t="str">
            <v>AB035BQ</v>
          </cell>
          <cell r="B1763" t="str">
            <v xml:space="preserve">Christine Joseph </v>
          </cell>
        </row>
        <row r="1764">
          <cell r="A1764" t="str">
            <v>LG171G1</v>
          </cell>
          <cell r="B1764" t="str">
            <v>Elizabeth Mwau</v>
          </cell>
        </row>
        <row r="1765">
          <cell r="A1765" t="str">
            <v>AB035I9</v>
          </cell>
          <cell r="B1765" t="str">
            <v xml:space="preserve">Maggie Otieno </v>
          </cell>
        </row>
        <row r="1766">
          <cell r="A1766" t="str">
            <v>AB035RK</v>
          </cell>
          <cell r="B1766" t="str">
            <v xml:space="preserve">Joseph Onjiko </v>
          </cell>
        </row>
        <row r="1767">
          <cell r="A1767" t="str">
            <v>AB034JZ</v>
          </cell>
          <cell r="B1767" t="str">
            <v xml:space="preserve">Nawruz Ombai </v>
          </cell>
        </row>
        <row r="1768">
          <cell r="A1768" t="str">
            <v>AB024YT</v>
          </cell>
          <cell r="B1768" t="str">
            <v>Morgan Mwangi</v>
          </cell>
        </row>
        <row r="1769">
          <cell r="A1769" t="str">
            <v>AB035K5</v>
          </cell>
          <cell r="B1769" t="str">
            <v>Edmond Kennel</v>
          </cell>
        </row>
        <row r="1770">
          <cell r="A1770" t="str">
            <v>AB035YK</v>
          </cell>
          <cell r="B1770" t="str">
            <v>Sheila Ouya</v>
          </cell>
        </row>
        <row r="1771">
          <cell r="A1771" t="str">
            <v>AB034V1</v>
          </cell>
          <cell r="B1771" t="str">
            <v>Nicholas Mutemi</v>
          </cell>
        </row>
        <row r="1772">
          <cell r="A1772" t="str">
            <v>AB035BT</v>
          </cell>
          <cell r="B1772" t="str">
            <v>Dancun Gitonga</v>
          </cell>
        </row>
        <row r="1773">
          <cell r="A1773" t="str">
            <v>AB035XA</v>
          </cell>
          <cell r="B1773" t="str">
            <v>Christine Christine</v>
          </cell>
        </row>
        <row r="1774">
          <cell r="A1774" t="str">
            <v>AB032B8</v>
          </cell>
          <cell r="B1774" t="str">
            <v>Brian Nyaberi</v>
          </cell>
        </row>
        <row r="1775">
          <cell r="A1775" t="str">
            <v>AB034CL</v>
          </cell>
          <cell r="B1775" t="str">
            <v>Benson Wangunyu Kareithi</v>
          </cell>
        </row>
        <row r="1776">
          <cell r="A1776" t="str">
            <v>AB03653</v>
          </cell>
          <cell r="B1776" t="str">
            <v>Mercy Wanjohi</v>
          </cell>
        </row>
        <row r="1777">
          <cell r="A1777" t="str">
            <v>ABCG428</v>
          </cell>
          <cell r="B1777" t="str">
            <v>Charles Gicho</v>
          </cell>
        </row>
        <row r="1778">
          <cell r="A1778" t="str">
            <v>AB035JX</v>
          </cell>
          <cell r="B1778" t="str">
            <v>Collins Njoroge</v>
          </cell>
        </row>
        <row r="1779">
          <cell r="A1779" t="str">
            <v>AB035ZJ</v>
          </cell>
          <cell r="B1779" t="str">
            <v xml:space="preserve">Eric Mburu </v>
          </cell>
        </row>
        <row r="1780">
          <cell r="A1780" t="str">
            <v>AB034XU</v>
          </cell>
          <cell r="B1780" t="str">
            <v>Jane Nyamu</v>
          </cell>
        </row>
        <row r="1781">
          <cell r="A1781" t="str">
            <v>AB0353Q</v>
          </cell>
          <cell r="B1781" t="str">
            <v xml:space="preserve">Fiona Moracha </v>
          </cell>
        </row>
        <row r="1782">
          <cell r="A1782" t="str">
            <v>AB035XK</v>
          </cell>
          <cell r="B1782" t="str">
            <v>Phiona Omoto</v>
          </cell>
        </row>
        <row r="1783">
          <cell r="A1783" t="str">
            <v>AB034UZ</v>
          </cell>
          <cell r="B1783" t="str">
            <v xml:space="preserve">Joy Karimi </v>
          </cell>
        </row>
        <row r="1784">
          <cell r="A1784" t="str">
            <v>AB025FX</v>
          </cell>
          <cell r="B1784" t="str">
            <v>PATRICK WEKESA</v>
          </cell>
        </row>
        <row r="1785">
          <cell r="A1785" t="str">
            <v>Hisa0060</v>
          </cell>
          <cell r="B1785" t="str">
            <v>Atwiine Lovelyn</v>
          </cell>
        </row>
        <row r="1786">
          <cell r="A1786" t="str">
            <v>AB035R7</v>
          </cell>
          <cell r="B1786" t="str">
            <v xml:space="preserve">Cate Benard </v>
          </cell>
        </row>
        <row r="1787">
          <cell r="A1787" t="str">
            <v>AB035L5</v>
          </cell>
          <cell r="B1787" t="str">
            <v>Mercy Chebii</v>
          </cell>
        </row>
        <row r="1788">
          <cell r="A1788" t="str">
            <v>AB036AB</v>
          </cell>
          <cell r="B1788" t="str">
            <v>Lilian Karimi</v>
          </cell>
        </row>
        <row r="1789">
          <cell r="A1789" t="str">
            <v>AB035RT</v>
          </cell>
          <cell r="B1789" t="str">
            <v xml:space="preserve">Bonface Kariuki </v>
          </cell>
        </row>
        <row r="1790">
          <cell r="A1790" t="str">
            <v>AB031AI</v>
          </cell>
          <cell r="B1790" t="str">
            <v xml:space="preserve">Redempta Mutindi Kilonzo </v>
          </cell>
        </row>
        <row r="1791">
          <cell r="A1791" t="str">
            <v>AB03660</v>
          </cell>
          <cell r="B1791" t="str">
            <v>Musa Osundwa</v>
          </cell>
        </row>
        <row r="1792">
          <cell r="A1792" t="str">
            <v>ABDS755</v>
          </cell>
          <cell r="B1792" t="str">
            <v xml:space="preserve">David Muraya Shaban </v>
          </cell>
        </row>
        <row r="1793">
          <cell r="A1793" t="str">
            <v>AB035ZD</v>
          </cell>
          <cell r="B1793" t="str">
            <v xml:space="preserve">Abdirahman Hakhame Ali </v>
          </cell>
        </row>
        <row r="1794">
          <cell r="A1794" t="str">
            <v>AB0257N</v>
          </cell>
          <cell r="B1794" t="str">
            <v>Brian Khamadi</v>
          </cell>
        </row>
        <row r="1795">
          <cell r="A1795" t="str">
            <v>ABJBA29</v>
          </cell>
          <cell r="B1795" t="str">
            <v>Jessica Balala</v>
          </cell>
        </row>
        <row r="1796">
          <cell r="A1796" t="str">
            <v>AB030XO</v>
          </cell>
          <cell r="B1796" t="str">
            <v>Moses Baki</v>
          </cell>
        </row>
        <row r="1797">
          <cell r="A1797" t="str">
            <v>AB027UV</v>
          </cell>
          <cell r="B1797" t="str">
            <v xml:space="preserve">Kelvin Mwangi </v>
          </cell>
        </row>
        <row r="1798">
          <cell r="A1798" t="str">
            <v>AB036A2</v>
          </cell>
          <cell r="B1798" t="str">
            <v xml:space="preserve">Annah Nyamai </v>
          </cell>
        </row>
        <row r="1799">
          <cell r="A1799" t="str">
            <v>AB035AI</v>
          </cell>
          <cell r="B1799" t="str">
            <v>Kelvin Githinji</v>
          </cell>
        </row>
        <row r="1800">
          <cell r="A1800" t="str">
            <v>AB034VM</v>
          </cell>
          <cell r="B1800" t="str">
            <v xml:space="preserve">CHEROTICH YEGON </v>
          </cell>
        </row>
        <row r="1801">
          <cell r="A1801" t="str">
            <v>ABAW545</v>
          </cell>
          <cell r="B1801" t="str">
            <v>Alice Wamidha</v>
          </cell>
        </row>
        <row r="1802">
          <cell r="A1802" t="str">
            <v>ABEMA3T</v>
          </cell>
          <cell r="B1802" t="str">
            <v>Esther Mutunga</v>
          </cell>
        </row>
        <row r="1803">
          <cell r="A1803" t="str">
            <v>ABFO054</v>
          </cell>
          <cell r="B1803" t="str">
            <v>Fredrick Owiye</v>
          </cell>
        </row>
        <row r="1804">
          <cell r="A1804" t="str">
            <v>AB035YF</v>
          </cell>
          <cell r="B1804" t="str">
            <v>Stella Maina</v>
          </cell>
        </row>
        <row r="1805">
          <cell r="A1805" t="str">
            <v>AB019KD</v>
          </cell>
          <cell r="B1805" t="str">
            <v>Nyokabi Njiriri</v>
          </cell>
        </row>
        <row r="1806">
          <cell r="A1806" t="str">
            <v>ABEN318</v>
          </cell>
          <cell r="B1806" t="str">
            <v xml:space="preserve">Erick Gatumu Njiru </v>
          </cell>
        </row>
        <row r="1807">
          <cell r="A1807" t="str">
            <v>AB030ZR</v>
          </cell>
          <cell r="B1807" t="str">
            <v xml:space="preserve">Zedekiah Mburu </v>
          </cell>
        </row>
        <row r="1808">
          <cell r="A1808" t="str">
            <v>ABGN337</v>
          </cell>
          <cell r="B1808" t="str">
            <v>Gladys Nzisa Ibrahim</v>
          </cell>
        </row>
        <row r="1809">
          <cell r="A1809" t="str">
            <v>AB030YE</v>
          </cell>
          <cell r="B1809" t="str">
            <v xml:space="preserve">VINCENT KILONZO </v>
          </cell>
        </row>
        <row r="1810">
          <cell r="A1810" t="str">
            <v>AB036KR</v>
          </cell>
          <cell r="B1810" t="str">
            <v>Fredrick Munga</v>
          </cell>
        </row>
        <row r="1811">
          <cell r="A1811" t="str">
            <v>AB0353R</v>
          </cell>
          <cell r="B1811" t="str">
            <v xml:space="preserve">Erick Kalowo </v>
          </cell>
        </row>
        <row r="1812">
          <cell r="A1812" t="str">
            <v>AB0364S</v>
          </cell>
          <cell r="B1812" t="str">
            <v xml:space="preserve">Nemwel Nyaanga </v>
          </cell>
        </row>
        <row r="1813">
          <cell r="A1813" t="str">
            <v>AB035AJ</v>
          </cell>
          <cell r="B1813" t="str">
            <v>EMILY ODERO</v>
          </cell>
        </row>
        <row r="1814">
          <cell r="A1814" t="str">
            <v>AB032AC</v>
          </cell>
          <cell r="B1814" t="str">
            <v xml:space="preserve">Linet Wetende </v>
          </cell>
        </row>
        <row r="1815">
          <cell r="A1815" t="str">
            <v>Hisa0049</v>
          </cell>
          <cell r="B1815" t="str">
            <v>Bethany Consultancy</v>
          </cell>
        </row>
        <row r="1816">
          <cell r="A1816" t="str">
            <v>AB035ZI</v>
          </cell>
          <cell r="B1816" t="str">
            <v>Pauline Adhiambo</v>
          </cell>
        </row>
        <row r="1817">
          <cell r="A1817" t="str">
            <v>AB033EF</v>
          </cell>
          <cell r="B1817" t="str">
            <v>Nimrod Biwott</v>
          </cell>
        </row>
        <row r="1818">
          <cell r="A1818" t="str">
            <v>SP3212001</v>
          </cell>
          <cell r="B1818" t="str">
            <v xml:space="preserve">Joseph Kairu </v>
          </cell>
        </row>
        <row r="1819">
          <cell r="A1819" t="str">
            <v>ABJK798</v>
          </cell>
          <cell r="B1819" t="str">
            <v xml:space="preserve">Joseph Kairu </v>
          </cell>
        </row>
        <row r="1820">
          <cell r="A1820" t="str">
            <v>AB035RA</v>
          </cell>
          <cell r="B1820" t="str">
            <v>Emma Agwaro</v>
          </cell>
        </row>
        <row r="1821">
          <cell r="A1821" t="str">
            <v>ABAN613</v>
          </cell>
          <cell r="B1821" t="str">
            <v>Ancetar Ngungu</v>
          </cell>
        </row>
        <row r="1822">
          <cell r="A1822" t="str">
            <v>ABJK582</v>
          </cell>
          <cell r="B1822" t="str">
            <v>Nduta Karanja</v>
          </cell>
        </row>
        <row r="1823">
          <cell r="A1823" t="str">
            <v>AB034UZ</v>
          </cell>
          <cell r="B1823" t="str">
            <v xml:space="preserve">Joy Karimi </v>
          </cell>
        </row>
        <row r="1824">
          <cell r="A1824" t="str">
            <v>AB033DX</v>
          </cell>
          <cell r="B1824" t="str">
            <v>Stephen Runo</v>
          </cell>
        </row>
        <row r="1825">
          <cell r="A1825" t="str">
            <v>ABEMA2X</v>
          </cell>
          <cell r="B1825" t="str">
            <v>Esther Wamutwa Mutunga</v>
          </cell>
        </row>
        <row r="1826">
          <cell r="A1826" t="str">
            <v>AB0353K</v>
          </cell>
          <cell r="B1826" t="str">
            <v>Janet Muriungi</v>
          </cell>
        </row>
        <row r="1827">
          <cell r="A1827" t="str">
            <v>AB034X1</v>
          </cell>
          <cell r="B1827" t="str">
            <v>Cynthia Karanja</v>
          </cell>
        </row>
        <row r="1828">
          <cell r="A1828" t="str">
            <v>AB035RV</v>
          </cell>
          <cell r="B1828" t="str">
            <v>Gerishon Waichua</v>
          </cell>
        </row>
        <row r="1829">
          <cell r="A1829" t="str">
            <v>AB034V8</v>
          </cell>
          <cell r="B1829" t="str">
            <v xml:space="preserve">Stephen Kinyanjui </v>
          </cell>
        </row>
        <row r="1830">
          <cell r="A1830" t="str">
            <v>ABSMBIQ</v>
          </cell>
          <cell r="B1830" t="str">
            <v>Sharron Mathews</v>
          </cell>
        </row>
        <row r="1831">
          <cell r="A1831" t="str">
            <v>AB0354K</v>
          </cell>
          <cell r="B1831" t="str">
            <v>Penina Nyaga</v>
          </cell>
        </row>
        <row r="1832">
          <cell r="A1832" t="str">
            <v>AB033DU</v>
          </cell>
          <cell r="B1832" t="str">
            <v>Benson Morwani</v>
          </cell>
        </row>
        <row r="1833">
          <cell r="A1833" t="str">
            <v>AB034V2</v>
          </cell>
          <cell r="B1833" t="str">
            <v>Eddah Karega</v>
          </cell>
        </row>
        <row r="1834">
          <cell r="A1834" t="str">
            <v>ABRA247</v>
          </cell>
          <cell r="B1834" t="str">
            <v>Richard Angwenyi</v>
          </cell>
        </row>
        <row r="1835">
          <cell r="A1835" t="str">
            <v>ABFA159</v>
          </cell>
          <cell r="B1835" t="str">
            <v>Francis Ajowi</v>
          </cell>
        </row>
        <row r="1836">
          <cell r="A1836" t="str">
            <v>AB0324X</v>
          </cell>
          <cell r="B1836" t="str">
            <v>Pauline Muthoni</v>
          </cell>
        </row>
        <row r="1837">
          <cell r="A1837" t="str">
            <v>AB030EJ</v>
          </cell>
          <cell r="B1837" t="str">
            <v>Dennis Kanu</v>
          </cell>
        </row>
        <row r="1838">
          <cell r="A1838" t="str">
            <v>AB019VW</v>
          </cell>
          <cell r="B1838" t="str">
            <v>Paul Olela</v>
          </cell>
        </row>
        <row r="1839">
          <cell r="A1839" t="str">
            <v>AB034EW</v>
          </cell>
          <cell r="B1839" t="str">
            <v>Mercy Gachuiri</v>
          </cell>
        </row>
        <row r="1840">
          <cell r="A1840" t="str">
            <v>ABZA079</v>
          </cell>
          <cell r="B1840" t="str">
            <v>Zipporah Ayoma</v>
          </cell>
        </row>
        <row r="1841">
          <cell r="A1841" t="str">
            <v>ABJK798</v>
          </cell>
          <cell r="B1841" t="str">
            <v>Joseph Kairu</v>
          </cell>
        </row>
        <row r="1842">
          <cell r="A1842" t="str">
            <v>ABTG233</v>
          </cell>
          <cell r="B1842" t="str">
            <v>Teresa Gituku</v>
          </cell>
        </row>
        <row r="1843">
          <cell r="A1843" t="str">
            <v>ABJK798</v>
          </cell>
          <cell r="B1843" t="str">
            <v>Joseph Kairu</v>
          </cell>
        </row>
        <row r="1844">
          <cell r="A1844" t="str">
            <v>AB034HW</v>
          </cell>
          <cell r="B1844" t="str">
            <v>Asman Njeru</v>
          </cell>
        </row>
        <row r="1845">
          <cell r="A1845" t="str">
            <v>Online</v>
          </cell>
          <cell r="B1845" t="str">
            <v>Online</v>
          </cell>
        </row>
        <row r="1846">
          <cell r="A1846" t="str">
            <v>HISA0061</v>
          </cell>
          <cell r="B1846" t="str">
            <v>Virginia Wambui Mbugua</v>
          </cell>
        </row>
        <row r="1847">
          <cell r="A1847" t="str">
            <v>AB035DY</v>
          </cell>
          <cell r="B1847" t="str">
            <v>HANIFA HABIB</v>
          </cell>
        </row>
        <row r="1848">
          <cell r="A1848" t="str">
            <v>AB034XP</v>
          </cell>
          <cell r="B1848" t="str">
            <v>Paul Situma</v>
          </cell>
        </row>
        <row r="1849">
          <cell r="A1849" t="str">
            <v>AB035AL</v>
          </cell>
          <cell r="B1849" t="str">
            <v>John Ngige</v>
          </cell>
        </row>
        <row r="1850">
          <cell r="A1850" t="str">
            <v>AB035JP</v>
          </cell>
          <cell r="B1850" t="str">
            <v xml:space="preserve">Antony Muthendu </v>
          </cell>
        </row>
        <row r="1851">
          <cell r="A1851" t="str">
            <v>ABLW385</v>
          </cell>
          <cell r="B1851" t="str">
            <v>Lucy Wamagata</v>
          </cell>
        </row>
        <row r="1852">
          <cell r="A1852" t="str">
            <v>AB036CO</v>
          </cell>
          <cell r="B1852" t="str">
            <v>Kevin Waswa</v>
          </cell>
        </row>
        <row r="1853">
          <cell r="A1853" t="str">
            <v>AB035Y7</v>
          </cell>
          <cell r="B1853" t="str">
            <v xml:space="preserve">Valentine Kimingichi </v>
          </cell>
        </row>
        <row r="1854">
          <cell r="A1854" t="str">
            <v>ABMO328</v>
          </cell>
          <cell r="B1854" t="str">
            <v>Mercy Ong'anda</v>
          </cell>
        </row>
        <row r="1855">
          <cell r="A1855" t="str">
            <v>AB034VI</v>
          </cell>
          <cell r="B1855" t="str">
            <v>ELISHA WAFULA</v>
          </cell>
        </row>
        <row r="1856">
          <cell r="A1856" t="str">
            <v>Hisa0064</v>
          </cell>
          <cell r="B1856" t="str">
            <v>Edith Wanjiru</v>
          </cell>
        </row>
        <row r="1857">
          <cell r="A1857" t="str">
            <v>AB023IK</v>
          </cell>
          <cell r="B1857" t="str">
            <v>BRIAN KAMAU NDUNG'U</v>
          </cell>
        </row>
        <row r="1858">
          <cell r="A1858" t="str">
            <v>Hisa0041</v>
          </cell>
          <cell r="B1858" t="str">
            <v>Kiragu Winnie</v>
          </cell>
        </row>
        <row r="1859">
          <cell r="A1859" t="str">
            <v>ABEN318</v>
          </cell>
          <cell r="B1859" t="str">
            <v>Erick Gatumu Njiru</v>
          </cell>
        </row>
        <row r="1860">
          <cell r="A1860" t="str">
            <v>AB035T5</v>
          </cell>
          <cell r="B1860" t="str">
            <v xml:space="preserve">Benson Mwangi </v>
          </cell>
        </row>
        <row r="1861">
          <cell r="A1861" t="str">
            <v>AB033EH</v>
          </cell>
          <cell r="B1861" t="str">
            <v>Lawrence Mwangi</v>
          </cell>
        </row>
        <row r="1862">
          <cell r="A1862" t="str">
            <v>AB033F9</v>
          </cell>
          <cell r="B1862" t="str">
            <v>Danson Musyoki</v>
          </cell>
        </row>
        <row r="1863">
          <cell r="A1863" t="str">
            <v>AB035AE</v>
          </cell>
          <cell r="B1863" t="str">
            <v>Chepkoech Mercy Rono</v>
          </cell>
        </row>
        <row r="1864">
          <cell r="A1864" t="str">
            <v>AB036KT</v>
          </cell>
          <cell r="B1864" t="str">
            <v>Evance Ojowi</v>
          </cell>
        </row>
        <row r="1865">
          <cell r="A1865" t="str">
            <v>AB024LD</v>
          </cell>
          <cell r="B1865" t="str">
            <v>Emily Jepchirchir</v>
          </cell>
        </row>
        <row r="1866">
          <cell r="A1866" t="str">
            <v>AB037M3</v>
          </cell>
          <cell r="B1866" t="str">
            <v>Nancy Omenyi</v>
          </cell>
        </row>
        <row r="1867">
          <cell r="A1867" t="str">
            <v>ABSK731</v>
          </cell>
          <cell r="B1867" t="str">
            <v xml:space="preserve">Sarah Kanjigi </v>
          </cell>
        </row>
        <row r="1868">
          <cell r="A1868" t="str">
            <v>ABHW184</v>
          </cell>
          <cell r="B1868" t="str">
            <v>Hannah Wanjiku</v>
          </cell>
        </row>
        <row r="1869">
          <cell r="A1869" t="str">
            <v>AB019VY</v>
          </cell>
          <cell r="B1869" t="str">
            <v>Zeituna Koech</v>
          </cell>
        </row>
        <row r="1870">
          <cell r="A1870" t="str">
            <v>AB034YN</v>
          </cell>
          <cell r="B1870" t="str">
            <v xml:space="preserve">Peter Jackson muthoka </v>
          </cell>
        </row>
        <row r="1871">
          <cell r="A1871" t="str">
            <v>ABOO043</v>
          </cell>
          <cell r="B1871" t="str">
            <v xml:space="preserve">Otieno owuor </v>
          </cell>
        </row>
        <row r="1872">
          <cell r="A1872" t="str">
            <v>AB035F9</v>
          </cell>
          <cell r="B1872" t="str">
            <v xml:space="preserve">Rose Mureithi </v>
          </cell>
        </row>
        <row r="1873">
          <cell r="A1873" t="str">
            <v>AB035ED</v>
          </cell>
          <cell r="B1873" t="str">
            <v>Viona Chalingo</v>
          </cell>
        </row>
        <row r="1874">
          <cell r="A1874" t="str">
            <v>AB0379P</v>
          </cell>
          <cell r="B1874" t="str">
            <v>Cecilia Maina</v>
          </cell>
        </row>
        <row r="1875">
          <cell r="A1875" t="str">
            <v>AB032AD</v>
          </cell>
          <cell r="B1875" t="str">
            <v xml:space="preserve">Calvince Mbara </v>
          </cell>
        </row>
        <row r="1876">
          <cell r="A1876" t="str">
            <v>AB036CI</v>
          </cell>
          <cell r="B1876" t="str">
            <v>Julius Muli</v>
          </cell>
        </row>
        <row r="1877">
          <cell r="A1877" t="str">
            <v>AB034VW</v>
          </cell>
          <cell r="B1877" t="str">
            <v xml:space="preserve">Victor Bitei </v>
          </cell>
        </row>
        <row r="1878">
          <cell r="A1878" t="str">
            <v>AB035BJ</v>
          </cell>
          <cell r="B1878" t="str">
            <v>Violet Monari</v>
          </cell>
        </row>
        <row r="1879">
          <cell r="A1879" t="str">
            <v>Hisa0030</v>
          </cell>
          <cell r="B1879" t="str">
            <v>Evelyne Grace Mwangi</v>
          </cell>
        </row>
        <row r="1880">
          <cell r="A1880" t="str">
            <v>ABJO276</v>
          </cell>
          <cell r="B1880" t="str">
            <v>Julia Anabwani</v>
          </cell>
        </row>
        <row r="1881">
          <cell r="A1881" t="str">
            <v>ABAK716</v>
          </cell>
          <cell r="B1881" t="str">
            <v>Ann Kimani</v>
          </cell>
        </row>
        <row r="1882">
          <cell r="A1882" t="str">
            <v>AB0371G</v>
          </cell>
          <cell r="B1882" t="str">
            <v>Catherine Nyambura</v>
          </cell>
        </row>
        <row r="1883">
          <cell r="A1883" t="str">
            <v>AB037OR</v>
          </cell>
          <cell r="B1883" t="str">
            <v>James Nganga</v>
          </cell>
        </row>
        <row r="1884">
          <cell r="A1884" t="str">
            <v>AB03655</v>
          </cell>
          <cell r="B1884" t="str">
            <v>Ruth Mukabana</v>
          </cell>
        </row>
        <row r="1885">
          <cell r="A1885" t="str">
            <v>HISA0055</v>
          </cell>
          <cell r="B1885" t="str">
            <v>Agnes Wanjiku Mutahi</v>
          </cell>
        </row>
        <row r="1886">
          <cell r="A1886" t="str">
            <v>AB018J6</v>
          </cell>
          <cell r="B1886" t="str">
            <v>Carolyne Mwanzo</v>
          </cell>
        </row>
        <row r="1887">
          <cell r="A1887" t="str">
            <v>ABLI024</v>
          </cell>
          <cell r="B1887" t="str">
            <v>Leonard Ingutia</v>
          </cell>
        </row>
        <row r="1888">
          <cell r="A1888" t="str">
            <v>AB0344U</v>
          </cell>
          <cell r="B1888" t="str">
            <v>Joyline Mutua</v>
          </cell>
        </row>
        <row r="1889">
          <cell r="A1889" t="str">
            <v>ABPMAMV</v>
          </cell>
          <cell r="B1889" t="str">
            <v>Peter Musee</v>
          </cell>
        </row>
        <row r="1890">
          <cell r="A1890" t="str">
            <v>AB035RC</v>
          </cell>
          <cell r="B1890" t="str">
            <v>Kiprotich Chepkwony</v>
          </cell>
        </row>
        <row r="1891">
          <cell r="A1891" t="str">
            <v>ABRJ270</v>
          </cell>
          <cell r="B1891" t="str">
            <v>Rael Jepchumba</v>
          </cell>
        </row>
        <row r="1892">
          <cell r="A1892" t="str">
            <v>AB033XO</v>
          </cell>
          <cell r="B1892" t="str">
            <v>Robert Rotich</v>
          </cell>
        </row>
        <row r="1893">
          <cell r="A1893" t="str">
            <v>AB03315</v>
          </cell>
          <cell r="B1893" t="str">
            <v>Boniface Ochieng</v>
          </cell>
        </row>
        <row r="1894">
          <cell r="A1894" t="str">
            <v>AB034VL</v>
          </cell>
          <cell r="B1894" t="str">
            <v>Bramwel Okune</v>
          </cell>
        </row>
        <row r="1895">
          <cell r="A1895" t="str">
            <v>AB033XA</v>
          </cell>
          <cell r="B1895" t="str">
            <v>Tabitha Mbindyo</v>
          </cell>
        </row>
        <row r="1896">
          <cell r="A1896" t="str">
            <v>AB0324V</v>
          </cell>
          <cell r="B1896" t="str">
            <v>Priscilla Gichugu</v>
          </cell>
        </row>
        <row r="1897">
          <cell r="A1897" t="str">
            <v>AB034WE</v>
          </cell>
          <cell r="B1897" t="str">
            <v>Peter Chege Wanjiku</v>
          </cell>
        </row>
        <row r="1898">
          <cell r="A1898" t="str">
            <v>AB034XV</v>
          </cell>
          <cell r="B1898" t="str">
            <v>Enock Kirui</v>
          </cell>
        </row>
        <row r="1899">
          <cell r="A1899" t="str">
            <v>AB0237G</v>
          </cell>
          <cell r="B1899" t="str">
            <v>Wycliffe Oginga</v>
          </cell>
        </row>
        <row r="1900">
          <cell r="A1900" t="str">
            <v>HISA0058</v>
          </cell>
          <cell r="B1900" t="str">
            <v>Susan Wanja</v>
          </cell>
        </row>
        <row r="1901">
          <cell r="A1901" t="str">
            <v>AB0364T</v>
          </cell>
          <cell r="B1901" t="str">
            <v>Eunice Mukiri</v>
          </cell>
        </row>
        <row r="1902">
          <cell r="A1902" t="str">
            <v>ABCMAC5</v>
          </cell>
          <cell r="B1902" t="str">
            <v>Charity Mwangi</v>
          </cell>
        </row>
        <row r="1903">
          <cell r="A1903" t="str">
            <v>AB035YE</v>
          </cell>
          <cell r="B1903" t="str">
            <v>Shadrack Omondi</v>
          </cell>
        </row>
        <row r="1904">
          <cell r="A1904" t="str">
            <v>ABJK812</v>
          </cell>
          <cell r="B1904" t="str">
            <v>Joyce Kabugua</v>
          </cell>
        </row>
        <row r="1905">
          <cell r="A1905" t="str">
            <v>AB024PP</v>
          </cell>
          <cell r="B1905" t="str">
            <v>Carolyne Okwany</v>
          </cell>
        </row>
        <row r="1906">
          <cell r="A1906" t="str">
            <v>AB03792</v>
          </cell>
          <cell r="B1906" t="str">
            <v>Elizabeth Masinde</v>
          </cell>
        </row>
        <row r="1907">
          <cell r="A1907" t="str">
            <v>AB034UF</v>
          </cell>
          <cell r="B1907" t="str">
            <v>Caroline Karuru</v>
          </cell>
        </row>
        <row r="1908">
          <cell r="A1908" t="str">
            <v>HISA0066</v>
          </cell>
          <cell r="B1908" t="str">
            <v>Maureen Odero</v>
          </cell>
        </row>
        <row r="1909">
          <cell r="A1909" t="str">
            <v>AB035RX</v>
          </cell>
          <cell r="B1909" t="str">
            <v>Elizabeth Mutahi</v>
          </cell>
        </row>
        <row r="1910">
          <cell r="A1910" t="str">
            <v>BB19491</v>
          </cell>
          <cell r="B1910" t="str">
            <v>Paul Gachoki</v>
          </cell>
        </row>
        <row r="1911">
          <cell r="A1911" t="str">
            <v>AB035SO</v>
          </cell>
          <cell r="B1911" t="str">
            <v>David Mukabi</v>
          </cell>
        </row>
        <row r="1912">
          <cell r="A1912" t="str">
            <v>AB03540</v>
          </cell>
          <cell r="B1912" t="str">
            <v>Gabriel Kilonzo</v>
          </cell>
        </row>
        <row r="1913">
          <cell r="A1913" t="str">
            <v>AB0364Y</v>
          </cell>
          <cell r="B1913" t="str">
            <v>Benedict Watamba</v>
          </cell>
        </row>
        <row r="1914">
          <cell r="A1914" t="str">
            <v>AB034AL</v>
          </cell>
          <cell r="B1914" t="str">
            <v>Peter Opiyo Opas</v>
          </cell>
        </row>
        <row r="1915">
          <cell r="A1915" t="str">
            <v>AB037B0</v>
          </cell>
          <cell r="B1915" t="str">
            <v>Paul Fwamba</v>
          </cell>
        </row>
        <row r="1916">
          <cell r="A1916" t="str">
            <v>ABGO115</v>
          </cell>
          <cell r="B1916" t="str">
            <v>Grace Owino</v>
          </cell>
        </row>
        <row r="1917">
          <cell r="A1917" t="str">
            <v>AB034K5</v>
          </cell>
          <cell r="B1917" t="str">
            <v>Ashley Kamuyu</v>
          </cell>
        </row>
        <row r="1918">
          <cell r="A1918" t="str">
            <v>HISA0069</v>
          </cell>
          <cell r="B1918" t="str">
            <v>James Giathi Karugu</v>
          </cell>
        </row>
        <row r="1919">
          <cell r="A1919" t="str">
            <v>AB038HC</v>
          </cell>
          <cell r="B1919" t="str">
            <v>Selestine Magayu</v>
          </cell>
        </row>
        <row r="1920">
          <cell r="A1920" t="str">
            <v>MED0001</v>
          </cell>
          <cell r="B1920" t="str">
            <v>Peninah Kariuki</v>
          </cell>
        </row>
        <row r="1921">
          <cell r="A1921" t="str">
            <v>AB0383Y</v>
          </cell>
          <cell r="B1921" t="str">
            <v>Naomi Nganga</v>
          </cell>
        </row>
        <row r="1922">
          <cell r="A1922" t="str">
            <v>AB038AJ</v>
          </cell>
          <cell r="B1922" t="str">
            <v>Anne Oduor</v>
          </cell>
        </row>
        <row r="1923">
          <cell r="A1923" t="str">
            <v>AB034WY</v>
          </cell>
          <cell r="B1923" t="str">
            <v>Elizabeth Macharia</v>
          </cell>
        </row>
        <row r="1924">
          <cell r="A1924" t="str">
            <v>WENDRA001</v>
          </cell>
          <cell r="B1924" t="str">
            <v>Beatrice Ndukui</v>
          </cell>
        </row>
        <row r="1925">
          <cell r="A1925" t="str">
            <v>AB038B4</v>
          </cell>
          <cell r="B1925" t="str">
            <v>Stephen Jara</v>
          </cell>
        </row>
        <row r="1926">
          <cell r="A1926" t="str">
            <v>ABMNA8L</v>
          </cell>
          <cell r="B1926" t="str">
            <v>Mary Njoroge</v>
          </cell>
        </row>
        <row r="1927">
          <cell r="A1927" t="str">
            <v>AB0383X</v>
          </cell>
          <cell r="B1927" t="str">
            <v>Juliet Stacy Adhiambo</v>
          </cell>
        </row>
        <row r="1928">
          <cell r="A1928" t="str">
            <v>HISA0077</v>
          </cell>
          <cell r="B1928" t="str">
            <v>Daniel Stephen Kariuki</v>
          </cell>
        </row>
        <row r="1929">
          <cell r="A1929" t="str">
            <v>HISA0076</v>
          </cell>
          <cell r="B1929" t="str">
            <v>Fouzia Nichole Rashid</v>
          </cell>
        </row>
        <row r="1930">
          <cell r="A1930" t="str">
            <v>BB18776</v>
          </cell>
          <cell r="B1930" t="str">
            <v xml:space="preserve">Mildred Otieno </v>
          </cell>
        </row>
        <row r="1931">
          <cell r="A1931" t="str">
            <v>ABPK364</v>
          </cell>
          <cell r="B1931" t="str">
            <v>Phibian Kandie </v>
          </cell>
        </row>
        <row r="1932">
          <cell r="A1932" t="str">
            <v>AB0154I</v>
          </cell>
          <cell r="B1932" t="str">
            <v>Peter Chege</v>
          </cell>
        </row>
        <row r="1933">
          <cell r="A1933" t="str">
            <v>HISA0045</v>
          </cell>
          <cell r="B1933" t="str">
            <v>Winnie Kiragu</v>
          </cell>
        </row>
        <row r="1934">
          <cell r="A1934" t="str">
            <v>AB038RV</v>
          </cell>
          <cell r="B1934" t="str">
            <v>Susan Mutuku</v>
          </cell>
        </row>
        <row r="1935">
          <cell r="A1935" t="str">
            <v>AB038AH</v>
          </cell>
          <cell r="B1935" t="str">
            <v>Elizabeth Waweru</v>
          </cell>
        </row>
        <row r="1936">
          <cell r="A1936" t="str">
            <v>AB03669</v>
          </cell>
          <cell r="B1936" t="str">
            <v>Geofrey Wakio</v>
          </cell>
        </row>
        <row r="1937">
          <cell r="A1937" t="str">
            <v>AB0356X</v>
          </cell>
          <cell r="B1937" t="str">
            <v>Stephen Daudi</v>
          </cell>
        </row>
        <row r="1938">
          <cell r="A1938" t="str">
            <v>AB03579</v>
          </cell>
          <cell r="B1938" t="str">
            <v>Eliya Masiga</v>
          </cell>
        </row>
        <row r="1939">
          <cell r="A1939" t="str">
            <v>AB03980</v>
          </cell>
          <cell r="B1939" t="str">
            <v>Leakey Mwendwa</v>
          </cell>
        </row>
        <row r="1940">
          <cell r="A1940" t="str">
            <v>HISA0059</v>
          </cell>
          <cell r="B1940" t="str">
            <v>Mbugua Caroline Njoki</v>
          </cell>
        </row>
        <row r="1941">
          <cell r="A1941" t="str">
            <v>AB039YU</v>
          </cell>
          <cell r="B1941" t="str">
            <v>Linet Angwenyi</v>
          </cell>
        </row>
        <row r="1942">
          <cell r="A1942" t="str">
            <v>AB040C0</v>
          </cell>
          <cell r="B1942" t="str">
            <v>Caroline Mugure Kabogo</v>
          </cell>
        </row>
        <row r="1943">
          <cell r="A1943" t="str">
            <v>AB0353O</v>
          </cell>
          <cell r="B1943" t="str">
            <v>Teresiah Mbuthia</v>
          </cell>
        </row>
        <row r="1944">
          <cell r="A1944" t="str">
            <v>AB0354E</v>
          </cell>
          <cell r="B1944" t="str">
            <v>Bornface Otieno</v>
          </cell>
        </row>
        <row r="1945">
          <cell r="A1945" t="str">
            <v>AB0357L</v>
          </cell>
          <cell r="B1945" t="str">
            <v>Barnabus Nzioki</v>
          </cell>
        </row>
        <row r="1946">
          <cell r="A1946" t="str">
            <v>AB0404M</v>
          </cell>
          <cell r="B1946" t="str">
            <v>Lucas Wachara</v>
          </cell>
        </row>
        <row r="1947">
          <cell r="A1947" t="str">
            <v>AB036L1</v>
          </cell>
          <cell r="B1947" t="str">
            <v>Elizabeth Muasya</v>
          </cell>
        </row>
        <row r="1948">
          <cell r="A1948" t="str">
            <v>ABFK193</v>
          </cell>
          <cell r="B1948" t="str">
            <v>Fidelis Kituu</v>
          </cell>
        </row>
        <row r="1949">
          <cell r="A1949" t="str">
            <v>AB036KY</v>
          </cell>
          <cell r="B1949" t="str">
            <v>Lynne Nkirote</v>
          </cell>
        </row>
        <row r="1950">
          <cell r="A1950" t="str">
            <v>AB036KZ</v>
          </cell>
          <cell r="B1950" t="str">
            <v>Joseph Ngwei</v>
          </cell>
        </row>
        <row r="1951">
          <cell r="A1951" t="str">
            <v>AB035AD</v>
          </cell>
          <cell r="B1951" t="str">
            <v>Joseph Mwendwa malonza</v>
          </cell>
        </row>
        <row r="1952">
          <cell r="A1952" t="str">
            <v>AB038AI</v>
          </cell>
          <cell r="B1952" t="str">
            <v>George Maina</v>
          </cell>
        </row>
        <row r="1953">
          <cell r="A1953" t="str">
            <v>AB037YH</v>
          </cell>
          <cell r="B1953" t="str">
            <v>Cynthia Nyandiko</v>
          </cell>
        </row>
        <row r="1954">
          <cell r="A1954" t="str">
            <v>AB04058</v>
          </cell>
          <cell r="B1954" t="str">
            <v>John Mboya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 Mapping v3"/>
      <sheetName val="Data Source"/>
      <sheetName val="ALAK New Business Register"/>
      <sheetName val="Cancelled"/>
      <sheetName val="Report"/>
      <sheetName val="Summary."/>
      <sheetName val="canc pvt"/>
      <sheetName val="Medical Transmittal"/>
      <sheetName val="Cancelled Policies"/>
      <sheetName val="Sheet1"/>
    </sheetNames>
    <sheetDataSet>
      <sheetData sheetId="0" refreshError="1">
        <row r="1">
          <cell r="A1" t="str">
            <v>branch_name</v>
          </cell>
          <cell r="B1" t="str">
            <v>cluster_name</v>
          </cell>
          <cell r="C1" t="str">
            <v>sales_consultant</v>
          </cell>
          <cell r="D1" t="str">
            <v>team_leader</v>
          </cell>
          <cell r="E1" t="str">
            <v>alak_rm</v>
          </cell>
        </row>
        <row r="2">
          <cell r="A2" t="str">
            <v>ABC Prestige</v>
          </cell>
          <cell r="B2" t="str">
            <v>Nairobi East</v>
          </cell>
          <cell r="C2" t="str">
            <v>Julius Mugane</v>
          </cell>
          <cell r="D2" t="str">
            <v>Julius Mugane</v>
          </cell>
          <cell r="E2" t="str">
            <v>Debrah Rashid</v>
          </cell>
        </row>
        <row r="3">
          <cell r="A3" t="str">
            <v>TMU</v>
          </cell>
          <cell r="B3" t="str">
            <v>TMU</v>
          </cell>
          <cell r="C3" t="str">
            <v>Joseph Kairu</v>
          </cell>
          <cell r="D3" t="str">
            <v>NULL</v>
          </cell>
          <cell r="E3" t="str">
            <v>Debrah Rashid</v>
          </cell>
        </row>
        <row r="4">
          <cell r="A4" t="str">
            <v>Absa Towers</v>
          </cell>
          <cell r="B4" t="str">
            <v>Nairobi West</v>
          </cell>
          <cell r="C4" t="str">
            <v>Charles Gicho</v>
          </cell>
          <cell r="D4" t="str">
            <v>Ancetar Mulili</v>
          </cell>
          <cell r="E4" t="str">
            <v>Bilha Wachira</v>
          </cell>
        </row>
        <row r="5">
          <cell r="A5" t="str">
            <v>Avon</v>
          </cell>
          <cell r="B5" t="str">
            <v>Nairobi East</v>
          </cell>
          <cell r="C5" t="str">
            <v>Nicholas Wangari</v>
          </cell>
          <cell r="D5" t="str">
            <v>Julius Mugane</v>
          </cell>
          <cell r="E5" t="str">
            <v>Debrah Rashid</v>
          </cell>
        </row>
        <row r="6">
          <cell r="A6" t="str">
            <v>Bomet</v>
          </cell>
          <cell r="B6" t="str">
            <v>Rift Valley</v>
          </cell>
          <cell r="C6" t="str">
            <v>Emily Jepchirchir</v>
          </cell>
          <cell r="D6" t="str">
            <v>Emily Jepchirchir</v>
          </cell>
          <cell r="E6" t="str">
            <v>Simon Maingi</v>
          </cell>
        </row>
        <row r="7">
          <cell r="A7" t="str">
            <v>Bungoma</v>
          </cell>
          <cell r="B7" t="str">
            <v>Western</v>
          </cell>
          <cell r="C7" t="str">
            <v>Sheila Adhiambo</v>
          </cell>
          <cell r="D7" t="str">
            <v>Sheila Adhiambo</v>
          </cell>
          <cell r="E7" t="str">
            <v>Eric Njiru</v>
          </cell>
        </row>
        <row r="8">
          <cell r="A8" t="str">
            <v>Bunyala Road</v>
          </cell>
          <cell r="B8" t="str">
            <v>Nairobi Central</v>
          </cell>
          <cell r="C8" t="str">
            <v>Zedekiah Mburu</v>
          </cell>
          <cell r="D8" t="str">
            <v>Paul Kithuka</v>
          </cell>
          <cell r="E8" t="str">
            <v>Bilha Wachira</v>
          </cell>
        </row>
        <row r="9">
          <cell r="A9" t="str">
            <v>Buruburu</v>
          </cell>
          <cell r="B9" t="str">
            <v>Nairobi Central</v>
          </cell>
          <cell r="C9" t="str">
            <v>Zedekiah Mburu</v>
          </cell>
          <cell r="D9" t="str">
            <v>Paul Kithuka</v>
          </cell>
          <cell r="E9" t="str">
            <v>Bilha Wachira</v>
          </cell>
        </row>
        <row r="10">
          <cell r="A10" t="str">
            <v>Busia</v>
          </cell>
          <cell r="B10" t="str">
            <v>Western</v>
          </cell>
          <cell r="C10" t="str">
            <v>Wycliffe Oginga</v>
          </cell>
          <cell r="D10" t="str">
            <v>Sheila Adhiambo</v>
          </cell>
          <cell r="E10" t="str">
            <v>Eric Njiru</v>
          </cell>
        </row>
        <row r="11">
          <cell r="A11" t="str">
            <v>Changamwe</v>
          </cell>
          <cell r="B11" t="str">
            <v>Coast</v>
          </cell>
          <cell r="C11" t="str">
            <v>Brian Khamadi</v>
          </cell>
          <cell r="D11" t="str">
            <v>Brian Khamadi</v>
          </cell>
          <cell r="E11" t="str">
            <v>Eric Njiru</v>
          </cell>
        </row>
        <row r="12">
          <cell r="A12" t="str">
            <v>Diani</v>
          </cell>
          <cell r="B12" t="str">
            <v>Coast</v>
          </cell>
          <cell r="C12" t="str">
            <v>Valentine Musyoka</v>
          </cell>
          <cell r="D12" t="str">
            <v>Brian Khamadi</v>
          </cell>
          <cell r="E12" t="str">
            <v>Eric Njiru</v>
          </cell>
        </row>
        <row r="13">
          <cell r="A13" t="str">
            <v>Digo Road</v>
          </cell>
          <cell r="B13" t="str">
            <v>Coast</v>
          </cell>
          <cell r="C13" t="str">
            <v>Valentine Musyoka</v>
          </cell>
          <cell r="D13" t="str">
            <v>Brian Khamadi</v>
          </cell>
          <cell r="E13" t="str">
            <v>Eric Njiru</v>
          </cell>
        </row>
        <row r="14">
          <cell r="A14" t="str">
            <v>Eastleigh</v>
          </cell>
          <cell r="B14" t="str">
            <v>Nairobi Central</v>
          </cell>
          <cell r="C14" t="str">
            <v>Zedekiah Mburu</v>
          </cell>
          <cell r="D14" t="str">
            <v>Paul Kithuka</v>
          </cell>
          <cell r="E14" t="str">
            <v>Bilha Wachira</v>
          </cell>
        </row>
        <row r="15">
          <cell r="A15" t="str">
            <v>Eldoret</v>
          </cell>
          <cell r="B15" t="str">
            <v>Rift Valley</v>
          </cell>
          <cell r="C15" t="str">
            <v>Emily Jepchirchir</v>
          </cell>
          <cell r="D15" t="str">
            <v>Emily Jepchirchir</v>
          </cell>
          <cell r="E15" t="str">
            <v>Simon Maingi</v>
          </cell>
        </row>
        <row r="16">
          <cell r="A16" t="str">
            <v>Embu</v>
          </cell>
          <cell r="B16" t="str">
            <v>Mt. Kenya</v>
          </cell>
          <cell r="C16" t="str">
            <v>Teresa Maina</v>
          </cell>
          <cell r="D16" t="str">
            <v>Nina Kifani</v>
          </cell>
          <cell r="E16" t="str">
            <v>Simon Maingi</v>
          </cell>
        </row>
        <row r="17">
          <cell r="A17" t="str">
            <v>Garissa</v>
          </cell>
          <cell r="B17" t="str">
            <v>Mt. Kenya</v>
          </cell>
          <cell r="C17" t="str">
            <v>Nina Kifani</v>
          </cell>
          <cell r="D17" t="str">
            <v>Nina Kifani</v>
          </cell>
          <cell r="E17" t="str">
            <v>Simon Maingi</v>
          </cell>
        </row>
        <row r="18">
          <cell r="A18" t="str">
            <v>Gikomba</v>
          </cell>
          <cell r="B18" t="str">
            <v>Nairobi Central</v>
          </cell>
          <cell r="C18" t="str">
            <v>Zedekiah Mburu</v>
          </cell>
          <cell r="D18" t="str">
            <v>Paul Kithuka</v>
          </cell>
          <cell r="E18" t="str">
            <v>Bilha Wachira</v>
          </cell>
        </row>
        <row r="19">
          <cell r="A19" t="str">
            <v>Gilgil</v>
          </cell>
          <cell r="B19" t="str">
            <v>Rift Valley</v>
          </cell>
          <cell r="C19" t="str">
            <v>Jane Nduta</v>
          </cell>
          <cell r="D19" t="str">
            <v>Emily Jepchirchir</v>
          </cell>
          <cell r="E19" t="str">
            <v>Simon Maingi</v>
          </cell>
        </row>
        <row r="20">
          <cell r="A20" t="str">
            <v>Githunguri</v>
          </cell>
          <cell r="B20" t="str">
            <v>Nairobi East</v>
          </cell>
          <cell r="C20" t="str">
            <v>Nicholas Wangari</v>
          </cell>
          <cell r="D20" t="str">
            <v>Julius Mugane</v>
          </cell>
          <cell r="E20" t="str">
            <v>Debrah Rashid</v>
          </cell>
        </row>
        <row r="21">
          <cell r="A21" t="str">
            <v>Harambee Prestige</v>
          </cell>
          <cell r="B21" t="str">
            <v>Nairobi East</v>
          </cell>
          <cell r="C21" t="str">
            <v>Julius Mugane</v>
          </cell>
          <cell r="D21" t="str">
            <v>Julius Mugane</v>
          </cell>
          <cell r="E21" t="str">
            <v>Debrah Rashid</v>
          </cell>
        </row>
        <row r="22">
          <cell r="A22" t="str">
            <v>Hisa</v>
          </cell>
          <cell r="B22" t="str">
            <v>Alternative Channels</v>
          </cell>
          <cell r="C22" t="str">
            <v>Selestine Magayu</v>
          </cell>
          <cell r="D22" t="str">
            <v>NULL</v>
          </cell>
          <cell r="E22" t="str">
            <v>Eric Njiru</v>
          </cell>
        </row>
        <row r="23">
          <cell r="A23" t="str">
            <v>Homabay</v>
          </cell>
          <cell r="B23" t="str">
            <v>Western</v>
          </cell>
          <cell r="C23" t="str">
            <v>Wycliffe Oginga</v>
          </cell>
          <cell r="D23" t="str">
            <v>Sheila Adhiambo</v>
          </cell>
          <cell r="E23" t="str">
            <v>Eric Njiru</v>
          </cell>
        </row>
        <row r="24">
          <cell r="A24" t="str">
            <v>Hurlingham</v>
          </cell>
          <cell r="B24" t="str">
            <v>Nairobi Central</v>
          </cell>
          <cell r="C24" t="str">
            <v>Paul Kithuka</v>
          </cell>
          <cell r="D24" t="str">
            <v>Paul Kithuka</v>
          </cell>
          <cell r="E24" t="str">
            <v>Bilha Wachira</v>
          </cell>
        </row>
        <row r="25">
          <cell r="A25" t="str">
            <v>Isiolo</v>
          </cell>
          <cell r="B25" t="str">
            <v>Mt. Kenya</v>
          </cell>
          <cell r="C25" t="str">
            <v>Morgan Mwangi</v>
          </cell>
          <cell r="D25" t="str">
            <v>Nina Kifani</v>
          </cell>
          <cell r="E25" t="str">
            <v>Simon Maingi</v>
          </cell>
        </row>
        <row r="26">
          <cell r="A26" t="str">
            <v>JKIA</v>
          </cell>
          <cell r="B26" t="str">
            <v>Nairobi West</v>
          </cell>
          <cell r="C26" t="str">
            <v>George Maina</v>
          </cell>
          <cell r="D26" t="str">
            <v>Ancetar Mulili</v>
          </cell>
          <cell r="E26" t="str">
            <v>Bilha Wachira</v>
          </cell>
        </row>
        <row r="27">
          <cell r="A27" t="str">
            <v>Juja</v>
          </cell>
          <cell r="B27" t="str">
            <v>Mt. Kenya</v>
          </cell>
          <cell r="C27" t="str">
            <v>Elizabeth Waweru</v>
          </cell>
          <cell r="D27" t="str">
            <v>NULL</v>
          </cell>
          <cell r="E27" t="str">
            <v>Simon Maingi</v>
          </cell>
        </row>
        <row r="28">
          <cell r="A28" t="str">
            <v>Kabarnet</v>
          </cell>
          <cell r="B28" t="str">
            <v>Rift Valley</v>
          </cell>
          <cell r="C28" t="str">
            <v>Hillary Muganda</v>
          </cell>
          <cell r="D28" t="str">
            <v>Emily Jepchirchir</v>
          </cell>
          <cell r="E28" t="str">
            <v>Simon Maingi</v>
          </cell>
        </row>
        <row r="29">
          <cell r="A29" t="str">
            <v>Kakamega</v>
          </cell>
          <cell r="B29" t="str">
            <v>Western</v>
          </cell>
          <cell r="C29" t="str">
            <v>Sheila Adhiambo</v>
          </cell>
          <cell r="D29" t="str">
            <v>Sheila Adhiambo</v>
          </cell>
          <cell r="E29" t="str">
            <v>Eric Njiru</v>
          </cell>
        </row>
        <row r="30">
          <cell r="A30" t="str">
            <v>Kapenguria</v>
          </cell>
          <cell r="B30" t="str">
            <v>Rift Valley</v>
          </cell>
          <cell r="C30" t="str">
            <v>Hillary Muganda</v>
          </cell>
          <cell r="D30" t="str">
            <v>Emily Jepchirchir</v>
          </cell>
          <cell r="E30" t="str">
            <v>Simon Maingi</v>
          </cell>
        </row>
        <row r="31">
          <cell r="A31" t="str">
            <v>Kapsabet</v>
          </cell>
          <cell r="B31" t="str">
            <v>Rift Valley</v>
          </cell>
          <cell r="C31" t="str">
            <v>Emily Jepchirchir</v>
          </cell>
          <cell r="D31" t="str">
            <v>Emily Jepchirchir</v>
          </cell>
          <cell r="E31" t="str">
            <v>Simon Maingi</v>
          </cell>
        </row>
        <row r="32">
          <cell r="A32" t="str">
            <v>Karatina</v>
          </cell>
          <cell r="B32" t="str">
            <v>Mt. Kenya</v>
          </cell>
          <cell r="C32" t="str">
            <v>Teresa Maina</v>
          </cell>
          <cell r="D32" t="str">
            <v>Nina Kifani</v>
          </cell>
          <cell r="E32" t="str">
            <v>Simon Maingi</v>
          </cell>
        </row>
        <row r="33">
          <cell r="A33" t="str">
            <v>Karen</v>
          </cell>
          <cell r="B33" t="str">
            <v>Nairobi West</v>
          </cell>
          <cell r="C33" t="str">
            <v>Charles Gicho</v>
          </cell>
          <cell r="D33" t="str">
            <v>Ancetar Mulili</v>
          </cell>
          <cell r="E33" t="str">
            <v>Bilha Wachira</v>
          </cell>
        </row>
        <row r="34">
          <cell r="A34" t="str">
            <v>Kariobangi</v>
          </cell>
          <cell r="B34" t="str">
            <v>Nairobi Central</v>
          </cell>
          <cell r="C34" t="str">
            <v>Paul Kithuka</v>
          </cell>
          <cell r="D34" t="str">
            <v>Paul Kithuka</v>
          </cell>
          <cell r="E34" t="str">
            <v>Bilha Wachira</v>
          </cell>
        </row>
        <row r="35">
          <cell r="A35" t="str">
            <v>Kericho</v>
          </cell>
          <cell r="B35" t="str">
            <v>Western</v>
          </cell>
          <cell r="C35" t="str">
            <v>Sheila Adhiambo</v>
          </cell>
          <cell r="D35" t="str">
            <v>Sheila Adhiambo</v>
          </cell>
          <cell r="E35" t="str">
            <v>Eric Njiru</v>
          </cell>
        </row>
        <row r="36">
          <cell r="A36" t="str">
            <v>Kerugoya</v>
          </cell>
          <cell r="B36" t="str">
            <v>Mt. Kenya</v>
          </cell>
          <cell r="C36" t="str">
            <v>Teresa Maina</v>
          </cell>
          <cell r="D36" t="str">
            <v>Nina Kifani</v>
          </cell>
          <cell r="E36" t="str">
            <v>Simon Maingi</v>
          </cell>
        </row>
        <row r="37">
          <cell r="A37" t="str">
            <v>Kikuyu</v>
          </cell>
          <cell r="B37" t="str">
            <v>Nairobi East</v>
          </cell>
          <cell r="C37" t="str">
            <v>Nicholas Wangari</v>
          </cell>
          <cell r="D37" t="str">
            <v>Julius Mugane</v>
          </cell>
          <cell r="E37" t="str">
            <v>Debrah Rashid</v>
          </cell>
        </row>
        <row r="38">
          <cell r="A38" t="str">
            <v>Kilifi</v>
          </cell>
          <cell r="B38" t="str">
            <v>Coast</v>
          </cell>
          <cell r="C38" t="str">
            <v>Brian Khamadi</v>
          </cell>
          <cell r="D38" t="str">
            <v>Brian Khamadi</v>
          </cell>
          <cell r="E38" t="str">
            <v>Eric Njiru</v>
          </cell>
        </row>
        <row r="39">
          <cell r="A39" t="str">
            <v>Kisii</v>
          </cell>
          <cell r="B39" t="str">
            <v>Western</v>
          </cell>
          <cell r="C39" t="str">
            <v>Wycliffe Oginga</v>
          </cell>
          <cell r="D39" t="str">
            <v>Sheila Adhiambo</v>
          </cell>
          <cell r="E39" t="str">
            <v>Eric Njiru</v>
          </cell>
        </row>
        <row r="40">
          <cell r="A40" t="str">
            <v>Kisumu</v>
          </cell>
          <cell r="B40" t="str">
            <v>Western</v>
          </cell>
          <cell r="C40" t="str">
            <v>Sheila Adhiambo</v>
          </cell>
          <cell r="D40" t="str">
            <v>Sheila Adhiambo</v>
          </cell>
          <cell r="E40" t="str">
            <v>Eric Njiru</v>
          </cell>
        </row>
        <row r="41">
          <cell r="A41" t="str">
            <v>Kitale</v>
          </cell>
          <cell r="B41" t="str">
            <v>Rift Valley</v>
          </cell>
          <cell r="C41" t="str">
            <v>Hillary Muganda</v>
          </cell>
          <cell r="D41" t="str">
            <v>Emily Jepchirchir</v>
          </cell>
          <cell r="E41" t="str">
            <v>Simon Maingi</v>
          </cell>
        </row>
        <row r="42">
          <cell r="A42" t="str">
            <v>Kitengela</v>
          </cell>
          <cell r="B42" t="str">
            <v>Nairobi West</v>
          </cell>
          <cell r="C42" t="str">
            <v>Charles Gicho</v>
          </cell>
          <cell r="D42" t="str">
            <v>Ancetar Mulili</v>
          </cell>
          <cell r="E42" t="str">
            <v>Bilha Wachira</v>
          </cell>
        </row>
        <row r="43">
          <cell r="A43" t="str">
            <v>Kitui</v>
          </cell>
          <cell r="B43" t="str">
            <v>Nairobi West</v>
          </cell>
          <cell r="C43" t="str">
            <v>Charles Gicho</v>
          </cell>
          <cell r="D43" t="str">
            <v>Ancetar Mulili</v>
          </cell>
          <cell r="E43" t="str">
            <v>Bilha Wachira</v>
          </cell>
        </row>
        <row r="44">
          <cell r="A44" t="str">
            <v>Lavington</v>
          </cell>
          <cell r="B44" t="str">
            <v>Nairobi East</v>
          </cell>
          <cell r="C44" t="str">
            <v>Nicholas Wangari</v>
          </cell>
          <cell r="D44" t="str">
            <v>Julius Mugane</v>
          </cell>
          <cell r="E44" t="str">
            <v>Debrah Rashid</v>
          </cell>
        </row>
        <row r="45">
          <cell r="A45" t="str">
            <v>Limuru</v>
          </cell>
          <cell r="B45" t="str">
            <v>Nairobi East</v>
          </cell>
          <cell r="C45" t="str">
            <v>Nicholas Wangari</v>
          </cell>
          <cell r="D45" t="str">
            <v>Julius Mugane</v>
          </cell>
          <cell r="E45" t="str">
            <v>Debrah Rashid</v>
          </cell>
        </row>
        <row r="46">
          <cell r="A46" t="str">
            <v>Lungalunga</v>
          </cell>
          <cell r="B46" t="str">
            <v>Nairobi West</v>
          </cell>
          <cell r="C46" t="str">
            <v>Charles Gicho</v>
          </cell>
          <cell r="D46" t="str">
            <v>Ancetar Mulili</v>
          </cell>
          <cell r="E46" t="str">
            <v>Bilha Wachira</v>
          </cell>
        </row>
        <row r="47">
          <cell r="A47" t="str">
            <v>Machakos</v>
          </cell>
          <cell r="B47" t="str">
            <v>Nairobi West</v>
          </cell>
          <cell r="C47" t="str">
            <v>George Maina</v>
          </cell>
          <cell r="D47" t="str">
            <v>Ancetar Mulili</v>
          </cell>
          <cell r="E47" t="str">
            <v>Bilha Wachira</v>
          </cell>
        </row>
        <row r="48">
          <cell r="A48" t="str">
            <v>Malindi</v>
          </cell>
          <cell r="B48" t="str">
            <v>Coast</v>
          </cell>
          <cell r="C48" t="str">
            <v>Brian Khamadi</v>
          </cell>
          <cell r="D48" t="str">
            <v>Brian Khamadi</v>
          </cell>
          <cell r="E48" t="str">
            <v>Eric Njiru</v>
          </cell>
        </row>
        <row r="49">
          <cell r="A49" t="str">
            <v>Market</v>
          </cell>
          <cell r="B49" t="str">
            <v>Nairobi Central</v>
          </cell>
          <cell r="C49" t="str">
            <v>Paul Kithuka</v>
          </cell>
          <cell r="D49" t="str">
            <v>Paul Kithuka</v>
          </cell>
          <cell r="E49" t="str">
            <v>Bilha Wachira</v>
          </cell>
        </row>
        <row r="50">
          <cell r="A50" t="str">
            <v>Maua</v>
          </cell>
          <cell r="B50" t="str">
            <v>Mt. Kenya</v>
          </cell>
          <cell r="C50" t="str">
            <v>Morgan Mwangi</v>
          </cell>
          <cell r="D50" t="str">
            <v>Nina Kifani</v>
          </cell>
          <cell r="E50" t="str">
            <v>Simon Maingi</v>
          </cell>
        </row>
        <row r="51">
          <cell r="A51" t="str">
            <v>Mbale</v>
          </cell>
          <cell r="B51" t="str">
            <v>Western</v>
          </cell>
          <cell r="C51" t="str">
            <v>Sheila Adhiambo</v>
          </cell>
          <cell r="D51" t="str">
            <v>Sheila Adhiambo</v>
          </cell>
          <cell r="E51" t="str">
            <v>Eric Njiru</v>
          </cell>
        </row>
        <row r="52">
          <cell r="A52" t="str">
            <v>Meru</v>
          </cell>
          <cell r="B52" t="str">
            <v>Mt. Kenya</v>
          </cell>
          <cell r="C52" t="str">
            <v>Nina Kifani</v>
          </cell>
          <cell r="D52" t="str">
            <v>Nina Kifani</v>
          </cell>
          <cell r="E52" t="str">
            <v>Simon Maingi</v>
          </cell>
        </row>
        <row r="53">
          <cell r="A53" t="str">
            <v>Migori</v>
          </cell>
          <cell r="B53" t="str">
            <v>Western</v>
          </cell>
          <cell r="C53" t="str">
            <v>Wycliffe Oginga</v>
          </cell>
          <cell r="D53" t="str">
            <v>Sheila Adhiambo</v>
          </cell>
          <cell r="E53" t="str">
            <v>Eric Njiru</v>
          </cell>
        </row>
        <row r="54">
          <cell r="A54" t="str">
            <v>Minet</v>
          </cell>
          <cell r="B54" t="str">
            <v>Alternative Channels</v>
          </cell>
          <cell r="C54" t="str">
            <v>Selestine Magayu</v>
          </cell>
          <cell r="D54" t="str">
            <v>NULL</v>
          </cell>
          <cell r="E54" t="str">
            <v>Eric Njiru</v>
          </cell>
        </row>
        <row r="55">
          <cell r="A55" t="str">
            <v>Moi Mombasa</v>
          </cell>
          <cell r="B55" t="str">
            <v>Coast</v>
          </cell>
          <cell r="C55" t="str">
            <v>Valentine Musyoka</v>
          </cell>
          <cell r="D55" t="str">
            <v>Brian Khamadi</v>
          </cell>
          <cell r="E55" t="str">
            <v>Eric Njiru</v>
          </cell>
        </row>
        <row r="56">
          <cell r="A56" t="str">
            <v>Muranga</v>
          </cell>
          <cell r="B56" t="str">
            <v>Mt. Kenya</v>
          </cell>
          <cell r="C56" t="str">
            <v>Elizabeth Waweru</v>
          </cell>
          <cell r="D56" t="str">
            <v>NULL</v>
          </cell>
          <cell r="E56" t="str">
            <v>Simon Maingi</v>
          </cell>
        </row>
        <row r="57">
          <cell r="A57" t="str">
            <v>Muthaiga</v>
          </cell>
          <cell r="B57" t="str">
            <v>Nairobi East</v>
          </cell>
          <cell r="C57" t="str">
            <v>Julius Mugane</v>
          </cell>
          <cell r="D57" t="str">
            <v>Julius Mugane</v>
          </cell>
          <cell r="E57" t="str">
            <v>Debrah Rashid</v>
          </cell>
        </row>
        <row r="58">
          <cell r="A58" t="str">
            <v>Nairobi West</v>
          </cell>
          <cell r="B58" t="str">
            <v>Nairobi West</v>
          </cell>
          <cell r="C58" t="str">
            <v>Charles Gicho</v>
          </cell>
          <cell r="D58" t="str">
            <v>Ancetar Mulili</v>
          </cell>
          <cell r="E58" t="str">
            <v>Bilha Wachira</v>
          </cell>
        </row>
        <row r="59">
          <cell r="A59" t="str">
            <v>Naivasha</v>
          </cell>
          <cell r="B59" t="str">
            <v>Rift Valley</v>
          </cell>
          <cell r="C59" t="str">
            <v>Jane Nduta</v>
          </cell>
          <cell r="D59" t="str">
            <v>Emily Jepchirchir</v>
          </cell>
          <cell r="E59" t="str">
            <v>Simon Maingi</v>
          </cell>
        </row>
        <row r="60">
          <cell r="A60" t="str">
            <v>Nakuru East</v>
          </cell>
          <cell r="B60" t="str">
            <v>Rift Valley</v>
          </cell>
          <cell r="C60" t="str">
            <v>Jane Nduta</v>
          </cell>
          <cell r="D60" t="str">
            <v>Emily Jepchirchir</v>
          </cell>
          <cell r="E60" t="str">
            <v>Simon Maingi</v>
          </cell>
        </row>
        <row r="61">
          <cell r="A61" t="str">
            <v>Nakuru West</v>
          </cell>
          <cell r="B61" t="str">
            <v>Rift Valley</v>
          </cell>
          <cell r="C61" t="str">
            <v>Hillary Muganda</v>
          </cell>
          <cell r="D61" t="str">
            <v>Emily Jepchirchir</v>
          </cell>
          <cell r="E61" t="str">
            <v>Simon Maingi</v>
          </cell>
        </row>
        <row r="62">
          <cell r="A62" t="str">
            <v>Nanyuki</v>
          </cell>
          <cell r="B62" t="str">
            <v>Mt. Kenya</v>
          </cell>
          <cell r="C62" t="str">
            <v>Morgan Mwangi</v>
          </cell>
          <cell r="D62" t="str">
            <v>Nina Kifani</v>
          </cell>
          <cell r="E62" t="str">
            <v>Simon Maingi</v>
          </cell>
        </row>
        <row r="63">
          <cell r="A63" t="str">
            <v>Narok</v>
          </cell>
          <cell r="B63" t="str">
            <v>Rift Valley</v>
          </cell>
          <cell r="C63" t="str">
            <v>Emily Jepchirchir</v>
          </cell>
          <cell r="D63" t="str">
            <v>Emily Jepchirchir</v>
          </cell>
          <cell r="E63" t="str">
            <v>Simon Maingi</v>
          </cell>
        </row>
        <row r="64">
          <cell r="A64" t="str">
            <v>Ngong</v>
          </cell>
          <cell r="B64" t="str">
            <v>Nairobi Central</v>
          </cell>
          <cell r="C64" t="str">
            <v>Paul Kithuka</v>
          </cell>
          <cell r="D64" t="str">
            <v>Paul Kithuka</v>
          </cell>
          <cell r="E64" t="str">
            <v>Bilha Wachira</v>
          </cell>
        </row>
        <row r="65">
          <cell r="A65" t="str">
            <v>Nkrumah Road</v>
          </cell>
          <cell r="B65" t="str">
            <v>Coast</v>
          </cell>
          <cell r="C65" t="str">
            <v>Valentine Musyoka</v>
          </cell>
          <cell r="D65" t="str">
            <v>Brian Khamadi</v>
          </cell>
          <cell r="E65" t="str">
            <v>Eric Njiru</v>
          </cell>
        </row>
        <row r="66">
          <cell r="A66" t="str">
            <v>Nyahururu</v>
          </cell>
          <cell r="B66" t="str">
            <v>Mt. Kenya</v>
          </cell>
          <cell r="C66" t="str">
            <v>Teresa Maina</v>
          </cell>
          <cell r="D66" t="str">
            <v>Nina Kifani</v>
          </cell>
          <cell r="E66" t="str">
            <v>Simon Maingi</v>
          </cell>
        </row>
        <row r="67">
          <cell r="A67" t="str">
            <v>Nyali</v>
          </cell>
          <cell r="B67" t="str">
            <v>Coast</v>
          </cell>
          <cell r="C67" t="str">
            <v>Brian Khamadi</v>
          </cell>
          <cell r="D67" t="str">
            <v>Brian Khamadi</v>
          </cell>
          <cell r="E67" t="str">
            <v>Eric Njiru</v>
          </cell>
        </row>
        <row r="68">
          <cell r="A68" t="str">
            <v>Nyeri</v>
          </cell>
          <cell r="B68" t="str">
            <v>Mt. Kenya</v>
          </cell>
          <cell r="C68" t="str">
            <v>Morgan Mwangi</v>
          </cell>
          <cell r="D68" t="str">
            <v>Nina Kifani</v>
          </cell>
          <cell r="E68" t="str">
            <v>Simon Maingi</v>
          </cell>
        </row>
        <row r="69">
          <cell r="A69" t="str">
            <v>Ongata Rongai</v>
          </cell>
          <cell r="B69" t="str">
            <v>Nairobi Central</v>
          </cell>
          <cell r="C69" t="str">
            <v>Zedekiah Mburu</v>
          </cell>
          <cell r="D69" t="str">
            <v>Paul Kithuka</v>
          </cell>
          <cell r="E69" t="str">
            <v>Bilha Wachira</v>
          </cell>
        </row>
        <row r="70">
          <cell r="A70" t="str">
            <v>Parkside Towers</v>
          </cell>
          <cell r="B70" t="str">
            <v>Nairobi West</v>
          </cell>
          <cell r="C70" t="str">
            <v>George Maina</v>
          </cell>
          <cell r="D70" t="str">
            <v>Ancetar Mulili</v>
          </cell>
          <cell r="E70" t="str">
            <v>Bilha Wachira</v>
          </cell>
        </row>
        <row r="71">
          <cell r="A71" t="str">
            <v>Queensway hse</v>
          </cell>
          <cell r="B71" t="str">
            <v>Queensway</v>
          </cell>
          <cell r="C71" t="str">
            <v>Ancetar Mulili</v>
          </cell>
          <cell r="D71" t="str">
            <v>Ancetar Mulili</v>
          </cell>
          <cell r="E71" t="str">
            <v>Bilha Wachira</v>
          </cell>
        </row>
        <row r="72">
          <cell r="A72" t="str">
            <v>River Road</v>
          </cell>
          <cell r="B72" t="str">
            <v>Nairobi West</v>
          </cell>
          <cell r="C72" t="str">
            <v>George Maina</v>
          </cell>
          <cell r="D72" t="str">
            <v>Ancetar Mulili</v>
          </cell>
          <cell r="E72" t="str">
            <v>Bilha Wachira</v>
          </cell>
        </row>
        <row r="73">
          <cell r="A73" t="str">
            <v>Ruaraka</v>
          </cell>
          <cell r="B73" t="str">
            <v>Nairobi Central</v>
          </cell>
          <cell r="C73" t="str">
            <v>Zedekiah Mburu</v>
          </cell>
          <cell r="D73" t="str">
            <v>Paul Kithuka</v>
          </cell>
          <cell r="E73" t="str">
            <v>Bilha Wachira</v>
          </cell>
        </row>
        <row r="74">
          <cell r="A74" t="str">
            <v>Sarit Prestige</v>
          </cell>
          <cell r="B74" t="str">
            <v>Premier</v>
          </cell>
          <cell r="C74" t="str">
            <v>Joseph Kairu</v>
          </cell>
          <cell r="D74" t="str">
            <v>NULL</v>
          </cell>
          <cell r="E74" t="str">
            <v>Debrah Rashid</v>
          </cell>
        </row>
        <row r="75">
          <cell r="A75" t="str">
            <v>Spertheones</v>
          </cell>
          <cell r="B75" t="str">
            <v>Alternative Channels</v>
          </cell>
          <cell r="C75" t="str">
            <v>Selestine Magayu</v>
          </cell>
          <cell r="D75" t="str">
            <v>NULL</v>
          </cell>
          <cell r="E75" t="str">
            <v>Eric Njiru</v>
          </cell>
        </row>
        <row r="76">
          <cell r="A76" t="str">
            <v>Taveta</v>
          </cell>
          <cell r="B76" t="str">
            <v>Coast</v>
          </cell>
          <cell r="C76" t="str">
            <v>Brian Khamadi</v>
          </cell>
          <cell r="D76" t="str">
            <v>Brian Khamadi</v>
          </cell>
          <cell r="E76" t="str">
            <v>Eric Njiru</v>
          </cell>
        </row>
        <row r="77">
          <cell r="A77" t="str">
            <v>Thika</v>
          </cell>
          <cell r="B77" t="str">
            <v>Mt. Kenya</v>
          </cell>
          <cell r="C77" t="str">
            <v>Nina Kifani</v>
          </cell>
          <cell r="D77" t="str">
            <v>Nina Kifani</v>
          </cell>
          <cell r="E77" t="str">
            <v>Simon Maingi</v>
          </cell>
        </row>
        <row r="78">
          <cell r="A78" t="str">
            <v>Thika Road Mall</v>
          </cell>
          <cell r="B78" t="str">
            <v>Nairobi Central</v>
          </cell>
          <cell r="C78" t="str">
            <v>Paul Kithuka</v>
          </cell>
          <cell r="D78" t="str">
            <v>Paul Kithuka</v>
          </cell>
          <cell r="E78" t="str">
            <v>Bilha Wachira</v>
          </cell>
        </row>
        <row r="79">
          <cell r="A79" t="str">
            <v>Two Rivers Mall</v>
          </cell>
          <cell r="B79" t="str">
            <v>Nairobi East</v>
          </cell>
          <cell r="C79" t="str">
            <v>Nicholas Wangari</v>
          </cell>
          <cell r="D79" t="str">
            <v>Julius Mugane</v>
          </cell>
          <cell r="E79" t="str">
            <v>Debrah Rashid</v>
          </cell>
        </row>
        <row r="80">
          <cell r="A80" t="str">
            <v>UON</v>
          </cell>
          <cell r="B80" t="str">
            <v>Nairobi East</v>
          </cell>
          <cell r="C80" t="str">
            <v>Nicholas Wangari</v>
          </cell>
          <cell r="D80" t="str">
            <v>Julius Mugane</v>
          </cell>
          <cell r="E80" t="str">
            <v>Debrah Rashid</v>
          </cell>
        </row>
        <row r="81">
          <cell r="A81" t="str">
            <v>Village Market Prestige</v>
          </cell>
          <cell r="B81" t="str">
            <v>Nairobi East</v>
          </cell>
          <cell r="C81" t="str">
            <v>Julius Mugane</v>
          </cell>
          <cell r="D81" t="str">
            <v>Julius Mugane</v>
          </cell>
          <cell r="E81" t="str">
            <v>Debrah Rashid</v>
          </cell>
        </row>
        <row r="82">
          <cell r="A82" t="str">
            <v>Voi</v>
          </cell>
          <cell r="B82" t="str">
            <v>Coast</v>
          </cell>
          <cell r="C82" t="str">
            <v>Brian Khamadi</v>
          </cell>
          <cell r="D82" t="str">
            <v>Brian Khamadi</v>
          </cell>
          <cell r="E82" t="str">
            <v>Eric Njiru</v>
          </cell>
        </row>
        <row r="83">
          <cell r="A83" t="str">
            <v>Webuye</v>
          </cell>
          <cell r="B83" t="str">
            <v>Western</v>
          </cell>
          <cell r="C83" t="str">
            <v>Wycliffe Oginga</v>
          </cell>
          <cell r="D83" t="str">
            <v>Sheila Adhiambo</v>
          </cell>
          <cell r="E83" t="str">
            <v>Eric Njiru</v>
          </cell>
        </row>
        <row r="84">
          <cell r="A84" t="str">
            <v>Westgate</v>
          </cell>
          <cell r="B84" t="str">
            <v>Nairobi East</v>
          </cell>
          <cell r="C84" t="str">
            <v>Julius Mugane</v>
          </cell>
          <cell r="D84" t="str">
            <v>Julius Mugane</v>
          </cell>
          <cell r="E84" t="str">
            <v>Debrah Rashid</v>
          </cell>
        </row>
        <row r="85">
          <cell r="A85" t="str">
            <v>Wote</v>
          </cell>
          <cell r="B85" t="str">
            <v>Nairobi West</v>
          </cell>
          <cell r="C85" t="str">
            <v>George Maina</v>
          </cell>
          <cell r="D85" t="str">
            <v>Ancetar Mulili</v>
          </cell>
          <cell r="E85" t="str">
            <v>Bilha Wachira</v>
          </cell>
        </row>
        <row r="86">
          <cell r="A86" t="str">
            <v>Yaya Prestige</v>
          </cell>
          <cell r="B86" t="str">
            <v>Nairobi East</v>
          </cell>
          <cell r="C86" t="str">
            <v>Julius Mugane</v>
          </cell>
          <cell r="D86" t="str">
            <v>Julius Mugane</v>
          </cell>
          <cell r="E86" t="str">
            <v>Debrah Rashid</v>
          </cell>
        </row>
        <row r="87">
          <cell r="A87" t="str">
            <v>Zamara</v>
          </cell>
          <cell r="B87" t="str">
            <v>Alternative Channels</v>
          </cell>
          <cell r="C87" t="str">
            <v>Selestine Magayu</v>
          </cell>
          <cell r="D87" t="str">
            <v>NULL</v>
          </cell>
          <cell r="E87" t="str">
            <v>Eric Njiru</v>
          </cell>
        </row>
        <row r="88">
          <cell r="A88" t="str">
            <v>Premier Flagship</v>
          </cell>
          <cell r="B88" t="str">
            <v>Premier</v>
          </cell>
          <cell r="C88" t="str">
            <v>Joseph Kairu</v>
          </cell>
          <cell r="D88" t="str">
            <v>NULL</v>
          </cell>
          <cell r="E88" t="str">
            <v>Debrah Rashid</v>
          </cell>
        </row>
        <row r="89">
          <cell r="A89" t="str">
            <v>Premier Sarit</v>
          </cell>
          <cell r="B89" t="str">
            <v>Premier</v>
          </cell>
          <cell r="C89" t="str">
            <v>Joseph Kairu</v>
          </cell>
          <cell r="D89" t="str">
            <v>NULL</v>
          </cell>
          <cell r="E89" t="str">
            <v>Debrah Rashid</v>
          </cell>
        </row>
        <row r="90">
          <cell r="A90" t="str">
            <v>Direct-sheila</v>
          </cell>
          <cell r="B90" t="str">
            <v>Western</v>
          </cell>
          <cell r="C90" t="str">
            <v>Sheila Adhiambo</v>
          </cell>
          <cell r="D90" t="str">
            <v>Sheila Adhiambo</v>
          </cell>
          <cell r="E90" t="str">
            <v>Eric Njiru</v>
          </cell>
        </row>
        <row r="91">
          <cell r="A91" t="str">
            <v>Direct-Nduta</v>
          </cell>
          <cell r="B91" t="str">
            <v>Rift Valley</v>
          </cell>
          <cell r="C91" t="str">
            <v>Jane Nduta</v>
          </cell>
          <cell r="D91" t="str">
            <v>Emily Jepchirchir</v>
          </cell>
          <cell r="E91" t="str">
            <v>Simon Maingi</v>
          </cell>
        </row>
        <row r="92">
          <cell r="A92" t="str">
            <v>Direct-Nicholas</v>
          </cell>
          <cell r="B92" t="str">
            <v>Nairobi West</v>
          </cell>
          <cell r="C92" t="str">
            <v>Nicholas Wangari</v>
          </cell>
          <cell r="D92" t="str">
            <v>Julius Mugane</v>
          </cell>
          <cell r="E92" t="str">
            <v>Bilha Wachira</v>
          </cell>
        </row>
        <row r="93">
          <cell r="A93" t="str">
            <v>Direct-Gicho</v>
          </cell>
          <cell r="B93" t="str">
            <v>Nairobi West</v>
          </cell>
          <cell r="C93" t="str">
            <v>Charles Gicho</v>
          </cell>
          <cell r="D93" t="str">
            <v>Ancetar Mulili</v>
          </cell>
          <cell r="E93" t="str">
            <v>Bilha Wachira</v>
          </cell>
        </row>
        <row r="94">
          <cell r="A94" t="str">
            <v>Direct-Kithuka</v>
          </cell>
          <cell r="B94" t="str">
            <v>Nairobi Central</v>
          </cell>
          <cell r="C94" t="str">
            <v>Paul Kithuka</v>
          </cell>
          <cell r="D94" t="str">
            <v>Paul Kithuka</v>
          </cell>
          <cell r="E94" t="str">
            <v>Bilha Wachira</v>
          </cell>
        </row>
        <row r="95">
          <cell r="A95" t="str">
            <v>Direct-Mugane</v>
          </cell>
          <cell r="B95" t="str">
            <v>Premier</v>
          </cell>
          <cell r="C95" t="str">
            <v>Julius Mugane</v>
          </cell>
          <cell r="D95" t="str">
            <v>Julius Mugane</v>
          </cell>
          <cell r="E95" t="str">
            <v>Debrah Rashid</v>
          </cell>
        </row>
        <row r="96">
          <cell r="A96" t="str">
            <v>Direct-Valentine</v>
          </cell>
          <cell r="B96" t="str">
            <v>Coast</v>
          </cell>
          <cell r="C96" t="str">
            <v>Valentine Musyoka</v>
          </cell>
          <cell r="D96" t="str">
            <v>Brian Khamadi</v>
          </cell>
          <cell r="E96" t="str">
            <v>Eric Njiru</v>
          </cell>
        </row>
        <row r="97">
          <cell r="A97" t="str">
            <v>Direct-Khamadi</v>
          </cell>
          <cell r="B97" t="str">
            <v>Coast</v>
          </cell>
          <cell r="C97" t="str">
            <v>Brian Khamadi</v>
          </cell>
          <cell r="D97" t="str">
            <v>Brian Khamadi</v>
          </cell>
          <cell r="E97" t="str">
            <v>Eric Njiru</v>
          </cell>
        </row>
        <row r="98">
          <cell r="A98" t="str">
            <v>Direct-Zedekiah</v>
          </cell>
          <cell r="B98" t="str">
            <v>Nairobi Central</v>
          </cell>
          <cell r="C98" t="str">
            <v>Zedekiah Mburu</v>
          </cell>
          <cell r="D98" t="str">
            <v>Paul Kithuka</v>
          </cell>
          <cell r="E98" t="str">
            <v>Bilha Wachira</v>
          </cell>
        </row>
        <row r="99">
          <cell r="A99" t="str">
            <v>Direct-Nina</v>
          </cell>
          <cell r="B99" t="str">
            <v>Mt. Kenya</v>
          </cell>
          <cell r="C99" t="str">
            <v>Nina Kifani</v>
          </cell>
          <cell r="D99" t="str">
            <v>Nina Kifani</v>
          </cell>
          <cell r="E99" t="str">
            <v>Simon Maingi</v>
          </cell>
        </row>
        <row r="100">
          <cell r="A100" t="str">
            <v>Plaza Premier</v>
          </cell>
          <cell r="B100" t="str">
            <v>Premier</v>
          </cell>
          <cell r="C100" t="str">
            <v>Joseph Kairu</v>
          </cell>
          <cell r="D100" t="str">
            <v>NULL</v>
          </cell>
          <cell r="E100" t="str">
            <v>Debrah Rashid</v>
          </cell>
        </row>
        <row r="101">
          <cell r="A101" t="str">
            <v>Medpel</v>
          </cell>
          <cell r="B101" t="str">
            <v>Nairobi Central</v>
          </cell>
          <cell r="D101" t="str">
            <v>Paul Kithuka</v>
          </cell>
          <cell r="E101" t="str">
            <v>Bilha Wachira</v>
          </cell>
        </row>
        <row r="102">
          <cell r="A102" t="str">
            <v>Noble Strides</v>
          </cell>
          <cell r="B102" t="str">
            <v>Alternative Channels</v>
          </cell>
          <cell r="C102" t="str">
            <v>Selestine Magayu</v>
          </cell>
          <cell r="D102" t="str">
            <v>NULL</v>
          </cell>
          <cell r="E102" t="str">
            <v>Eric Njiru</v>
          </cell>
        </row>
        <row r="103">
          <cell r="A103" t="str">
            <v>Mtiba</v>
          </cell>
          <cell r="B103" t="str">
            <v>Alternative Channels</v>
          </cell>
          <cell r="C103" t="str">
            <v>Selestine Magayu</v>
          </cell>
          <cell r="D103" t="str">
            <v>NULL</v>
          </cell>
          <cell r="E103" t="str">
            <v>Eric Njiru</v>
          </cell>
        </row>
        <row r="104">
          <cell r="A104" t="str">
            <v>Dawit</v>
          </cell>
          <cell r="B104" t="str">
            <v>Alternative Channels</v>
          </cell>
          <cell r="C104" t="str">
            <v>Selestine Magayu</v>
          </cell>
          <cell r="D104" t="str">
            <v>NULL</v>
          </cell>
          <cell r="E104" t="str">
            <v>Eric Njiru</v>
          </cell>
        </row>
        <row r="105">
          <cell r="A105" t="str">
            <v>Premier Westgate</v>
          </cell>
          <cell r="B105" t="str">
            <v>Premier</v>
          </cell>
          <cell r="C105" t="str">
            <v>Joseph Kairu</v>
          </cell>
          <cell r="D105" t="str">
            <v>NULL</v>
          </cell>
          <cell r="E105" t="str">
            <v>Debrah Rashid</v>
          </cell>
        </row>
        <row r="106">
          <cell r="A106" t="str">
            <v>Direct-Hillary</v>
          </cell>
          <cell r="B106" t="str">
            <v>Rift Valley</v>
          </cell>
          <cell r="C106" t="str">
            <v>Hillary Muganda</v>
          </cell>
          <cell r="D106" t="str">
            <v>Emily Jepchirchir</v>
          </cell>
          <cell r="E106" t="str">
            <v>Simon Maingi</v>
          </cell>
        </row>
        <row r="107">
          <cell r="A107" t="str">
            <v>Direct-Ancetar</v>
          </cell>
          <cell r="B107" t="str">
            <v>Queensway</v>
          </cell>
          <cell r="C107" t="str">
            <v>Ancetar Mulili</v>
          </cell>
          <cell r="D107" t="str">
            <v>Ancetar Mulili</v>
          </cell>
          <cell r="E107" t="str">
            <v>Bilha Wachira</v>
          </cell>
        </row>
        <row r="108">
          <cell r="A108" t="str">
            <v>Direct-Kairu</v>
          </cell>
          <cell r="B108" t="str">
            <v>Premier</v>
          </cell>
          <cell r="C108" t="str">
            <v>Joseph Kairu</v>
          </cell>
          <cell r="D108" t="str">
            <v>NULL</v>
          </cell>
          <cell r="E108" t="str">
            <v>Debrah Rashid</v>
          </cell>
        </row>
        <row r="109">
          <cell r="A109" t="str">
            <v>Direct-Bilha</v>
          </cell>
          <cell r="B109" t="str">
            <v>Nairobi Central</v>
          </cell>
          <cell r="C109" t="str">
            <v>Zedekiah Mburu</v>
          </cell>
          <cell r="D109" t="str">
            <v>Paul Kithuka</v>
          </cell>
          <cell r="E109" t="str">
            <v>Bilha Wachira</v>
          </cell>
        </row>
        <row r="110">
          <cell r="A110" t="str">
            <v>Direct-Morgan</v>
          </cell>
          <cell r="B110" t="str">
            <v>Mt. Kenya</v>
          </cell>
          <cell r="C110" t="str">
            <v>Morgan Mwangi</v>
          </cell>
          <cell r="D110" t="str">
            <v>Nina Kifani</v>
          </cell>
          <cell r="E110" t="str">
            <v>Simon Maingi</v>
          </cell>
        </row>
        <row r="111">
          <cell r="A111" t="str">
            <v>Rupa Mall</v>
          </cell>
          <cell r="B111" t="str">
            <v>Rift Valley</v>
          </cell>
          <cell r="C111" t="str">
            <v>Emily Jepchirchir</v>
          </cell>
          <cell r="D111" t="str">
            <v>Emily Jepchirchir</v>
          </cell>
          <cell r="E111" t="str">
            <v>Simon Maingi</v>
          </cell>
        </row>
        <row r="112">
          <cell r="A112" t="str">
            <v>Imaara</v>
          </cell>
          <cell r="B112" t="str">
            <v>Nairobi West</v>
          </cell>
          <cell r="C112" t="str">
            <v>George Maina</v>
          </cell>
          <cell r="D112" t="str">
            <v>Ancetar Mulili</v>
          </cell>
          <cell r="E112" t="str">
            <v>Bilha Wachira</v>
          </cell>
        </row>
        <row r="113">
          <cell r="A113" t="str">
            <v>BBS Mall</v>
          </cell>
          <cell r="B113" t="str">
            <v>Nairobi Central</v>
          </cell>
          <cell r="C113" t="str">
            <v>Paul Kithuka</v>
          </cell>
          <cell r="D113" t="str">
            <v>Paul Kithuka</v>
          </cell>
          <cell r="E113" t="str">
            <v>Bilha Wachira</v>
          </cell>
        </row>
        <row r="114">
          <cell r="A114" t="str">
            <v>Wendra</v>
          </cell>
          <cell r="B114" t="str">
            <v>Alternative Channels</v>
          </cell>
          <cell r="C114" t="str">
            <v>Selestine Magayu</v>
          </cell>
          <cell r="D114" t="str">
            <v>NULL</v>
          </cell>
          <cell r="E114" t="str">
            <v>Eric Njiru</v>
          </cell>
        </row>
        <row r="115">
          <cell r="A115" t="str">
            <v>Etana</v>
          </cell>
          <cell r="B115" t="str">
            <v>Alternative Channels</v>
          </cell>
          <cell r="C115" t="str">
            <v>Selestine Magayu</v>
          </cell>
          <cell r="D115" t="str">
            <v>NULL</v>
          </cell>
          <cell r="E115" t="str">
            <v>Eric Njiru</v>
          </cell>
        </row>
        <row r="116">
          <cell r="A116" t="str">
            <v>Online</v>
          </cell>
          <cell r="B116" t="str">
            <v>Alternative Channels</v>
          </cell>
          <cell r="C116" t="str">
            <v>Selestine Magayu</v>
          </cell>
          <cell r="D116" t="str">
            <v>NULL</v>
          </cell>
          <cell r="E116" t="str">
            <v>Eric Njiru</v>
          </cell>
        </row>
        <row r="117">
          <cell r="A117" t="str">
            <v>Methodist Insurance Brokers Ltd</v>
          </cell>
          <cell r="B117" t="str">
            <v>Alternative Channels</v>
          </cell>
          <cell r="C117" t="str">
            <v>Selestine Magayu</v>
          </cell>
          <cell r="D117" t="str">
            <v>NULL</v>
          </cell>
          <cell r="E117" t="str">
            <v>Eric Njiru</v>
          </cell>
        </row>
        <row r="118">
          <cell r="A118" t="str">
            <v>Direct-Mercy</v>
          </cell>
          <cell r="B118" t="str">
            <v>Alternative Channels</v>
          </cell>
          <cell r="C118" t="str">
            <v>Selestine Magayu</v>
          </cell>
          <cell r="D118" t="str">
            <v>NULL</v>
          </cell>
          <cell r="E118" t="str">
            <v>Eric Njiru</v>
          </cell>
        </row>
        <row r="119">
          <cell r="A119" t="str">
            <v>Direct-Emily</v>
          </cell>
          <cell r="B119" t="str">
            <v>Rift Valley</v>
          </cell>
          <cell r="C119" t="str">
            <v>Emily Jepchirchir</v>
          </cell>
          <cell r="D119" t="str">
            <v>Emily Jepchirchir</v>
          </cell>
          <cell r="E119" t="str">
            <v>Simon Maingi</v>
          </cell>
        </row>
        <row r="120">
          <cell r="A120" t="str">
            <v>Direct-Gatumu</v>
          </cell>
          <cell r="B120" t="str">
            <v>Alternative Channels</v>
          </cell>
          <cell r="C120" t="str">
            <v>Selestine Magayu</v>
          </cell>
          <cell r="D120" t="str">
            <v>NULL</v>
          </cell>
          <cell r="E120" t="str">
            <v>Eric Njiru</v>
          </cell>
        </row>
        <row r="121">
          <cell r="A121" t="str">
            <v>Direct-Wycliffe</v>
          </cell>
          <cell r="B121" t="str">
            <v>Western</v>
          </cell>
          <cell r="C121" t="str">
            <v>Wycliffe Oginga</v>
          </cell>
          <cell r="D121" t="str">
            <v>Sheila Adhiambo</v>
          </cell>
          <cell r="E121" t="str">
            <v>Eric Njiru</v>
          </cell>
        </row>
        <row r="122">
          <cell r="A122" t="str">
            <v>Stanbic Insurance Agency</v>
          </cell>
          <cell r="B122" t="str">
            <v>Alternative Channels</v>
          </cell>
          <cell r="C122" t="str">
            <v>Selestine Magayu</v>
          </cell>
          <cell r="D122" t="str">
            <v>NULL</v>
          </cell>
          <cell r="E122" t="str">
            <v>Eric Njiru</v>
          </cell>
        </row>
        <row r="123">
          <cell r="A123" t="str">
            <v>Direct-Magayu</v>
          </cell>
          <cell r="B123" t="str">
            <v>Alternative Channels</v>
          </cell>
          <cell r="C123" t="str">
            <v>Selestine Magayu</v>
          </cell>
          <cell r="D123" t="str">
            <v>NULL</v>
          </cell>
          <cell r="E123" t="str">
            <v>Eric Njiru</v>
          </cell>
        </row>
        <row r="124">
          <cell r="A124" t="str">
            <v>Kamakis</v>
          </cell>
          <cell r="B124" t="str">
            <v>Mt. Kenya</v>
          </cell>
          <cell r="C124" t="str">
            <v>Elizabeth Waweru</v>
          </cell>
          <cell r="D124" t="str">
            <v>NULL</v>
          </cell>
          <cell r="E124" t="str">
            <v>Simon Maingi</v>
          </cell>
        </row>
        <row r="125">
          <cell r="A125" t="str">
            <v>CLM</v>
          </cell>
          <cell r="B125" t="str">
            <v>TMU</v>
          </cell>
          <cell r="C125" t="str">
            <v>Joseph Kairu</v>
          </cell>
          <cell r="D125" t="str">
            <v>NULL</v>
          </cell>
          <cell r="E125" t="str">
            <v>Debrah Rashid</v>
          </cell>
        </row>
        <row r="126">
          <cell r="A126" t="str">
            <v>Direct-George</v>
          </cell>
          <cell r="B126" t="str">
            <v>NULL</v>
          </cell>
          <cell r="C126" t="str">
            <v>George Maina</v>
          </cell>
          <cell r="D126" t="str">
            <v>Ancetar Mulili</v>
          </cell>
          <cell r="E126" t="str">
            <v>Bilha Wachira</v>
          </cell>
        </row>
        <row r="127">
          <cell r="A127" t="str">
            <v>Direct-Teresa</v>
          </cell>
          <cell r="B127" t="str">
            <v>NULL</v>
          </cell>
          <cell r="C127" t="str">
            <v>Teresa Maina</v>
          </cell>
          <cell r="D127" t="str">
            <v>Nina Kifani</v>
          </cell>
          <cell r="E127" t="str">
            <v>Simon Maingi</v>
          </cell>
        </row>
        <row r="128">
          <cell r="A128" t="str">
            <v>Direct-Elizabeth</v>
          </cell>
          <cell r="B128" t="str">
            <v>NULL</v>
          </cell>
          <cell r="C128" t="str">
            <v>Elizabeth Waweru</v>
          </cell>
          <cell r="D128" t="str">
            <v>Nina Kifani</v>
          </cell>
          <cell r="E128" t="str">
            <v>Simon Maingi</v>
          </cell>
        </row>
        <row r="129">
          <cell r="A129" t="str">
            <v>Universal Marketing</v>
          </cell>
          <cell r="B129" t="str">
            <v>Alternative Channels</v>
          </cell>
          <cell r="C129" t="str">
            <v>Selestine Magayu</v>
          </cell>
          <cell r="D129" t="str">
            <v>NULL</v>
          </cell>
          <cell r="E129" t="str">
            <v>Eric Njiru</v>
          </cell>
        </row>
        <row r="130">
          <cell r="A130" t="str">
            <v>Diamond</v>
          </cell>
          <cell r="B130" t="str">
            <v>Alternative Channels</v>
          </cell>
          <cell r="C130" t="str">
            <v>Selestine Magayu</v>
          </cell>
          <cell r="D130" t="str">
            <v>NULL</v>
          </cell>
          <cell r="E130" t="str">
            <v>Eric Njiru</v>
          </cell>
        </row>
        <row r="131">
          <cell r="A131" t="str">
            <v>Glamazonah</v>
          </cell>
          <cell r="B131" t="str">
            <v>Alternative Channels</v>
          </cell>
          <cell r="C131" t="str">
            <v>Selestine Magayu</v>
          </cell>
          <cell r="D131" t="str">
            <v>NULL</v>
          </cell>
          <cell r="E131" t="str">
            <v>Eric Njiru</v>
          </cell>
        </row>
        <row r="132">
          <cell r="A132" t="str">
            <v>Perspective</v>
          </cell>
          <cell r="B132" t="str">
            <v>Alternative Channels</v>
          </cell>
          <cell r="C132" t="str">
            <v>Selestine Magayu</v>
          </cell>
          <cell r="D132" t="str">
            <v>NULL</v>
          </cell>
          <cell r="E132" t="str">
            <v>Eric Njiru</v>
          </cell>
        </row>
        <row r="133">
          <cell r="A133" t="str">
            <v>Hedgewell Insurance Agency</v>
          </cell>
          <cell r="B133" t="str">
            <v>Alternative Channels</v>
          </cell>
          <cell r="C133" t="str">
            <v>Selestine Magayu</v>
          </cell>
          <cell r="D133" t="str">
            <v>NULL</v>
          </cell>
          <cell r="E133" t="str">
            <v>Eric Njiru</v>
          </cell>
        </row>
        <row r="134">
          <cell r="A134" t="str">
            <v>Citra Africa Insurance</v>
          </cell>
          <cell r="B134" t="str">
            <v>Alternative Channels</v>
          </cell>
          <cell r="C134" t="str">
            <v>Selestine Magayu</v>
          </cell>
          <cell r="D134" t="str">
            <v>NULL</v>
          </cell>
          <cell r="E134" t="str">
            <v>Eric Njiru</v>
          </cell>
        </row>
        <row r="135">
          <cell r="A135" t="str">
            <v>Esipa Insurance</v>
          </cell>
          <cell r="B135" t="str">
            <v>Alternative Channels</v>
          </cell>
          <cell r="C135" t="str">
            <v>Selestine Magayu</v>
          </cell>
          <cell r="D135" t="str">
            <v>NULL</v>
          </cell>
          <cell r="E135" t="str">
            <v>Eric Njiru</v>
          </cell>
        </row>
        <row r="136">
          <cell r="A136" t="str">
            <v>Absa Towers premier</v>
          </cell>
          <cell r="B136" t="str">
            <v>Premier</v>
          </cell>
          <cell r="C136" t="str">
            <v>Joseph Kairu</v>
          </cell>
          <cell r="D136" t="str">
            <v>NULL</v>
          </cell>
          <cell r="E136" t="str">
            <v>Debrah Rashid</v>
          </cell>
        </row>
        <row r="137">
          <cell r="A137" t="str">
            <v>Super Deals Insurance Agency</v>
          </cell>
          <cell r="B137" t="str">
            <v>Alternative Channels</v>
          </cell>
          <cell r="C137" t="str">
            <v>Selestine Magayu</v>
          </cell>
          <cell r="D137" t="str">
            <v>NULL</v>
          </cell>
          <cell r="E137" t="str">
            <v>Eric Njiru</v>
          </cell>
        </row>
        <row r="138">
          <cell r="A138" t="str">
            <v>Noble Strides Insurance agency</v>
          </cell>
          <cell r="B138" t="str">
            <v>Alternative Channels</v>
          </cell>
          <cell r="C138" t="str">
            <v>Selestine Magayu</v>
          </cell>
          <cell r="D138" t="str">
            <v>NULL</v>
          </cell>
          <cell r="E138" t="str">
            <v>Eric Njiru</v>
          </cell>
        </row>
        <row r="139">
          <cell r="A139" t="str">
            <v>Tadeo Insurance agency</v>
          </cell>
          <cell r="B139" t="str">
            <v>Alternative Channels</v>
          </cell>
          <cell r="C139" t="str">
            <v>Selestine Magayu</v>
          </cell>
          <cell r="D139" t="str">
            <v>NULL</v>
          </cell>
          <cell r="E139" t="str">
            <v>Eric Njiru</v>
          </cell>
        </row>
        <row r="140">
          <cell r="A140" t="str">
            <v>Greatscope Insurance Agency</v>
          </cell>
          <cell r="B140" t="str">
            <v>Alternative Channels</v>
          </cell>
          <cell r="C140" t="str">
            <v>Selestine Magayu</v>
          </cell>
          <cell r="D140" t="str">
            <v>NULL</v>
          </cell>
          <cell r="E140" t="str">
            <v>Eric Njiru</v>
          </cell>
        </row>
        <row r="141">
          <cell r="A141" t="str">
            <v>Temanja Insurance Agency</v>
          </cell>
          <cell r="B141" t="str">
            <v>Alternative Channels</v>
          </cell>
          <cell r="C141" t="str">
            <v>Selestine Magayu</v>
          </cell>
          <cell r="D141" t="str">
            <v>NULL</v>
          </cell>
          <cell r="E141" t="str">
            <v>Eric Njiru</v>
          </cell>
        </row>
        <row r="142">
          <cell r="A142" t="str">
            <v>Dovenest</v>
          </cell>
          <cell r="B142" t="str">
            <v>Alternative Channels</v>
          </cell>
          <cell r="C142" t="str">
            <v>Selestine Magayu</v>
          </cell>
          <cell r="D142" t="str">
            <v>NULL</v>
          </cell>
          <cell r="E142" t="str">
            <v>Eric Njiru</v>
          </cell>
        </row>
        <row r="143">
          <cell r="A143" t="str">
            <v>Sedgwick</v>
          </cell>
          <cell r="B143" t="str">
            <v>Alternative Channels</v>
          </cell>
          <cell r="C143" t="str">
            <v>Selestine Magayu</v>
          </cell>
          <cell r="D143" t="str">
            <v>NULL</v>
          </cell>
          <cell r="E143" t="str">
            <v>Eric Njiru</v>
          </cell>
        </row>
        <row r="144">
          <cell r="A144" t="str">
            <v>Added 14th August 2025</v>
          </cell>
          <cell r="B144"/>
          <cell r="C144"/>
          <cell r="D144"/>
          <cell r="E144"/>
        </row>
        <row r="145">
          <cell r="A145" t="str">
            <v>branch_name</v>
          </cell>
          <cell r="B145" t="str">
            <v>cluster_name</v>
          </cell>
          <cell r="C145" t="str">
            <v>sales_consultant</v>
          </cell>
          <cell r="D145" t="str">
            <v>team_leader</v>
          </cell>
          <cell r="E145" t="str">
            <v>alak_rm</v>
          </cell>
        </row>
        <row r="146">
          <cell r="A146" t="str">
            <v>Caz Insurance Agency</v>
          </cell>
          <cell r="B146" t="str">
            <v>Alternative Channels</v>
          </cell>
          <cell r="C146" t="str">
            <v>Selestine Magayu</v>
          </cell>
          <cell r="D146" t="str">
            <v>NULL</v>
          </cell>
          <cell r="E146" t="str">
            <v>Eric Njiru</v>
          </cell>
        </row>
        <row r="147">
          <cell r="A147" t="str">
            <v>Jay Agency</v>
          </cell>
          <cell r="B147" t="str">
            <v>Alternative Channels</v>
          </cell>
          <cell r="C147" t="str">
            <v>Selestine Magayu</v>
          </cell>
          <cell r="D147" t="str">
            <v>NULL</v>
          </cell>
          <cell r="E147" t="str">
            <v>Eric Njiru</v>
          </cell>
        </row>
        <row r="148">
          <cell r="A148" t="str">
            <v>Kawangware</v>
          </cell>
          <cell r="B148" t="str">
            <v>Nairobi Central</v>
          </cell>
          <cell r="C148" t="str">
            <v>null</v>
          </cell>
          <cell r="D148" t="str">
            <v>Paul Kithuka</v>
          </cell>
          <cell r="E148" t="str">
            <v>Bilha Wachira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DBF42-69A0-4542-BF66-EE9465B7C86F}">
  <dimension ref="A1:BF7138"/>
  <sheetViews>
    <sheetView tabSelected="1" workbookViewId="0">
      <selection activeCell="H11" sqref="H11"/>
    </sheetView>
  </sheetViews>
  <sheetFormatPr defaultColWidth="8.77734375" defaultRowHeight="10.199999999999999"/>
  <cols>
    <col min="1" max="1" width="12.5546875" style="18" customWidth="1"/>
    <col min="2" max="2" width="13.5546875" style="21" customWidth="1"/>
    <col min="3" max="3" width="13" style="20" customWidth="1"/>
    <col min="4" max="4" width="10.5546875" style="18" customWidth="1"/>
    <col min="5" max="5" width="10" style="18" customWidth="1"/>
    <col min="6" max="6" width="10.21875" style="18" customWidth="1"/>
    <col min="7" max="7" width="12.33203125" style="18" customWidth="1"/>
    <col min="8" max="8" width="12.21875" style="18" customWidth="1"/>
    <col min="9" max="9" width="9.44140625" style="18" customWidth="1"/>
    <col min="10" max="10" width="9.21875" style="18" customWidth="1"/>
    <col min="11" max="11" width="21.33203125" style="18" customWidth="1"/>
    <col min="12" max="12" width="15.6640625" style="18" customWidth="1"/>
    <col min="13" max="13" width="17.109375" style="18" customWidth="1"/>
    <col min="14" max="14" width="17" style="18" customWidth="1"/>
    <col min="15" max="15" width="25" style="18" customWidth="1"/>
    <col min="16" max="16" width="18.21875" style="18" customWidth="1"/>
    <col min="17" max="18" width="9.21875" style="23" customWidth="1"/>
    <col min="19" max="19" width="15.21875" style="24" customWidth="1"/>
    <col min="20" max="20" width="17" style="24" customWidth="1"/>
    <col min="21" max="21" width="10.77734375" style="18" customWidth="1"/>
    <col min="22" max="22" width="16.21875" style="18" customWidth="1"/>
    <col min="23" max="23" width="9.21875" style="18" customWidth="1"/>
    <col min="24" max="24" width="13.21875" style="20" customWidth="1"/>
    <col min="25" max="25" width="13.77734375" style="18" customWidth="1"/>
    <col min="26" max="26" width="8.5546875" style="18" customWidth="1"/>
    <col min="27" max="27" width="22.77734375" style="18" customWidth="1"/>
    <col min="28" max="28" width="25" style="18" customWidth="1"/>
    <col min="29" max="29" width="21.77734375" style="18" customWidth="1"/>
    <col min="30" max="30" width="19.33203125" style="18" customWidth="1"/>
    <col min="31" max="31" width="21.5546875" style="18" customWidth="1"/>
    <col min="32" max="32" width="15.5546875" style="18" customWidth="1"/>
    <col min="33" max="44" width="9.21875" style="18" customWidth="1"/>
    <col min="45" max="45" width="11.33203125" style="26" bestFit="1" customWidth="1"/>
    <col min="46" max="47" width="12.77734375" style="26" customWidth="1"/>
    <col min="48" max="48" width="13.5546875" style="26" customWidth="1"/>
    <col min="49" max="49" width="13.77734375" style="24" customWidth="1"/>
    <col min="50" max="50" width="14.21875" style="18" customWidth="1"/>
    <col min="51" max="51" width="12.44140625" style="29" bestFit="1" customWidth="1"/>
    <col min="52" max="52" width="10.77734375" style="29" customWidth="1"/>
    <col min="53" max="53" width="12.5546875" style="24" customWidth="1"/>
    <col min="54" max="54" width="12.44140625" style="24" customWidth="1"/>
    <col min="55" max="55" width="13.77734375" style="24" customWidth="1"/>
    <col min="56" max="56" width="12.21875" style="24" customWidth="1"/>
    <col min="57" max="57" width="14" style="24" customWidth="1"/>
    <col min="58" max="58" width="28.77734375" style="18" bestFit="1" customWidth="1"/>
    <col min="59" max="16384" width="8.77734375" style="18"/>
  </cols>
  <sheetData>
    <row r="1" spans="1:57" s="17" customFormat="1" ht="28.2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7" t="s">
        <v>25</v>
      </c>
      <c r="AA1" s="7" t="s">
        <v>26</v>
      </c>
      <c r="AB1" s="8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9" t="s">
        <v>36</v>
      </c>
      <c r="AL1" s="9" t="s">
        <v>37</v>
      </c>
      <c r="AM1" s="4" t="s">
        <v>38</v>
      </c>
      <c r="AN1" s="9" t="s">
        <v>39</v>
      </c>
      <c r="AO1" s="4" t="s">
        <v>40</v>
      </c>
      <c r="AP1" s="9" t="s">
        <v>41</v>
      </c>
      <c r="AQ1" s="9" t="s">
        <v>42</v>
      </c>
      <c r="AR1" s="4" t="s">
        <v>43</v>
      </c>
      <c r="AS1" s="10" t="s">
        <v>44</v>
      </c>
      <c r="AT1" s="10" t="s">
        <v>45</v>
      </c>
      <c r="AU1" s="10" t="s">
        <v>46</v>
      </c>
      <c r="AV1" s="11" t="s">
        <v>47</v>
      </c>
      <c r="AW1" s="11" t="s">
        <v>48</v>
      </c>
      <c r="AX1" s="12" t="s">
        <v>49</v>
      </c>
      <c r="AY1" s="13" t="s">
        <v>50</v>
      </c>
      <c r="AZ1" s="13" t="s">
        <v>51</v>
      </c>
      <c r="BA1" s="14" t="s">
        <v>52</v>
      </c>
      <c r="BB1" s="15" t="s">
        <v>53</v>
      </c>
      <c r="BC1" s="14" t="s">
        <v>54</v>
      </c>
      <c r="BD1" s="14" t="s">
        <v>55</v>
      </c>
      <c r="BE1" s="16" t="s">
        <v>56</v>
      </c>
    </row>
    <row r="2" spans="1:57">
      <c r="A2" s="18" t="s">
        <v>57</v>
      </c>
      <c r="B2" s="19">
        <v>27196957</v>
      </c>
      <c r="C2" s="20">
        <v>46024</v>
      </c>
      <c r="D2" s="18" t="s">
        <v>58</v>
      </c>
      <c r="E2" s="18" t="s">
        <v>59</v>
      </c>
      <c r="F2" s="18" t="s">
        <v>60</v>
      </c>
      <c r="G2" s="18">
        <v>5809</v>
      </c>
      <c r="H2" s="18">
        <f>_xlfn.XLOOKUP(L2,'[1]2026 Mapping v3'!A:A,'[1]2026 Mapping v3'!F:F,0,0)</f>
        <v>60</v>
      </c>
      <c r="I2" s="18" t="b">
        <v>0</v>
      </c>
      <c r="J2" s="18" t="s">
        <v>61</v>
      </c>
      <c r="K2" s="21" t="s">
        <v>1025</v>
      </c>
      <c r="L2" s="18" t="s">
        <v>62</v>
      </c>
      <c r="M2" s="18" t="s">
        <v>63</v>
      </c>
      <c r="N2" s="18" t="s">
        <v>64</v>
      </c>
      <c r="O2" s="18" t="s">
        <v>65</v>
      </c>
      <c r="P2" s="22"/>
      <c r="Q2" s="23" t="s">
        <v>66</v>
      </c>
      <c r="R2" s="23">
        <v>18</v>
      </c>
      <c r="S2" s="24">
        <v>841750.84</v>
      </c>
      <c r="T2" s="25">
        <v>30000</v>
      </c>
      <c r="U2" s="18" t="s">
        <v>67</v>
      </c>
      <c r="V2" s="18" t="s">
        <v>68</v>
      </c>
      <c r="W2" s="18" t="s">
        <v>69</v>
      </c>
      <c r="X2" s="20">
        <v>46021</v>
      </c>
      <c r="Y2" s="18" t="s">
        <v>70</v>
      </c>
      <c r="Z2" s="18" t="s">
        <v>71</v>
      </c>
      <c r="AA2" s="18" t="s">
        <v>72</v>
      </c>
      <c r="AB2" s="18" t="s">
        <v>62</v>
      </c>
      <c r="AC2" s="18" t="s">
        <v>73</v>
      </c>
      <c r="AD2" s="18" t="s">
        <v>74</v>
      </c>
      <c r="AE2" s="18" t="s">
        <v>75</v>
      </c>
      <c r="AF2" s="18" t="s">
        <v>76</v>
      </c>
      <c r="AS2" s="26">
        <v>30000</v>
      </c>
      <c r="AW2" s="26"/>
      <c r="AX2" s="27"/>
      <c r="AY2" s="27"/>
      <c r="AZ2" s="27"/>
      <c r="BA2" s="26"/>
      <c r="BB2" s="26"/>
      <c r="BC2" s="26"/>
      <c r="BD2" s="26"/>
      <c r="BE2" s="26">
        <v>30000</v>
      </c>
    </row>
    <row r="3" spans="1:57">
      <c r="A3" s="18" t="s">
        <v>57</v>
      </c>
      <c r="B3" s="19">
        <v>27196957</v>
      </c>
      <c r="C3" s="20">
        <v>46024</v>
      </c>
      <c r="D3" s="18" t="s">
        <v>58</v>
      </c>
      <c r="E3" s="18" t="s">
        <v>59</v>
      </c>
      <c r="F3" s="18" t="s">
        <v>60</v>
      </c>
      <c r="G3" s="18">
        <v>13380</v>
      </c>
      <c r="H3" s="18">
        <f>_xlfn.XLOOKUP(L3,'[1]2026 Mapping v3'!A:A,'[1]2026 Mapping v3'!F:F,0,0)</f>
        <v>38</v>
      </c>
      <c r="I3" s="18" t="b">
        <v>0</v>
      </c>
      <c r="J3" s="18" t="s">
        <v>77</v>
      </c>
      <c r="K3" s="21" t="s">
        <v>1026</v>
      </c>
      <c r="L3" s="18" t="s">
        <v>78</v>
      </c>
      <c r="M3" s="18" t="s">
        <v>63</v>
      </c>
      <c r="N3" s="18" t="s">
        <v>64</v>
      </c>
      <c r="O3" s="18" t="s">
        <v>79</v>
      </c>
      <c r="Q3" s="23" t="s">
        <v>80</v>
      </c>
      <c r="R3" s="23">
        <v>16</v>
      </c>
      <c r="S3" s="24">
        <v>1010010</v>
      </c>
      <c r="T3" s="25">
        <v>50000</v>
      </c>
      <c r="U3" s="18" t="s">
        <v>67</v>
      </c>
      <c r="V3" s="18" t="s">
        <v>68</v>
      </c>
      <c r="W3" s="18" t="s">
        <v>69</v>
      </c>
      <c r="X3" s="20">
        <v>46021</v>
      </c>
      <c r="Y3" s="18" t="s">
        <v>81</v>
      </c>
      <c r="Z3" s="18" t="s">
        <v>71</v>
      </c>
      <c r="AA3" s="18" t="s">
        <v>82</v>
      </c>
      <c r="AB3" s="18" t="s">
        <v>83</v>
      </c>
      <c r="AC3" s="18" t="s">
        <v>84</v>
      </c>
      <c r="AD3" s="18" t="s">
        <v>85</v>
      </c>
      <c r="AE3" s="18" t="s">
        <v>86</v>
      </c>
      <c r="AF3" s="18" t="s">
        <v>87</v>
      </c>
      <c r="AS3" s="26">
        <v>50000</v>
      </c>
      <c r="AW3" s="26"/>
      <c r="AX3" s="27"/>
      <c r="AY3" s="27"/>
      <c r="AZ3" s="27"/>
      <c r="BA3" s="26"/>
      <c r="BB3" s="26"/>
      <c r="BC3" s="26"/>
      <c r="BD3" s="26"/>
      <c r="BE3" s="26">
        <v>50000</v>
      </c>
    </row>
    <row r="4" spans="1:57">
      <c r="A4" s="18" t="s">
        <v>57</v>
      </c>
      <c r="B4" s="19">
        <v>27196957</v>
      </c>
      <c r="C4" s="20">
        <v>46024</v>
      </c>
      <c r="D4" s="18" t="s">
        <v>58</v>
      </c>
      <c r="E4" s="18" t="s">
        <v>59</v>
      </c>
      <c r="F4" s="18" t="s">
        <v>60</v>
      </c>
      <c r="G4" s="18">
        <v>2004</v>
      </c>
      <c r="H4" s="18">
        <f>_xlfn.XLOOKUP(L4,'[1]2026 Mapping v3'!A:A,'[1]2026 Mapping v3'!F:F,0,0)</f>
        <v>71</v>
      </c>
      <c r="I4" s="18" t="b">
        <v>0</v>
      </c>
      <c r="J4" s="18" t="s">
        <v>88</v>
      </c>
      <c r="K4" s="21" t="s">
        <v>1027</v>
      </c>
      <c r="L4" s="18" t="s">
        <v>89</v>
      </c>
      <c r="M4" s="18" t="s">
        <v>63</v>
      </c>
      <c r="N4" s="18" t="s">
        <v>64</v>
      </c>
      <c r="O4" s="18" t="s">
        <v>90</v>
      </c>
      <c r="Q4" s="23" t="s">
        <v>80</v>
      </c>
      <c r="R4" s="23">
        <v>16</v>
      </c>
      <c r="S4" s="24">
        <v>4040400</v>
      </c>
      <c r="T4" s="25">
        <v>200000</v>
      </c>
      <c r="U4" s="18" t="s">
        <v>67</v>
      </c>
      <c r="V4" s="18" t="s">
        <v>68</v>
      </c>
      <c r="W4" s="18" t="s">
        <v>69</v>
      </c>
      <c r="X4" s="20">
        <v>46021</v>
      </c>
      <c r="Y4" s="18" t="s">
        <v>91</v>
      </c>
      <c r="Z4" s="18" t="s">
        <v>71</v>
      </c>
      <c r="AA4" s="18" t="s">
        <v>92</v>
      </c>
      <c r="AB4" s="18" t="s">
        <v>89</v>
      </c>
      <c r="AC4" s="18" t="s">
        <v>93</v>
      </c>
      <c r="AD4" s="18" t="s">
        <v>94</v>
      </c>
      <c r="AE4" s="18" t="s">
        <v>95</v>
      </c>
      <c r="AF4" s="18" t="s">
        <v>96</v>
      </c>
      <c r="AS4" s="26">
        <v>200000</v>
      </c>
      <c r="AW4" s="26"/>
      <c r="AX4" s="27"/>
      <c r="AY4" s="27"/>
      <c r="AZ4" s="27"/>
      <c r="BA4" s="26"/>
      <c r="BB4" s="26"/>
      <c r="BC4" s="26"/>
      <c r="BD4" s="26"/>
      <c r="BE4" s="26">
        <v>200000</v>
      </c>
    </row>
    <row r="5" spans="1:57">
      <c r="A5" s="18" t="s">
        <v>57</v>
      </c>
      <c r="B5" s="19">
        <v>27196957</v>
      </c>
      <c r="C5" s="20">
        <v>46024</v>
      </c>
      <c r="D5" s="18" t="s">
        <v>58</v>
      </c>
      <c r="E5" s="18" t="s">
        <v>59</v>
      </c>
      <c r="F5" s="18" t="s">
        <v>60</v>
      </c>
      <c r="G5" s="18">
        <v>2174</v>
      </c>
      <c r="H5" s="18">
        <f>_xlfn.XLOOKUP(L5,'[1]2026 Mapping v3'!A:A,'[1]2026 Mapping v3'!F:F,0,0)</f>
        <v>60</v>
      </c>
      <c r="I5" s="18" t="b">
        <v>0</v>
      </c>
      <c r="J5" s="18" t="s">
        <v>97</v>
      </c>
      <c r="K5" s="21" t="s">
        <v>1028</v>
      </c>
      <c r="L5" s="18" t="s">
        <v>62</v>
      </c>
      <c r="M5" s="18" t="s">
        <v>98</v>
      </c>
      <c r="N5" s="18" t="s">
        <v>64</v>
      </c>
      <c r="O5" s="18" t="s">
        <v>99</v>
      </c>
      <c r="Q5" s="23" t="s">
        <v>80</v>
      </c>
      <c r="R5" s="23">
        <v>5</v>
      </c>
      <c r="S5" s="24">
        <v>6300630</v>
      </c>
      <c r="T5" s="25">
        <v>1000010</v>
      </c>
      <c r="U5" s="18" t="s">
        <v>67</v>
      </c>
      <c r="V5" s="18" t="s">
        <v>68</v>
      </c>
      <c r="W5" s="18" t="s">
        <v>69</v>
      </c>
      <c r="X5" s="20">
        <v>46022</v>
      </c>
      <c r="Y5" s="18" t="s">
        <v>100</v>
      </c>
      <c r="Z5" s="18" t="s">
        <v>101</v>
      </c>
      <c r="AA5" s="18" t="s">
        <v>101</v>
      </c>
      <c r="AB5" s="18" t="s">
        <v>62</v>
      </c>
      <c r="AC5" s="18" t="s">
        <v>73</v>
      </c>
      <c r="AD5" s="18" t="s">
        <v>74</v>
      </c>
      <c r="AE5" s="18" t="s">
        <v>75</v>
      </c>
      <c r="AF5" s="18" t="s">
        <v>76</v>
      </c>
      <c r="AS5" s="26">
        <v>1000010</v>
      </c>
      <c r="AW5" s="26"/>
      <c r="AX5" s="27"/>
      <c r="AY5" s="27"/>
      <c r="AZ5" s="27"/>
      <c r="BA5" s="26"/>
      <c r="BB5" s="26"/>
      <c r="BC5" s="26"/>
      <c r="BD5" s="26"/>
      <c r="BE5" s="26">
        <v>1000010</v>
      </c>
    </row>
    <row r="6" spans="1:57">
      <c r="A6" s="18" t="s">
        <v>57</v>
      </c>
      <c r="B6" s="19">
        <v>27196957</v>
      </c>
      <c r="C6" s="20">
        <v>46024</v>
      </c>
      <c r="D6" s="18" t="s">
        <v>58</v>
      </c>
      <c r="E6" s="18" t="s">
        <v>59</v>
      </c>
      <c r="F6" s="18" t="s">
        <v>60</v>
      </c>
      <c r="G6" s="18">
        <v>2175</v>
      </c>
      <c r="H6" s="18">
        <f>_xlfn.XLOOKUP(L6,'[1]2026 Mapping v3'!A:A,'[1]2026 Mapping v3'!F:F,0,0)</f>
        <v>60</v>
      </c>
      <c r="I6" s="18" t="b">
        <v>0</v>
      </c>
      <c r="J6" s="18" t="s">
        <v>102</v>
      </c>
      <c r="K6" s="21" t="s">
        <v>1029</v>
      </c>
      <c r="L6" s="18" t="s">
        <v>62</v>
      </c>
      <c r="M6" s="18" t="s">
        <v>98</v>
      </c>
      <c r="N6" s="18" t="s">
        <v>64</v>
      </c>
      <c r="O6" s="18" t="s">
        <v>103</v>
      </c>
      <c r="Q6" s="23" t="s">
        <v>80</v>
      </c>
      <c r="R6" s="23">
        <v>5</v>
      </c>
      <c r="S6" s="24">
        <v>3150315</v>
      </c>
      <c r="T6" s="25">
        <v>500005</v>
      </c>
      <c r="U6" s="18" t="s">
        <v>67</v>
      </c>
      <c r="V6" s="18" t="s">
        <v>68</v>
      </c>
      <c r="W6" s="18" t="s">
        <v>69</v>
      </c>
      <c r="X6" s="20">
        <v>46022</v>
      </c>
      <c r="Y6" s="18" t="s">
        <v>104</v>
      </c>
      <c r="Z6" s="18" t="s">
        <v>71</v>
      </c>
      <c r="AA6" s="18" t="s">
        <v>105</v>
      </c>
      <c r="AB6" s="18" t="s">
        <v>62</v>
      </c>
      <c r="AC6" s="18" t="s">
        <v>73</v>
      </c>
      <c r="AD6" s="18" t="s">
        <v>74</v>
      </c>
      <c r="AE6" s="18" t="s">
        <v>75</v>
      </c>
      <c r="AF6" s="18" t="s">
        <v>76</v>
      </c>
      <c r="AS6" s="26">
        <v>500005</v>
      </c>
      <c r="AW6" s="26"/>
      <c r="AX6" s="27"/>
      <c r="AY6" s="27"/>
      <c r="AZ6" s="27"/>
      <c r="BA6" s="26"/>
      <c r="BB6" s="26"/>
      <c r="BC6" s="26"/>
      <c r="BD6" s="26"/>
      <c r="BE6" s="26">
        <v>500005</v>
      </c>
    </row>
    <row r="7" spans="1:57">
      <c r="A7" s="18" t="s">
        <v>57</v>
      </c>
      <c r="B7" s="19">
        <v>27196957</v>
      </c>
      <c r="C7" s="20">
        <v>46024</v>
      </c>
      <c r="D7" s="18" t="s">
        <v>58</v>
      </c>
      <c r="E7" s="18" t="s">
        <v>59</v>
      </c>
      <c r="F7" s="18" t="s">
        <v>60</v>
      </c>
      <c r="G7" s="18">
        <v>13354</v>
      </c>
      <c r="H7" s="18">
        <f>_xlfn.XLOOKUP(L7,'[1]2026 Mapping v3'!A:A,'[1]2026 Mapping v3'!F:F,0,0)</f>
        <v>14</v>
      </c>
      <c r="I7" s="18" t="b">
        <v>0</v>
      </c>
      <c r="J7" s="18" t="s">
        <v>106</v>
      </c>
      <c r="K7" s="21" t="s">
        <v>1030</v>
      </c>
      <c r="L7" s="18" t="s">
        <v>108</v>
      </c>
      <c r="M7" s="18" t="s">
        <v>63</v>
      </c>
      <c r="N7" s="18" t="s">
        <v>64</v>
      </c>
      <c r="O7" s="18" t="s">
        <v>109</v>
      </c>
      <c r="Q7" s="23" t="s">
        <v>80</v>
      </c>
      <c r="R7" s="23">
        <v>18</v>
      </c>
      <c r="S7" s="24">
        <v>1543210</v>
      </c>
      <c r="T7" s="25">
        <v>5000</v>
      </c>
      <c r="U7" s="18" t="s">
        <v>67</v>
      </c>
      <c r="V7" s="18" t="s">
        <v>110</v>
      </c>
      <c r="W7" s="18" t="s">
        <v>69</v>
      </c>
      <c r="X7" s="20">
        <v>46015</v>
      </c>
      <c r="Y7" s="18" t="s">
        <v>111</v>
      </c>
      <c r="Z7" s="18" t="s">
        <v>71</v>
      </c>
      <c r="AA7" s="18" t="s">
        <v>112</v>
      </c>
      <c r="AB7" s="18" t="s">
        <v>108</v>
      </c>
      <c r="AC7" s="18" t="s">
        <v>73</v>
      </c>
      <c r="AD7" s="18" t="s">
        <v>75</v>
      </c>
      <c r="AE7" s="18" t="s">
        <v>75</v>
      </c>
      <c r="AF7" s="18" t="s">
        <v>76</v>
      </c>
      <c r="AS7" s="26">
        <v>5000</v>
      </c>
      <c r="AW7" s="26"/>
      <c r="AX7" s="27"/>
      <c r="AY7" s="27"/>
      <c r="AZ7" s="27"/>
      <c r="BA7" s="26"/>
      <c r="BB7" s="26"/>
      <c r="BC7" s="26"/>
      <c r="BD7" s="26"/>
      <c r="BE7" s="26">
        <v>5000</v>
      </c>
    </row>
    <row r="8" spans="1:57">
      <c r="A8" s="18" t="s">
        <v>113</v>
      </c>
      <c r="B8" s="19">
        <v>27196957</v>
      </c>
      <c r="C8" s="20">
        <v>46024</v>
      </c>
      <c r="D8" s="18" t="s">
        <v>58</v>
      </c>
      <c r="E8" s="18" t="s">
        <v>59</v>
      </c>
      <c r="F8" s="18" t="s">
        <v>60</v>
      </c>
      <c r="G8" s="18">
        <v>13965</v>
      </c>
      <c r="H8" s="18">
        <f>_xlfn.XLOOKUP(L8,'[1]2026 Mapping v3'!A:A,'[1]2026 Mapping v3'!F:F,0,0)</f>
        <v>97</v>
      </c>
      <c r="I8" s="18" t="b">
        <v>0</v>
      </c>
      <c r="J8" s="18" t="s">
        <v>114</v>
      </c>
      <c r="K8" s="21" t="s">
        <v>1031</v>
      </c>
      <c r="L8" s="18" t="s">
        <v>115</v>
      </c>
      <c r="M8" s="18" t="s">
        <v>63</v>
      </c>
      <c r="N8" s="18" t="s">
        <v>64</v>
      </c>
      <c r="Q8" s="23" t="s">
        <v>80</v>
      </c>
      <c r="R8" s="23">
        <v>18</v>
      </c>
      <c r="S8" s="24">
        <v>9447130</v>
      </c>
      <c r="T8" s="25">
        <v>176000</v>
      </c>
      <c r="U8" s="18" t="s">
        <v>67</v>
      </c>
      <c r="V8" s="18" t="s">
        <v>116</v>
      </c>
      <c r="W8" s="18" t="s">
        <v>69</v>
      </c>
      <c r="X8" s="20">
        <v>46015</v>
      </c>
      <c r="Z8" s="18" t="s">
        <v>101</v>
      </c>
      <c r="AA8" s="18" t="s">
        <v>101</v>
      </c>
      <c r="AB8" s="18" t="s">
        <v>115</v>
      </c>
      <c r="AC8" s="18" t="s">
        <v>117</v>
      </c>
      <c r="AD8" s="18" t="s">
        <v>118</v>
      </c>
      <c r="AE8" s="18" t="s">
        <v>95</v>
      </c>
      <c r="AF8" s="18" t="s">
        <v>96</v>
      </c>
      <c r="AS8" s="26">
        <v>176000</v>
      </c>
      <c r="AW8" s="26"/>
      <c r="AX8" s="27"/>
      <c r="AY8" s="27"/>
      <c r="AZ8" s="27"/>
      <c r="BA8" s="26"/>
      <c r="BB8" s="26"/>
      <c r="BC8" s="26"/>
      <c r="BD8" s="26"/>
      <c r="BE8" s="26">
        <v>176000</v>
      </c>
    </row>
    <row r="9" spans="1:57">
      <c r="A9" s="18" t="s">
        <v>113</v>
      </c>
      <c r="B9" s="19">
        <v>27196957</v>
      </c>
      <c r="C9" s="20">
        <v>46024</v>
      </c>
      <c r="D9" s="18" t="s">
        <v>58</v>
      </c>
      <c r="E9" s="18" t="s">
        <v>59</v>
      </c>
      <c r="F9" s="18" t="s">
        <v>60</v>
      </c>
      <c r="G9" s="18">
        <v>4560</v>
      </c>
      <c r="H9" s="18">
        <v>21</v>
      </c>
      <c r="I9" s="18" t="b">
        <v>0</v>
      </c>
      <c r="J9" s="18" t="s">
        <v>119</v>
      </c>
      <c r="K9" s="21" t="s">
        <v>1032</v>
      </c>
      <c r="L9" s="18" t="s">
        <v>120</v>
      </c>
      <c r="M9" s="18" t="s">
        <v>63</v>
      </c>
      <c r="N9" s="18" t="s">
        <v>64</v>
      </c>
      <c r="Q9" s="23" t="s">
        <v>80</v>
      </c>
      <c r="R9" s="23">
        <v>18</v>
      </c>
      <c r="S9" s="24">
        <v>1630310</v>
      </c>
      <c r="T9" s="25">
        <v>30000</v>
      </c>
      <c r="U9" s="18" t="s">
        <v>67</v>
      </c>
      <c r="V9" s="18" t="s">
        <v>116</v>
      </c>
      <c r="W9" s="18" t="s">
        <v>69</v>
      </c>
      <c r="X9" s="20">
        <v>46380</v>
      </c>
      <c r="Y9" s="18" t="s">
        <v>121</v>
      </c>
      <c r="Z9" s="18" t="s">
        <v>122</v>
      </c>
      <c r="AA9" s="18" t="s">
        <v>123</v>
      </c>
      <c r="AB9" s="18" t="s">
        <v>120</v>
      </c>
      <c r="AC9" s="18" t="s">
        <v>124</v>
      </c>
      <c r="AD9" s="18" t="s">
        <v>123</v>
      </c>
      <c r="AE9" s="18" t="s">
        <v>125</v>
      </c>
      <c r="AF9" s="18" t="s">
        <v>87</v>
      </c>
      <c r="AS9" s="26">
        <v>30000</v>
      </c>
      <c r="AW9" s="26"/>
      <c r="AX9" s="27"/>
      <c r="AY9" s="27"/>
      <c r="AZ9" s="27"/>
      <c r="BA9" s="26"/>
      <c r="BB9" s="26"/>
      <c r="BC9" s="26"/>
      <c r="BD9" s="26"/>
      <c r="BE9" s="26">
        <v>30000</v>
      </c>
    </row>
    <row r="10" spans="1:57">
      <c r="A10" s="18" t="s">
        <v>57</v>
      </c>
      <c r="B10" s="19">
        <v>27196957</v>
      </c>
      <c r="C10" s="20">
        <v>46024</v>
      </c>
      <c r="D10" s="18" t="s">
        <v>58</v>
      </c>
      <c r="E10" s="18" t="s">
        <v>59</v>
      </c>
      <c r="F10" s="18" t="s">
        <v>60</v>
      </c>
      <c r="G10" s="18">
        <v>9865</v>
      </c>
      <c r="H10" s="18">
        <f>_xlfn.XLOOKUP(L10,'[1]2026 Mapping v3'!A:A,'[1]2026 Mapping v3'!F:F,0,0)</f>
        <v>38</v>
      </c>
      <c r="I10" s="18" t="b">
        <v>0</v>
      </c>
      <c r="J10" s="18" t="s">
        <v>126</v>
      </c>
      <c r="K10" s="21" t="s">
        <v>1033</v>
      </c>
      <c r="L10" s="18" t="s">
        <v>78</v>
      </c>
      <c r="M10" s="18" t="s">
        <v>98</v>
      </c>
      <c r="N10" s="18" t="s">
        <v>64</v>
      </c>
      <c r="O10" s="18" t="s">
        <v>127</v>
      </c>
      <c r="Q10" s="23" t="s">
        <v>80</v>
      </c>
      <c r="R10" s="23">
        <v>5</v>
      </c>
      <c r="S10" s="24">
        <v>6300630</v>
      </c>
      <c r="T10" s="28">
        <v>1000010</v>
      </c>
      <c r="U10" s="18" t="s">
        <v>67</v>
      </c>
      <c r="V10" s="18" t="s">
        <v>68</v>
      </c>
      <c r="W10" s="18" t="s">
        <v>69</v>
      </c>
      <c r="X10" s="20">
        <v>46011</v>
      </c>
      <c r="Y10" s="18" t="s">
        <v>81</v>
      </c>
      <c r="Z10" s="18" t="s">
        <v>71</v>
      </c>
      <c r="AA10" s="18" t="s">
        <v>82</v>
      </c>
      <c r="AB10" s="18" t="s">
        <v>83</v>
      </c>
      <c r="AC10" s="18" t="s">
        <v>84</v>
      </c>
      <c r="AD10" s="18" t="s">
        <v>85</v>
      </c>
      <c r="AE10" s="18" t="s">
        <v>86</v>
      </c>
      <c r="AF10" s="18" t="s">
        <v>87</v>
      </c>
      <c r="AS10" s="26">
        <v>1000010</v>
      </c>
      <c r="AT10" s="24"/>
      <c r="AU10" s="24"/>
      <c r="AV10" s="24"/>
      <c r="AX10" s="29"/>
      <c r="BE10" s="26">
        <v>1000010</v>
      </c>
    </row>
    <row r="11" spans="1:57">
      <c r="A11" s="18" t="s">
        <v>128</v>
      </c>
      <c r="B11" s="19">
        <v>27196957</v>
      </c>
      <c r="C11" s="20">
        <v>46027</v>
      </c>
      <c r="D11" s="18" t="s">
        <v>58</v>
      </c>
      <c r="E11" s="18" t="s">
        <v>59</v>
      </c>
      <c r="F11" s="18" t="s">
        <v>60</v>
      </c>
      <c r="G11" s="18">
        <v>4834</v>
      </c>
      <c r="H11" s="18">
        <f>_xlfn.XLOOKUP(L11,'[1]2026 Mapping v3'!A:A,'[1]2026 Mapping v3'!F:F,0,0)</f>
        <v>12</v>
      </c>
      <c r="I11" s="18" t="b">
        <v>0</v>
      </c>
      <c r="J11" s="18" t="s">
        <v>129</v>
      </c>
      <c r="K11" s="21" t="s">
        <v>1034</v>
      </c>
      <c r="L11" s="18" t="str">
        <f>Y11</f>
        <v>HISA001</v>
      </c>
      <c r="M11" s="18" t="s">
        <v>98</v>
      </c>
      <c r="N11" s="18" t="s">
        <v>64</v>
      </c>
      <c r="O11" s="18" t="s">
        <v>130</v>
      </c>
      <c r="Q11" s="23" t="s">
        <v>80</v>
      </c>
      <c r="R11" s="23">
        <v>5</v>
      </c>
      <c r="S11" s="24">
        <v>3465346</v>
      </c>
      <c r="T11" s="28">
        <v>50058</v>
      </c>
      <c r="U11" s="18" t="s">
        <v>67</v>
      </c>
      <c r="V11" s="18" t="s">
        <v>110</v>
      </c>
      <c r="W11" s="18" t="s">
        <v>69</v>
      </c>
      <c r="X11" s="20">
        <v>46042</v>
      </c>
      <c r="Y11" s="18" t="s">
        <v>131</v>
      </c>
      <c r="Z11" s="18" t="str">
        <f>_xlfn.XLOOKUP(Y11,'[1]Data Source'!A:A,'[1]Data Source'!E:E,"N/A",0)</f>
        <v>ALAK</v>
      </c>
      <c r="AA11" s="18" t="s">
        <v>132</v>
      </c>
      <c r="AB11" s="18" t="str">
        <f>Y11</f>
        <v>HISA001</v>
      </c>
      <c r="AC11" s="18" t="str">
        <f>_xlfn.XLOOKUP(L11,'[1]2026 Mapping v3'!A:A,'[1]2026 Mapping v3'!B:B,"Error",0)</f>
        <v>Alternative Channels</v>
      </c>
      <c r="AD11" s="18" t="str">
        <f>_xlfn.XLOOKUP(L11,'[1]2026 Mapping v3'!A:A,'[1]2026 Mapping v3'!C:C,"Error",0)</f>
        <v>Eric Njiru</v>
      </c>
      <c r="AE11" s="18" t="str">
        <f>_xlfn.XLOOKUP(L11,'[1]2026 Mapping v3'!A:A,'[1]2026 Mapping v3'!D:D,"Error",0)</f>
        <v>Eric Njiru</v>
      </c>
      <c r="AF11" s="18" t="str">
        <f>_xlfn.XLOOKUP(L11,'[1]2026 Mapping v3'!A:A,'[1]2026 Mapping v3'!E:E,"Error",0)</f>
        <v>Eric Njiru</v>
      </c>
      <c r="AS11" s="26">
        <v>50058</v>
      </c>
      <c r="AT11" s="24"/>
      <c r="AU11" s="24"/>
      <c r="AV11" s="24"/>
      <c r="AX11" s="29"/>
      <c r="BE11" s="26">
        <v>50058</v>
      </c>
    </row>
    <row r="12" spans="1:57">
      <c r="A12" s="18" t="s">
        <v>128</v>
      </c>
      <c r="B12" s="19">
        <v>27196957</v>
      </c>
      <c r="C12" s="20">
        <v>46027</v>
      </c>
      <c r="D12" s="18" t="s">
        <v>58</v>
      </c>
      <c r="E12" s="18" t="s">
        <v>59</v>
      </c>
      <c r="F12" s="18" t="s">
        <v>60</v>
      </c>
      <c r="G12" s="18">
        <v>3192</v>
      </c>
      <c r="H12" s="18">
        <f>_xlfn.XLOOKUP(L12,'[1]2026 Mapping v3'!A:A,'[1]2026 Mapping v3'!F:F,0,0)</f>
        <v>12</v>
      </c>
      <c r="I12" s="18" t="b">
        <v>0</v>
      </c>
      <c r="J12" s="18" t="s">
        <v>133</v>
      </c>
      <c r="K12" s="21" t="s">
        <v>1035</v>
      </c>
      <c r="L12" s="18" t="str">
        <f t="shared" ref="L12:L17" si="0">Y12</f>
        <v>HISA001</v>
      </c>
      <c r="M12" s="18" t="s">
        <v>98</v>
      </c>
      <c r="N12" s="18" t="s">
        <v>64</v>
      </c>
      <c r="O12" s="18" t="s">
        <v>134</v>
      </c>
      <c r="Q12" s="23" t="s">
        <v>80</v>
      </c>
      <c r="R12" s="23">
        <v>5</v>
      </c>
      <c r="S12" s="24">
        <v>10000000</v>
      </c>
      <c r="T12" s="28">
        <v>144453</v>
      </c>
      <c r="U12" s="18" t="s">
        <v>67</v>
      </c>
      <c r="V12" s="18" t="s">
        <v>110</v>
      </c>
      <c r="W12" s="18" t="s">
        <v>69</v>
      </c>
      <c r="X12" s="20">
        <v>46048</v>
      </c>
      <c r="Y12" s="18" t="s">
        <v>131</v>
      </c>
      <c r="Z12" s="18" t="str">
        <f>_xlfn.XLOOKUP(Y12,'[1]Data Source'!A:A,'[1]Data Source'!E:E,"N/A",0)</f>
        <v>ALAK</v>
      </c>
      <c r="AA12" s="18" t="s">
        <v>132</v>
      </c>
      <c r="AB12" s="18" t="str">
        <f t="shared" ref="AB12:AB17" si="1">Y12</f>
        <v>HISA001</v>
      </c>
      <c r="AC12" s="18" t="str">
        <f>_xlfn.XLOOKUP(L12,'[1]2026 Mapping v3'!A:A,'[1]2026 Mapping v3'!B:B,"Error",0)</f>
        <v>Alternative Channels</v>
      </c>
      <c r="AD12" s="18" t="str">
        <f>_xlfn.XLOOKUP(L12,'[1]2026 Mapping v3'!A:A,'[1]2026 Mapping v3'!C:C,"Error",0)</f>
        <v>Eric Njiru</v>
      </c>
      <c r="AE12" s="18" t="str">
        <f>_xlfn.XLOOKUP(L12,'[1]2026 Mapping v3'!A:A,'[1]2026 Mapping v3'!D:D,"Error",0)</f>
        <v>Eric Njiru</v>
      </c>
      <c r="AF12" s="18" t="str">
        <f>_xlfn.XLOOKUP(L12,'[1]2026 Mapping v3'!A:A,'[1]2026 Mapping v3'!E:E,"Error",0)</f>
        <v>Eric Njiru</v>
      </c>
      <c r="AS12" s="26">
        <v>144453</v>
      </c>
      <c r="AT12" s="24"/>
      <c r="AU12" s="24"/>
      <c r="AV12" s="24"/>
      <c r="AX12" s="29"/>
      <c r="BE12" s="26">
        <v>144453</v>
      </c>
    </row>
    <row r="13" spans="1:57">
      <c r="A13" s="18" t="s">
        <v>128</v>
      </c>
      <c r="B13" s="19">
        <v>27196957</v>
      </c>
      <c r="C13" s="20">
        <v>46027</v>
      </c>
      <c r="D13" s="18" t="s">
        <v>58</v>
      </c>
      <c r="E13" s="18" t="s">
        <v>59</v>
      </c>
      <c r="F13" s="18" t="s">
        <v>60</v>
      </c>
      <c r="H13" s="18">
        <f>_xlfn.XLOOKUP(L13,'[1]2026 Mapping v3'!A:A,'[1]2026 Mapping v3'!F:F,0,0)</f>
        <v>12</v>
      </c>
      <c r="I13" s="18" t="b">
        <v>0</v>
      </c>
      <c r="J13" s="18" t="s">
        <v>135</v>
      </c>
      <c r="K13" s="21" t="s">
        <v>1036</v>
      </c>
      <c r="L13" s="18" t="str">
        <f t="shared" si="0"/>
        <v>HISA001</v>
      </c>
      <c r="M13" s="18" t="s">
        <v>98</v>
      </c>
      <c r="N13" s="18" t="s">
        <v>64</v>
      </c>
      <c r="O13" s="18" t="s">
        <v>136</v>
      </c>
      <c r="Q13" s="23" t="s">
        <v>80</v>
      </c>
      <c r="R13" s="23">
        <v>18</v>
      </c>
      <c r="S13" s="24">
        <v>555555.56000000006</v>
      </c>
      <c r="T13" s="28">
        <v>2000</v>
      </c>
      <c r="U13" s="18" t="s">
        <v>67</v>
      </c>
      <c r="V13" s="18" t="s">
        <v>110</v>
      </c>
      <c r="W13" s="18" t="s">
        <v>69</v>
      </c>
      <c r="X13" s="20">
        <v>46052</v>
      </c>
      <c r="Y13" s="18" t="s">
        <v>131</v>
      </c>
      <c r="Z13" s="18" t="str">
        <f>_xlfn.XLOOKUP(Y13,'[1]Data Source'!A:A,'[1]Data Source'!E:E,"N/A",0)</f>
        <v>ALAK</v>
      </c>
      <c r="AA13" s="18" t="s">
        <v>132</v>
      </c>
      <c r="AB13" s="18" t="str">
        <f t="shared" si="1"/>
        <v>HISA001</v>
      </c>
      <c r="AC13" s="18" t="str">
        <f>_xlfn.XLOOKUP(L13,'[1]2026 Mapping v3'!A:A,'[1]2026 Mapping v3'!B:B,"Error",0)</f>
        <v>Alternative Channels</v>
      </c>
      <c r="AD13" s="18" t="str">
        <f>_xlfn.XLOOKUP(L13,'[1]2026 Mapping v3'!A:A,'[1]2026 Mapping v3'!C:C,"Error",0)</f>
        <v>Eric Njiru</v>
      </c>
      <c r="AE13" s="18" t="str">
        <f>_xlfn.XLOOKUP(L13,'[1]2026 Mapping v3'!A:A,'[1]2026 Mapping v3'!D:D,"Error",0)</f>
        <v>Eric Njiru</v>
      </c>
      <c r="AF13" s="18" t="str">
        <f>_xlfn.XLOOKUP(L13,'[1]2026 Mapping v3'!A:A,'[1]2026 Mapping v3'!E:E,"Error",0)</f>
        <v>Eric Njiru</v>
      </c>
      <c r="AS13" s="26">
        <v>2000</v>
      </c>
      <c r="AT13" s="24"/>
      <c r="AU13" s="24"/>
      <c r="AV13" s="24"/>
      <c r="AX13" s="29"/>
      <c r="BE13" s="26">
        <v>2000</v>
      </c>
    </row>
    <row r="14" spans="1:57">
      <c r="A14" s="18" t="s">
        <v>128</v>
      </c>
      <c r="B14" s="19">
        <v>27196957</v>
      </c>
      <c r="C14" s="20">
        <v>46027</v>
      </c>
      <c r="D14" s="18" t="s">
        <v>58</v>
      </c>
      <c r="E14" s="18" t="s">
        <v>59</v>
      </c>
      <c r="F14" s="18" t="s">
        <v>60</v>
      </c>
      <c r="G14" s="18">
        <v>4835</v>
      </c>
      <c r="H14" s="18">
        <f>_xlfn.XLOOKUP(L14,'[1]2026 Mapping v3'!A:A,'[1]2026 Mapping v3'!F:F,0,0)</f>
        <v>12</v>
      </c>
      <c r="I14" s="18" t="b">
        <v>0</v>
      </c>
      <c r="J14" s="18" t="s">
        <v>135</v>
      </c>
      <c r="K14" s="21" t="s">
        <v>1037</v>
      </c>
      <c r="L14" s="18" t="str">
        <f t="shared" si="0"/>
        <v>HISA001</v>
      </c>
      <c r="M14" s="18" t="s">
        <v>98</v>
      </c>
      <c r="N14" s="18" t="s">
        <v>64</v>
      </c>
      <c r="O14" s="18" t="s">
        <v>137</v>
      </c>
      <c r="Q14" s="23" t="s">
        <v>80</v>
      </c>
      <c r="R14" s="23">
        <v>10</v>
      </c>
      <c r="S14" s="24">
        <v>6646192</v>
      </c>
      <c r="T14" s="28">
        <v>50111</v>
      </c>
      <c r="U14" s="18" t="s">
        <v>67</v>
      </c>
      <c r="V14" s="18" t="s">
        <v>110</v>
      </c>
      <c r="W14" s="18" t="s">
        <v>69</v>
      </c>
      <c r="X14" s="20">
        <v>46032</v>
      </c>
      <c r="Y14" s="18" t="s">
        <v>131</v>
      </c>
      <c r="Z14" s="18" t="str">
        <f>_xlfn.XLOOKUP(Y14,'[1]Data Source'!A:A,'[1]Data Source'!E:E,"N/A",0)</f>
        <v>ALAK</v>
      </c>
      <c r="AA14" s="18" t="s">
        <v>132</v>
      </c>
      <c r="AB14" s="18" t="str">
        <f t="shared" si="1"/>
        <v>HISA001</v>
      </c>
      <c r="AC14" s="18" t="str">
        <f>_xlfn.XLOOKUP(L14,'[1]2026 Mapping v3'!A:A,'[1]2026 Mapping v3'!B:B,"Error",0)</f>
        <v>Alternative Channels</v>
      </c>
      <c r="AD14" s="18" t="str">
        <f>_xlfn.XLOOKUP(L14,'[1]2026 Mapping v3'!A:A,'[1]2026 Mapping v3'!C:C,"Error",0)</f>
        <v>Eric Njiru</v>
      </c>
      <c r="AE14" s="18" t="str">
        <f>_xlfn.XLOOKUP(L14,'[1]2026 Mapping v3'!A:A,'[1]2026 Mapping v3'!D:D,"Error",0)</f>
        <v>Eric Njiru</v>
      </c>
      <c r="AF14" s="18" t="str">
        <f>_xlfn.XLOOKUP(L14,'[1]2026 Mapping v3'!A:A,'[1]2026 Mapping v3'!E:E,"Error",0)</f>
        <v>Eric Njiru</v>
      </c>
      <c r="AS14" s="26">
        <v>50111</v>
      </c>
      <c r="AT14" s="24"/>
      <c r="AU14" s="24"/>
      <c r="AV14" s="24"/>
      <c r="AX14" s="29"/>
      <c r="BE14" s="26">
        <v>50111</v>
      </c>
    </row>
    <row r="15" spans="1:57">
      <c r="A15" s="18" t="s">
        <v>128</v>
      </c>
      <c r="B15" s="19">
        <v>27196957</v>
      </c>
      <c r="C15" s="20">
        <v>46027</v>
      </c>
      <c r="D15" s="18" t="s">
        <v>58</v>
      </c>
      <c r="E15" s="18" t="s">
        <v>59</v>
      </c>
      <c r="F15" s="18" t="s">
        <v>60</v>
      </c>
      <c r="G15" s="18">
        <v>3001</v>
      </c>
      <c r="H15" s="18">
        <f>_xlfn.XLOOKUP(L15,'[1]2026 Mapping v3'!A:A,'[1]2026 Mapping v3'!F:F,0,0)</f>
        <v>12</v>
      </c>
      <c r="I15" s="18" t="b">
        <v>0</v>
      </c>
      <c r="J15" s="18" t="s">
        <v>138</v>
      </c>
      <c r="K15" s="21" t="s">
        <v>1038</v>
      </c>
      <c r="L15" s="18" t="str">
        <f t="shared" si="0"/>
        <v>HISA001</v>
      </c>
      <c r="M15" s="18" t="s">
        <v>98</v>
      </c>
      <c r="N15" s="18" t="s">
        <v>64</v>
      </c>
      <c r="O15" s="18" t="s">
        <v>139</v>
      </c>
      <c r="Q15" s="23" t="s">
        <v>80</v>
      </c>
      <c r="R15" s="23">
        <v>10</v>
      </c>
      <c r="S15" s="24">
        <v>1329238</v>
      </c>
      <c r="T15" s="28">
        <v>10023</v>
      </c>
      <c r="U15" s="18" t="s">
        <v>67</v>
      </c>
      <c r="V15" s="18" t="s">
        <v>110</v>
      </c>
      <c r="W15" s="18" t="s">
        <v>69</v>
      </c>
      <c r="X15" s="20">
        <v>46024</v>
      </c>
      <c r="Y15" s="18" t="s">
        <v>131</v>
      </c>
      <c r="Z15" s="18" t="str">
        <f>_xlfn.XLOOKUP(Y15,'[1]Data Source'!A:A,'[1]Data Source'!E:E,"N/A",0)</f>
        <v>ALAK</v>
      </c>
      <c r="AA15" s="18" t="s">
        <v>132</v>
      </c>
      <c r="AB15" s="18" t="str">
        <f t="shared" si="1"/>
        <v>HISA001</v>
      </c>
      <c r="AC15" s="18" t="str">
        <f>_xlfn.XLOOKUP(L15,'[1]2026 Mapping v3'!A:A,'[1]2026 Mapping v3'!B:B,"Error",0)</f>
        <v>Alternative Channels</v>
      </c>
      <c r="AD15" s="18" t="str">
        <f>_xlfn.XLOOKUP(L15,'[1]2026 Mapping v3'!A:A,'[1]2026 Mapping v3'!C:C,"Error",0)</f>
        <v>Eric Njiru</v>
      </c>
      <c r="AE15" s="18" t="str">
        <f>_xlfn.XLOOKUP(L15,'[1]2026 Mapping v3'!A:A,'[1]2026 Mapping v3'!D:D,"Error",0)</f>
        <v>Eric Njiru</v>
      </c>
      <c r="AF15" s="18" t="str">
        <f>_xlfn.XLOOKUP(L15,'[1]2026 Mapping v3'!A:A,'[1]2026 Mapping v3'!E:E,"Error",0)</f>
        <v>Eric Njiru</v>
      </c>
      <c r="AS15" s="26">
        <v>10023</v>
      </c>
      <c r="AT15" s="24"/>
      <c r="AU15" s="24"/>
      <c r="AV15" s="24"/>
      <c r="AX15" s="29"/>
      <c r="BE15" s="26">
        <v>10023</v>
      </c>
    </row>
    <row r="16" spans="1:57">
      <c r="A16" s="18" t="s">
        <v>128</v>
      </c>
      <c r="B16" s="19">
        <v>27196957</v>
      </c>
      <c r="C16" s="20">
        <v>46027</v>
      </c>
      <c r="D16" s="18" t="s">
        <v>58</v>
      </c>
      <c r="E16" s="18" t="s">
        <v>59</v>
      </c>
      <c r="F16" s="18" t="s">
        <v>60</v>
      </c>
      <c r="G16" s="18">
        <v>4978</v>
      </c>
      <c r="H16" s="18">
        <f>_xlfn.XLOOKUP(L16,'[1]2026 Mapping v3'!A:A,'[1]2026 Mapping v3'!F:F,0,0)</f>
        <v>12</v>
      </c>
      <c r="I16" s="18" t="b">
        <v>0</v>
      </c>
      <c r="J16" s="18" t="s">
        <v>140</v>
      </c>
      <c r="K16" s="21" t="s">
        <v>1039</v>
      </c>
      <c r="L16" s="18" t="str">
        <f t="shared" si="0"/>
        <v>HISA001</v>
      </c>
      <c r="M16" s="18" t="s">
        <v>98</v>
      </c>
      <c r="N16" s="18" t="s">
        <v>64</v>
      </c>
      <c r="O16" s="18" t="s">
        <v>141</v>
      </c>
      <c r="Q16" s="23" t="s">
        <v>80</v>
      </c>
      <c r="R16" s="23">
        <v>6</v>
      </c>
      <c r="S16" s="24">
        <v>1278682</v>
      </c>
      <c r="T16" s="28">
        <v>15022</v>
      </c>
      <c r="U16" s="18" t="s">
        <v>67</v>
      </c>
      <c r="V16" s="18" t="s">
        <v>110</v>
      </c>
      <c r="W16" s="18" t="s">
        <v>69</v>
      </c>
      <c r="X16" s="20">
        <v>46032</v>
      </c>
      <c r="Y16" s="18" t="s">
        <v>131</v>
      </c>
      <c r="Z16" s="18" t="str">
        <f>_xlfn.XLOOKUP(Y16,'[1]Data Source'!A:A,'[1]Data Source'!E:E,"N/A",0)</f>
        <v>ALAK</v>
      </c>
      <c r="AA16" s="18" t="s">
        <v>132</v>
      </c>
      <c r="AB16" s="18" t="str">
        <f t="shared" si="1"/>
        <v>HISA001</v>
      </c>
      <c r="AC16" s="18" t="str">
        <f>_xlfn.XLOOKUP(L16,'[1]2026 Mapping v3'!A:A,'[1]2026 Mapping v3'!B:B,"Error",0)</f>
        <v>Alternative Channels</v>
      </c>
      <c r="AD16" s="18" t="str">
        <f>_xlfn.XLOOKUP(L16,'[1]2026 Mapping v3'!A:A,'[1]2026 Mapping v3'!C:C,"Error",0)</f>
        <v>Eric Njiru</v>
      </c>
      <c r="AE16" s="18" t="str">
        <f>_xlfn.XLOOKUP(L16,'[1]2026 Mapping v3'!A:A,'[1]2026 Mapping v3'!D:D,"Error",0)</f>
        <v>Eric Njiru</v>
      </c>
      <c r="AF16" s="18" t="str">
        <f>_xlfn.XLOOKUP(L16,'[1]2026 Mapping v3'!A:A,'[1]2026 Mapping v3'!E:E,"Error",0)</f>
        <v>Eric Njiru</v>
      </c>
      <c r="AS16" s="26">
        <v>15022</v>
      </c>
      <c r="AT16" s="24"/>
      <c r="AU16" s="24"/>
      <c r="AV16" s="24"/>
      <c r="AX16" s="29"/>
      <c r="BE16" s="26">
        <v>15022</v>
      </c>
    </row>
    <row r="17" spans="1:57">
      <c r="A17" s="18" t="s">
        <v>128</v>
      </c>
      <c r="B17" s="19">
        <v>27196957</v>
      </c>
      <c r="C17" s="20">
        <v>46027</v>
      </c>
      <c r="D17" s="18" t="s">
        <v>58</v>
      </c>
      <c r="E17" s="18" t="s">
        <v>59</v>
      </c>
      <c r="F17" s="18" t="s">
        <v>60</v>
      </c>
      <c r="G17" s="18">
        <v>4801</v>
      </c>
      <c r="H17" s="18">
        <f>_xlfn.XLOOKUP(L17,'[1]2026 Mapping v3'!A:A,'[1]2026 Mapping v3'!F:F,0,0)</f>
        <v>12</v>
      </c>
      <c r="I17" s="18" t="b">
        <v>0</v>
      </c>
      <c r="J17" s="18" t="s">
        <v>142</v>
      </c>
      <c r="K17" s="21" t="s">
        <v>1040</v>
      </c>
      <c r="L17" s="18" t="str">
        <f t="shared" si="0"/>
        <v>HISA0052</v>
      </c>
      <c r="M17" s="18" t="s">
        <v>98</v>
      </c>
      <c r="N17" s="18" t="s">
        <v>64</v>
      </c>
      <c r="O17" s="18" t="s">
        <v>143</v>
      </c>
      <c r="Q17" s="23" t="s">
        <v>80</v>
      </c>
      <c r="R17" s="23">
        <v>10</v>
      </c>
      <c r="S17" s="24">
        <v>1329238</v>
      </c>
      <c r="T17" s="28">
        <v>10023</v>
      </c>
      <c r="U17" s="18" t="s">
        <v>67</v>
      </c>
      <c r="V17" s="18" t="s">
        <v>110</v>
      </c>
      <c r="W17" s="18" t="s">
        <v>69</v>
      </c>
      <c r="X17" s="20">
        <v>46042</v>
      </c>
      <c r="Y17" s="18" t="s">
        <v>144</v>
      </c>
      <c r="Z17" s="18" t="str">
        <f>_xlfn.XLOOKUP(Y17,'[1]Data Source'!A:A,'[1]Data Source'!E:E,"N/A",0)</f>
        <v>ALAK</v>
      </c>
      <c r="AA17" s="18" t="s">
        <v>101</v>
      </c>
      <c r="AB17" s="18" t="str">
        <f t="shared" si="1"/>
        <v>HISA0052</v>
      </c>
      <c r="AC17" s="18" t="str">
        <f>_xlfn.XLOOKUP(L17,'[1]2026 Mapping v3'!A:A,'[1]2026 Mapping v3'!B:B,"Error",0)</f>
        <v>Alternative Channels</v>
      </c>
      <c r="AD17" s="18" t="str">
        <f>_xlfn.XLOOKUP(L17,'[1]2026 Mapping v3'!A:A,'[1]2026 Mapping v3'!C:C,"Error",0)</f>
        <v>Selestine Magayu</v>
      </c>
      <c r="AE17" s="18" t="str">
        <f>_xlfn.XLOOKUP(L17,'[1]2026 Mapping v3'!A:A,'[1]2026 Mapping v3'!D:D,"Error",0)</f>
        <v>Eric Njiru</v>
      </c>
      <c r="AF17" s="18" t="str">
        <f>_xlfn.XLOOKUP(L17,'[1]2026 Mapping v3'!A:A,'[1]2026 Mapping v3'!E:E,"Error",0)</f>
        <v>Eric Njiru</v>
      </c>
      <c r="AS17" s="26">
        <v>10023</v>
      </c>
      <c r="AT17" s="24"/>
      <c r="AU17" s="24"/>
      <c r="AV17" s="24"/>
      <c r="AX17" s="29"/>
      <c r="BE17" s="26">
        <v>10023</v>
      </c>
    </row>
    <row r="18" spans="1:57">
      <c r="A18" s="18" t="s">
        <v>145</v>
      </c>
      <c r="B18" s="19">
        <v>27196957</v>
      </c>
      <c r="C18" s="20">
        <v>46027</v>
      </c>
      <c r="D18" s="18" t="s">
        <v>58</v>
      </c>
      <c r="E18" s="18" t="s">
        <v>59</v>
      </c>
      <c r="F18" s="18" t="s">
        <v>60</v>
      </c>
      <c r="G18" s="18" t="s">
        <v>146</v>
      </c>
      <c r="H18" s="18">
        <f>_xlfn.XLOOKUP(L18,'[1]2026 Mapping v3'!A:A,'[1]2026 Mapping v3'!F:F,0,0)</f>
        <v>129</v>
      </c>
      <c r="I18" s="18" t="b">
        <v>0</v>
      </c>
      <c r="J18" s="18" t="s">
        <v>147</v>
      </c>
      <c r="K18" s="21" t="s">
        <v>1041</v>
      </c>
      <c r="L18" s="18" t="s">
        <v>145</v>
      </c>
      <c r="M18" s="18" t="s">
        <v>63</v>
      </c>
      <c r="N18" s="18" t="s">
        <v>64</v>
      </c>
      <c r="Q18" s="23" t="s">
        <v>80</v>
      </c>
      <c r="R18" s="23">
        <v>10</v>
      </c>
      <c r="S18" s="24">
        <v>261440</v>
      </c>
      <c r="T18" s="28">
        <v>2000</v>
      </c>
      <c r="U18" s="18" t="s">
        <v>67</v>
      </c>
      <c r="V18" s="18" t="s">
        <v>110</v>
      </c>
      <c r="W18" s="18" t="s">
        <v>69</v>
      </c>
      <c r="X18" s="20">
        <v>46046</v>
      </c>
      <c r="Y18" s="18" t="s">
        <v>148</v>
      </c>
      <c r="Z18" s="18" t="str">
        <f>_xlfn.XLOOKUP(Y18,'[1]Data Source'!A:A,'[1]Data Source'!E:E,"N/A",0)</f>
        <v>WENDRA</v>
      </c>
      <c r="AA18" s="18" t="s">
        <v>149</v>
      </c>
      <c r="AB18" s="18" t="s">
        <v>145</v>
      </c>
      <c r="AC18" s="18" t="str">
        <f>_xlfn.XLOOKUP(L18,'[1]2026 Mapping v3'!A:A,'[1]2026 Mapping v3'!B:B,"Error",0)</f>
        <v>Alternative Channels</v>
      </c>
      <c r="AD18" s="18" t="str">
        <f>_xlfn.XLOOKUP(L18,'[1]2026 Mapping v3'!A:A,'[1]2026 Mapping v3'!C:C,"Error",0)</f>
        <v>Selestine Magayu</v>
      </c>
      <c r="AE18" s="18" t="str">
        <f>_xlfn.XLOOKUP(L18,'[1]2026 Mapping v3'!A:A,'[1]2026 Mapping v3'!D:D,"Error",0)</f>
        <v>Joel Mbogo</v>
      </c>
      <c r="AF18" s="18" t="str">
        <f>_xlfn.XLOOKUP(L18,'[1]2026 Mapping v3'!A:A,'[1]2026 Mapping v3'!E:E,"Error",0)</f>
        <v>Eric Njiru</v>
      </c>
      <c r="AS18" s="26">
        <v>2000</v>
      </c>
      <c r="AT18" s="24"/>
      <c r="AU18" s="24"/>
      <c r="AV18" s="24"/>
      <c r="AX18" s="29"/>
      <c r="BE18" s="26">
        <v>2000</v>
      </c>
    </row>
    <row r="19" spans="1:57">
      <c r="A19" s="18" t="s">
        <v>150</v>
      </c>
      <c r="B19" s="19">
        <v>27196957</v>
      </c>
      <c r="C19" s="20">
        <v>46027</v>
      </c>
      <c r="D19" s="18" t="s">
        <v>58</v>
      </c>
      <c r="E19" s="18" t="s">
        <v>59</v>
      </c>
      <c r="F19" s="18" t="s">
        <v>60</v>
      </c>
      <c r="G19" s="18">
        <v>3900</v>
      </c>
      <c r="H19" s="18">
        <f>_xlfn.XLOOKUP(L19,'[1]2026 Mapping v3'!A:A,'[1]2026 Mapping v3'!F:F,0,0)</f>
        <v>107</v>
      </c>
      <c r="I19" s="18" t="b">
        <v>0</v>
      </c>
      <c r="J19" s="18" t="s">
        <v>151</v>
      </c>
      <c r="K19" s="21" t="s">
        <v>1042</v>
      </c>
      <c r="L19" s="18" t="s">
        <v>152</v>
      </c>
      <c r="M19" s="18" t="s">
        <v>63</v>
      </c>
      <c r="N19" s="18" t="s">
        <v>64</v>
      </c>
      <c r="Q19" s="23" t="s">
        <v>80</v>
      </c>
      <c r="R19" s="23">
        <v>10</v>
      </c>
      <c r="S19" s="24">
        <v>1327127</v>
      </c>
      <c r="T19" s="28">
        <v>5000</v>
      </c>
      <c r="U19" s="18" t="s">
        <v>67</v>
      </c>
      <c r="V19" s="18" t="s">
        <v>110</v>
      </c>
      <c r="W19" s="18" t="s">
        <v>69</v>
      </c>
      <c r="X19" s="20">
        <v>46047</v>
      </c>
      <c r="Y19" s="18" t="s">
        <v>153</v>
      </c>
      <c r="Z19" s="18" t="str">
        <f>_xlfn.XLOOKUP(Y19,'[1]Data Source'!A:A,'[1]Data Source'!E:E,"N/A",0)</f>
        <v>N/A</v>
      </c>
      <c r="AA19" s="18" t="s">
        <v>101</v>
      </c>
      <c r="AB19" s="18" t="s">
        <v>154</v>
      </c>
      <c r="AC19" s="18" t="str">
        <f>_xlfn.XLOOKUP(L19,'[1]2026 Mapping v3'!A:A,'[1]2026 Mapping v3'!B:B,"Error",0)</f>
        <v>Alternative Channels</v>
      </c>
      <c r="AD19" s="18" t="str">
        <f>_xlfn.XLOOKUP(L19,'[1]2026 Mapping v3'!A:A,'[1]2026 Mapping v3'!C:C,"Error",0)</f>
        <v>Selestine Magayu</v>
      </c>
      <c r="AE19" s="18" t="str">
        <f>_xlfn.XLOOKUP(L19,'[1]2026 Mapping v3'!A:A,'[1]2026 Mapping v3'!D:D,"Error",0)</f>
        <v>Joel Mbogo</v>
      </c>
      <c r="AF19" s="18" t="str">
        <f>_xlfn.XLOOKUP(L19,'[1]2026 Mapping v3'!A:A,'[1]2026 Mapping v3'!E:E,"Error",0)</f>
        <v>Eric Njiru</v>
      </c>
      <c r="AS19" s="26">
        <v>5000</v>
      </c>
      <c r="AT19" s="24"/>
      <c r="AU19" s="24"/>
      <c r="AV19" s="24"/>
      <c r="AX19" s="29"/>
      <c r="BE19" s="26">
        <v>5000</v>
      </c>
    </row>
    <row r="20" spans="1:57">
      <c r="A20" s="18" t="s">
        <v>57</v>
      </c>
      <c r="B20" s="19">
        <v>27196957</v>
      </c>
      <c r="C20" s="20">
        <v>46028</v>
      </c>
      <c r="D20" s="18" t="s">
        <v>58</v>
      </c>
      <c r="E20" s="18" t="s">
        <v>59</v>
      </c>
      <c r="F20" s="18" t="s">
        <v>60</v>
      </c>
      <c r="G20" s="18">
        <v>16928</v>
      </c>
      <c r="H20" s="18">
        <f>_xlfn.XLOOKUP(L20,'[1]2026 Mapping v3'!A:A,'[1]2026 Mapping v3'!F:F,0,0)</f>
        <v>43</v>
      </c>
      <c r="I20" s="18" t="b">
        <v>0</v>
      </c>
      <c r="J20" s="18" t="s">
        <v>155</v>
      </c>
      <c r="K20" s="21" t="s">
        <v>1043</v>
      </c>
      <c r="L20" s="18" t="s">
        <v>156</v>
      </c>
      <c r="M20" s="18" t="s">
        <v>98</v>
      </c>
      <c r="N20" s="18" t="s">
        <v>64</v>
      </c>
      <c r="O20" s="18" t="s">
        <v>157</v>
      </c>
      <c r="Q20" s="23" t="s">
        <v>80</v>
      </c>
      <c r="R20" s="23">
        <v>5</v>
      </c>
      <c r="S20" s="24">
        <v>12601261</v>
      </c>
      <c r="T20" s="28">
        <v>2002320</v>
      </c>
      <c r="U20" s="18" t="s">
        <v>67</v>
      </c>
      <c r="V20" s="18" t="s">
        <v>158</v>
      </c>
      <c r="W20" s="18" t="s">
        <v>69</v>
      </c>
      <c r="X20" s="20">
        <v>46027</v>
      </c>
      <c r="Y20" s="18" t="s">
        <v>159</v>
      </c>
      <c r="Z20" s="18" t="str">
        <f>_xlfn.XLOOKUP(Y20,'[1]Data Source'!A:A,'[1]Data Source'!E:E,"N/A",0)</f>
        <v>LG</v>
      </c>
      <c r="AA20" s="18" t="s">
        <v>160</v>
      </c>
      <c r="AB20" s="18" t="s">
        <v>156</v>
      </c>
      <c r="AC20" s="18" t="str">
        <f>_xlfn.XLOOKUP(L20,'[1]2026 Mapping v3'!A:A,'[1]2026 Mapping v3'!B:B,"Error",0)</f>
        <v>Nairobi East</v>
      </c>
      <c r="AD20" s="18" t="str">
        <f>_xlfn.XLOOKUP(L20,'[1]2026 Mapping v3'!A:A,'[1]2026 Mapping v3'!C:C,"Error",0)</f>
        <v>Julius Mugane</v>
      </c>
      <c r="AE20" s="18" t="str">
        <f>_xlfn.XLOOKUP(L20,'[1]2026 Mapping v3'!A:A,'[1]2026 Mapping v3'!D:D,"Error",0)</f>
        <v>Julius Mugane</v>
      </c>
      <c r="AF20" s="18" t="str">
        <f>_xlfn.XLOOKUP(L20,'[1]2026 Mapping v3'!A:A,'[1]2026 Mapping v3'!E:E,"Error",0)</f>
        <v>Debrah Rashid</v>
      </c>
      <c r="AS20" s="26">
        <v>2002320</v>
      </c>
      <c r="AT20" s="24"/>
      <c r="AU20" s="24"/>
      <c r="AV20" s="24"/>
      <c r="AX20" s="29"/>
      <c r="BE20" s="26">
        <v>2002320</v>
      </c>
    </row>
    <row r="21" spans="1:57">
      <c r="A21" s="18" t="s">
        <v>57</v>
      </c>
      <c r="B21" s="19">
        <v>27196957</v>
      </c>
      <c r="C21" s="20">
        <v>46028</v>
      </c>
      <c r="D21" s="18" t="s">
        <v>58</v>
      </c>
      <c r="E21" s="18" t="s">
        <v>59</v>
      </c>
      <c r="F21" s="18" t="s">
        <v>60</v>
      </c>
      <c r="G21" s="18">
        <v>16410</v>
      </c>
      <c r="H21" s="18">
        <f>_xlfn.XLOOKUP(L21,'[1]2026 Mapping v3'!A:A,'[1]2026 Mapping v3'!F:F,0,0)</f>
        <v>125</v>
      </c>
      <c r="I21" s="18" t="b">
        <v>0</v>
      </c>
      <c r="J21" s="18" t="s">
        <v>161</v>
      </c>
      <c r="K21" s="21" t="s">
        <v>1044</v>
      </c>
      <c r="L21" s="18" t="s">
        <v>162</v>
      </c>
      <c r="M21" s="18" t="s">
        <v>98</v>
      </c>
      <c r="N21" s="18" t="s">
        <v>64</v>
      </c>
      <c r="O21" s="18" t="s">
        <v>163</v>
      </c>
      <c r="Q21" s="23" t="s">
        <v>80</v>
      </c>
      <c r="R21" s="23">
        <v>5</v>
      </c>
      <c r="S21" s="24">
        <v>3150315</v>
      </c>
      <c r="T21" s="28">
        <v>500005</v>
      </c>
      <c r="U21" s="18" t="s">
        <v>67</v>
      </c>
      <c r="V21" s="18" t="s">
        <v>68</v>
      </c>
      <c r="W21" s="18" t="s">
        <v>69</v>
      </c>
      <c r="X21" s="20">
        <v>46052</v>
      </c>
      <c r="Y21" s="18" t="s">
        <v>164</v>
      </c>
      <c r="Z21" s="18" t="str">
        <f>_xlfn.XLOOKUP(Y21,'[1]Data Source'!A:A,'[1]Data Source'!E:E,"N/A",0)</f>
        <v>LG</v>
      </c>
      <c r="AA21" s="18" t="s">
        <v>165</v>
      </c>
      <c r="AB21" s="18" t="s">
        <v>162</v>
      </c>
      <c r="AC21" s="18" t="str">
        <f>_xlfn.XLOOKUP(L21,'[1]2026 Mapping v3'!A:A,'[1]2026 Mapping v3'!B:B,"Error",0)</f>
        <v>Rift Valley</v>
      </c>
      <c r="AD21" s="18" t="str">
        <f>_xlfn.XLOOKUP(L21,'[1]2026 Mapping v3'!A:A,'[1]2026 Mapping v3'!C:C,"Error",0)</f>
        <v>Emily Jepchirchir</v>
      </c>
      <c r="AE21" s="18" t="str">
        <f>_xlfn.XLOOKUP(L21,'[1]2026 Mapping v3'!A:A,'[1]2026 Mapping v3'!D:D,"Error",0)</f>
        <v>Emily Jepchirchir</v>
      </c>
      <c r="AF21" s="18" t="str">
        <f>_xlfn.XLOOKUP(L21,'[1]2026 Mapping v3'!A:A,'[1]2026 Mapping v3'!E:E,"Error",0)</f>
        <v>Emily Jepchirchir</v>
      </c>
      <c r="AS21" s="26">
        <v>500005</v>
      </c>
      <c r="AT21" s="24"/>
      <c r="AU21" s="24"/>
      <c r="AV21" s="24"/>
      <c r="AX21" s="29"/>
      <c r="BE21" s="26">
        <v>500005</v>
      </c>
    </row>
    <row r="22" spans="1:57">
      <c r="A22" s="18" t="s">
        <v>57</v>
      </c>
      <c r="B22" s="19">
        <v>27196957</v>
      </c>
      <c r="C22" s="20">
        <v>46028</v>
      </c>
      <c r="D22" s="18" t="s">
        <v>58</v>
      </c>
      <c r="E22" s="18" t="s">
        <v>59</v>
      </c>
      <c r="F22" s="18" t="s">
        <v>60</v>
      </c>
      <c r="G22" s="18">
        <v>10673</v>
      </c>
      <c r="H22" s="18">
        <f>_xlfn.XLOOKUP(L22,'[1]2026 Mapping v3'!A:A,'[1]2026 Mapping v3'!F:F,0,0)</f>
        <v>71</v>
      </c>
      <c r="I22" s="18" t="b">
        <v>0</v>
      </c>
      <c r="J22" s="18" t="s">
        <v>166</v>
      </c>
      <c r="K22" s="21" t="s">
        <v>1045</v>
      </c>
      <c r="L22" s="18" t="s">
        <v>89</v>
      </c>
      <c r="M22" s="18" t="s">
        <v>63</v>
      </c>
      <c r="N22" s="18" t="s">
        <v>64</v>
      </c>
      <c r="O22" s="18" t="s">
        <v>167</v>
      </c>
      <c r="Q22" s="23" t="s">
        <v>80</v>
      </c>
      <c r="R22" s="23">
        <v>18</v>
      </c>
      <c r="S22" s="24">
        <v>555560</v>
      </c>
      <c r="T22" s="28">
        <v>2000</v>
      </c>
      <c r="U22" s="18" t="s">
        <v>67</v>
      </c>
      <c r="V22" s="18" t="s">
        <v>110</v>
      </c>
      <c r="W22" s="18" t="s">
        <v>69</v>
      </c>
      <c r="X22" s="20">
        <v>46073</v>
      </c>
      <c r="Y22" s="18" t="s">
        <v>168</v>
      </c>
      <c r="Z22" s="18" t="str">
        <f>_xlfn.XLOOKUP(Y22,'[1]Data Source'!A:A,'[1]Data Source'!E:E,"N/A",0)</f>
        <v>N/A</v>
      </c>
      <c r="AA22" s="18" t="s">
        <v>101</v>
      </c>
      <c r="AB22" s="18" t="s">
        <v>89</v>
      </c>
      <c r="AC22" s="18" t="str">
        <f>_xlfn.XLOOKUP(L22,'[1]2026 Mapping v3'!A:A,'[1]2026 Mapping v3'!B:B,"Error",0)</f>
        <v>Queensway</v>
      </c>
      <c r="AD22" s="18" t="str">
        <f>_xlfn.XLOOKUP(L22,'[1]2026 Mapping v3'!A:A,'[1]2026 Mapping v3'!C:C,"Error",0)</f>
        <v>Nina Kifani</v>
      </c>
      <c r="AE22" s="18" t="str">
        <f>_xlfn.XLOOKUP(L22,'[1]2026 Mapping v3'!A:A,'[1]2026 Mapping v3'!D:D,"Error",0)</f>
        <v>Nina Kifani</v>
      </c>
      <c r="AF22" s="18" t="str">
        <f>_xlfn.XLOOKUP(L22,'[1]2026 Mapping v3'!A:A,'[1]2026 Mapping v3'!E:E,"Error",0)</f>
        <v>Bilha Wachira</v>
      </c>
      <c r="AS22" s="26">
        <v>2000</v>
      </c>
      <c r="AT22" s="24"/>
      <c r="AU22" s="24"/>
      <c r="AV22" s="24"/>
      <c r="AX22" s="29"/>
      <c r="BE22" s="26">
        <v>2000</v>
      </c>
    </row>
    <row r="23" spans="1:57">
      <c r="A23" s="18" t="s">
        <v>128</v>
      </c>
      <c r="B23" s="19">
        <v>27196957</v>
      </c>
      <c r="C23" s="20">
        <v>46028</v>
      </c>
      <c r="D23" s="18" t="s">
        <v>58</v>
      </c>
      <c r="E23" s="18" t="s">
        <v>59</v>
      </c>
      <c r="F23" s="18" t="s">
        <v>60</v>
      </c>
      <c r="H23" s="18">
        <f>_xlfn.XLOOKUP(L23,'[1]2026 Mapping v3'!A:A,'[1]2026 Mapping v3'!F:F,0,0)</f>
        <v>12</v>
      </c>
      <c r="I23" s="18" t="b">
        <v>0</v>
      </c>
      <c r="J23" s="18" t="s">
        <v>169</v>
      </c>
      <c r="K23" s="21" t="s">
        <v>1046</v>
      </c>
      <c r="L23" s="18" t="str">
        <f t="shared" ref="L23:L26" si="2">Y23</f>
        <v>HISA001</v>
      </c>
      <c r="M23" s="18" t="s">
        <v>63</v>
      </c>
      <c r="N23" s="18" t="s">
        <v>64</v>
      </c>
      <c r="O23" s="18" t="s">
        <v>170</v>
      </c>
      <c r="Q23" s="23" t="s">
        <v>80</v>
      </c>
      <c r="R23" s="23">
        <v>6</v>
      </c>
      <c r="S23" s="24">
        <v>808080.81</v>
      </c>
      <c r="T23" s="28">
        <v>120000</v>
      </c>
      <c r="U23" s="18" t="s">
        <v>67</v>
      </c>
      <c r="V23" s="18" t="s">
        <v>68</v>
      </c>
      <c r="W23" s="18" t="s">
        <v>69</v>
      </c>
      <c r="X23" s="20">
        <v>46042</v>
      </c>
      <c r="Y23" s="18" t="s">
        <v>131</v>
      </c>
      <c r="Z23" s="18" t="str">
        <f>_xlfn.XLOOKUP(Y23,'[1]Data Source'!A:A,'[1]Data Source'!E:E,"N/A",0)</f>
        <v>ALAK</v>
      </c>
      <c r="AA23" s="18" t="s">
        <v>132</v>
      </c>
      <c r="AB23" s="18" t="str">
        <f t="shared" ref="AB23:AB26" si="3">Y23</f>
        <v>HISA001</v>
      </c>
      <c r="AC23" s="18" t="str">
        <f>_xlfn.XLOOKUP(L23,'[1]2026 Mapping v3'!A:A,'[1]2026 Mapping v3'!B:B,"Error",0)</f>
        <v>Alternative Channels</v>
      </c>
      <c r="AD23" s="18" t="str">
        <f>_xlfn.XLOOKUP(L23,'[1]2026 Mapping v3'!A:A,'[1]2026 Mapping v3'!C:C,"Error",0)</f>
        <v>Eric Njiru</v>
      </c>
      <c r="AE23" s="18" t="str">
        <f>_xlfn.XLOOKUP(L23,'[1]2026 Mapping v3'!A:A,'[1]2026 Mapping v3'!D:D,"Error",0)</f>
        <v>Eric Njiru</v>
      </c>
      <c r="AF23" s="18" t="str">
        <f>_xlfn.XLOOKUP(L23,'[1]2026 Mapping v3'!A:A,'[1]2026 Mapping v3'!E:E,"Error",0)</f>
        <v>Eric Njiru</v>
      </c>
      <c r="AS23" s="26">
        <v>120000</v>
      </c>
      <c r="AT23" s="24"/>
      <c r="AU23" s="24"/>
      <c r="AV23" s="24"/>
      <c r="AX23" s="29"/>
      <c r="BE23" s="26">
        <v>120000</v>
      </c>
    </row>
    <row r="24" spans="1:57">
      <c r="A24" s="18" t="s">
        <v>128</v>
      </c>
      <c r="B24" s="19">
        <v>27196957</v>
      </c>
      <c r="C24" s="20">
        <v>46028</v>
      </c>
      <c r="D24" s="18" t="s">
        <v>58</v>
      </c>
      <c r="E24" s="18" t="s">
        <v>59</v>
      </c>
      <c r="F24" s="18" t="s">
        <v>60</v>
      </c>
      <c r="G24" s="18">
        <v>4319</v>
      </c>
      <c r="H24" s="18">
        <f>_xlfn.XLOOKUP(L24,'[1]2026 Mapping v3'!A:A,'[1]2026 Mapping v3'!F:F,0,0)</f>
        <v>12</v>
      </c>
      <c r="I24" s="18" t="b">
        <v>0</v>
      </c>
      <c r="J24" s="18" t="s">
        <v>171</v>
      </c>
      <c r="K24" s="21" t="s">
        <v>1047</v>
      </c>
      <c r="L24" s="18" t="str">
        <f t="shared" si="2"/>
        <v>HISA001</v>
      </c>
      <c r="M24" s="18" t="s">
        <v>98</v>
      </c>
      <c r="N24" s="18" t="s">
        <v>64</v>
      </c>
      <c r="O24" s="18" t="s">
        <v>172</v>
      </c>
      <c r="Q24" s="23" t="s">
        <v>80</v>
      </c>
      <c r="R24" s="23">
        <v>6</v>
      </c>
      <c r="S24" s="24">
        <v>1704910</v>
      </c>
      <c r="T24" s="28">
        <v>20029</v>
      </c>
      <c r="U24" s="18" t="s">
        <v>67</v>
      </c>
      <c r="V24" s="18" t="s">
        <v>110</v>
      </c>
      <c r="W24" s="18" t="s">
        <v>69</v>
      </c>
      <c r="X24" s="20">
        <v>46042</v>
      </c>
      <c r="Y24" s="18" t="s">
        <v>131</v>
      </c>
      <c r="Z24" s="18" t="str">
        <f>_xlfn.XLOOKUP(Y24,'[1]Data Source'!A:A,'[1]Data Source'!E:E,"N/A",0)</f>
        <v>ALAK</v>
      </c>
      <c r="AA24" s="18" t="s">
        <v>132</v>
      </c>
      <c r="AB24" s="18" t="str">
        <f t="shared" si="3"/>
        <v>HISA001</v>
      </c>
      <c r="AC24" s="18" t="str">
        <f>_xlfn.XLOOKUP(L24,'[1]2026 Mapping v3'!A:A,'[1]2026 Mapping v3'!B:B,"Error",0)</f>
        <v>Alternative Channels</v>
      </c>
      <c r="AD24" s="18" t="str">
        <f>_xlfn.XLOOKUP(L24,'[1]2026 Mapping v3'!A:A,'[1]2026 Mapping v3'!C:C,"Error",0)</f>
        <v>Eric Njiru</v>
      </c>
      <c r="AE24" s="18" t="str">
        <f>_xlfn.XLOOKUP(L24,'[1]2026 Mapping v3'!A:A,'[1]2026 Mapping v3'!D:D,"Error",0)</f>
        <v>Eric Njiru</v>
      </c>
      <c r="AF24" s="18" t="str">
        <f>_xlfn.XLOOKUP(L24,'[1]2026 Mapping v3'!A:A,'[1]2026 Mapping v3'!E:E,"Error",0)</f>
        <v>Eric Njiru</v>
      </c>
      <c r="AS24" s="26">
        <v>20029</v>
      </c>
      <c r="AT24" s="24"/>
      <c r="AU24" s="24"/>
      <c r="AV24" s="24"/>
      <c r="AX24" s="29"/>
      <c r="BE24" s="26">
        <v>20029</v>
      </c>
    </row>
    <row r="25" spans="1:57">
      <c r="A25" s="18" t="s">
        <v>128</v>
      </c>
      <c r="B25" s="19">
        <v>27196957</v>
      </c>
      <c r="C25" s="20">
        <v>46028</v>
      </c>
      <c r="D25" s="18" t="s">
        <v>58</v>
      </c>
      <c r="E25" s="18" t="s">
        <v>59</v>
      </c>
      <c r="F25" s="18" t="s">
        <v>60</v>
      </c>
      <c r="G25" s="18">
        <v>3683</v>
      </c>
      <c r="H25" s="18">
        <f>_xlfn.XLOOKUP(L25,'[1]2026 Mapping v3'!A:A,'[1]2026 Mapping v3'!F:F,0,0)</f>
        <v>12</v>
      </c>
      <c r="I25" s="18" t="b">
        <v>0</v>
      </c>
      <c r="J25" s="18" t="s">
        <v>173</v>
      </c>
      <c r="K25" s="21" t="s">
        <v>1048</v>
      </c>
      <c r="L25" s="18" t="str">
        <f t="shared" si="2"/>
        <v>HISA001</v>
      </c>
      <c r="M25" s="18" t="s">
        <v>98</v>
      </c>
      <c r="N25" s="18" t="s">
        <v>64</v>
      </c>
      <c r="O25" s="18" t="s">
        <v>174</v>
      </c>
      <c r="Q25" s="23" t="s">
        <v>80</v>
      </c>
      <c r="R25" s="23">
        <v>6</v>
      </c>
      <c r="S25" s="24">
        <v>3409820</v>
      </c>
      <c r="T25" s="28">
        <v>40057</v>
      </c>
      <c r="U25" s="18" t="s">
        <v>67</v>
      </c>
      <c r="V25" s="18" t="s">
        <v>110</v>
      </c>
      <c r="W25" s="18" t="s">
        <v>69</v>
      </c>
      <c r="X25" s="20">
        <v>46046</v>
      </c>
      <c r="Y25" s="18" t="s">
        <v>131</v>
      </c>
      <c r="Z25" s="18" t="str">
        <f>_xlfn.XLOOKUP(Y25,'[1]Data Source'!A:A,'[1]Data Source'!E:E,"N/A",0)</f>
        <v>ALAK</v>
      </c>
      <c r="AA25" s="18" t="s">
        <v>132</v>
      </c>
      <c r="AB25" s="18" t="str">
        <f t="shared" si="3"/>
        <v>HISA001</v>
      </c>
      <c r="AC25" s="18" t="str">
        <f>_xlfn.XLOOKUP(L25,'[1]2026 Mapping v3'!A:A,'[1]2026 Mapping v3'!B:B,"Error",0)</f>
        <v>Alternative Channels</v>
      </c>
      <c r="AD25" s="18" t="str">
        <f>_xlfn.XLOOKUP(L25,'[1]2026 Mapping v3'!A:A,'[1]2026 Mapping v3'!C:C,"Error",0)</f>
        <v>Eric Njiru</v>
      </c>
      <c r="AE25" s="18" t="str">
        <f>_xlfn.XLOOKUP(L25,'[1]2026 Mapping v3'!A:A,'[1]2026 Mapping v3'!D:D,"Error",0)</f>
        <v>Eric Njiru</v>
      </c>
      <c r="AF25" s="18" t="str">
        <f>_xlfn.XLOOKUP(L25,'[1]2026 Mapping v3'!A:A,'[1]2026 Mapping v3'!E:E,"Error",0)</f>
        <v>Eric Njiru</v>
      </c>
      <c r="AS25" s="26">
        <v>40057</v>
      </c>
      <c r="AT25" s="24"/>
      <c r="AU25" s="24"/>
      <c r="AV25" s="24"/>
      <c r="AX25" s="29"/>
      <c r="BE25" s="26">
        <v>40057</v>
      </c>
    </row>
    <row r="26" spans="1:57">
      <c r="A26" s="18" t="s">
        <v>128</v>
      </c>
      <c r="B26" s="19">
        <v>27196957</v>
      </c>
      <c r="C26" s="20">
        <v>46028</v>
      </c>
      <c r="D26" s="18" t="s">
        <v>58</v>
      </c>
      <c r="E26" s="18" t="s">
        <v>59</v>
      </c>
      <c r="F26" s="18" t="s">
        <v>60</v>
      </c>
      <c r="G26" s="18">
        <v>4320</v>
      </c>
      <c r="H26" s="18">
        <f>_xlfn.XLOOKUP(L26,'[1]2026 Mapping v3'!A:A,'[1]2026 Mapping v3'!F:F,0,0)</f>
        <v>12</v>
      </c>
      <c r="I26" s="18" t="b">
        <v>0</v>
      </c>
      <c r="J26" s="18" t="s">
        <v>142</v>
      </c>
      <c r="K26" s="21" t="s">
        <v>1049</v>
      </c>
      <c r="L26" s="18" t="str">
        <f t="shared" si="2"/>
        <v>HISA001</v>
      </c>
      <c r="M26" s="18" t="s">
        <v>98</v>
      </c>
      <c r="N26" s="18" t="s">
        <v>64</v>
      </c>
      <c r="O26" s="18" t="s">
        <v>175</v>
      </c>
      <c r="Q26" s="23" t="s">
        <v>80</v>
      </c>
      <c r="R26" s="23">
        <v>10</v>
      </c>
      <c r="S26" s="24">
        <v>3987715</v>
      </c>
      <c r="T26" s="28">
        <v>30067</v>
      </c>
      <c r="U26" s="18" t="s">
        <v>67</v>
      </c>
      <c r="V26" s="18" t="s">
        <v>110</v>
      </c>
      <c r="W26" s="18" t="s">
        <v>69</v>
      </c>
      <c r="X26" s="20">
        <v>46042</v>
      </c>
      <c r="Y26" s="18" t="s">
        <v>131</v>
      </c>
      <c r="Z26" s="18" t="str">
        <f>_xlfn.XLOOKUP(Y26,'[1]Data Source'!A:A,'[1]Data Source'!E:E,"N/A",0)</f>
        <v>ALAK</v>
      </c>
      <c r="AA26" s="18" t="s">
        <v>132</v>
      </c>
      <c r="AB26" s="18" t="str">
        <f t="shared" si="3"/>
        <v>HISA001</v>
      </c>
      <c r="AC26" s="18" t="str">
        <f>_xlfn.XLOOKUP(L26,'[1]2026 Mapping v3'!A:A,'[1]2026 Mapping v3'!B:B,"Error",0)</f>
        <v>Alternative Channels</v>
      </c>
      <c r="AD26" s="18" t="str">
        <f>_xlfn.XLOOKUP(L26,'[1]2026 Mapping v3'!A:A,'[1]2026 Mapping v3'!C:C,"Error",0)</f>
        <v>Eric Njiru</v>
      </c>
      <c r="AE26" s="18" t="str">
        <f>_xlfn.XLOOKUP(L26,'[1]2026 Mapping v3'!A:A,'[1]2026 Mapping v3'!D:D,"Error",0)</f>
        <v>Eric Njiru</v>
      </c>
      <c r="AF26" s="18" t="str">
        <f>_xlfn.XLOOKUP(L26,'[1]2026 Mapping v3'!A:A,'[1]2026 Mapping v3'!E:E,"Error",0)</f>
        <v>Eric Njiru</v>
      </c>
      <c r="AS26" s="26">
        <v>30067</v>
      </c>
      <c r="AT26" s="24"/>
      <c r="AU26" s="24"/>
      <c r="AV26" s="24"/>
      <c r="AX26" s="29"/>
      <c r="BE26" s="26">
        <v>30067</v>
      </c>
    </row>
    <row r="27" spans="1:57">
      <c r="A27" s="18" t="s">
        <v>57</v>
      </c>
      <c r="B27" s="19">
        <v>27196957</v>
      </c>
      <c r="C27" s="20">
        <v>46028</v>
      </c>
      <c r="D27" s="18" t="s">
        <v>58</v>
      </c>
      <c r="E27" s="18" t="s">
        <v>59</v>
      </c>
      <c r="F27" s="18" t="s">
        <v>60</v>
      </c>
      <c r="G27" s="18">
        <v>17517</v>
      </c>
      <c r="H27" s="18">
        <f>_xlfn.XLOOKUP(L27,'[1]2026 Mapping v3'!A:A,'[1]2026 Mapping v3'!F:F,0,0)</f>
        <v>125</v>
      </c>
      <c r="I27" s="18" t="b">
        <v>0</v>
      </c>
      <c r="J27" s="18" t="s">
        <v>176</v>
      </c>
      <c r="K27" s="21" t="s">
        <v>1050</v>
      </c>
      <c r="L27" s="18" t="s">
        <v>162</v>
      </c>
      <c r="M27" s="18" t="s">
        <v>98</v>
      </c>
      <c r="N27" s="18" t="s">
        <v>64</v>
      </c>
      <c r="O27" s="18" t="s">
        <v>177</v>
      </c>
      <c r="Q27" s="23" t="s">
        <v>80</v>
      </c>
      <c r="R27" s="23">
        <v>5</v>
      </c>
      <c r="S27" s="24">
        <v>20792081</v>
      </c>
      <c r="T27" s="28">
        <v>3300000</v>
      </c>
      <c r="U27" s="18" t="s">
        <v>67</v>
      </c>
      <c r="V27" s="18" t="s">
        <v>68</v>
      </c>
      <c r="W27" s="18" t="s">
        <v>69</v>
      </c>
      <c r="X27" s="20">
        <v>46021</v>
      </c>
      <c r="Y27" s="18" t="s">
        <v>178</v>
      </c>
      <c r="Z27" s="18" t="str">
        <f>_xlfn.XLOOKUP(Y27,'[1]Data Source'!A:A,'[1]Data Source'!E:E,"N/A",0)</f>
        <v>UB</v>
      </c>
      <c r="AA27" s="18" t="s">
        <v>179</v>
      </c>
      <c r="AB27" s="18" t="s">
        <v>162</v>
      </c>
      <c r="AC27" s="18" t="str">
        <f>_xlfn.XLOOKUP(L27,'[1]2026 Mapping v3'!A:A,'[1]2026 Mapping v3'!B:B,"Error",0)</f>
        <v>Rift Valley</v>
      </c>
      <c r="AD27" s="18" t="str">
        <f>_xlfn.XLOOKUP(L27,'[1]2026 Mapping v3'!A:A,'[1]2026 Mapping v3'!C:C,"Error",0)</f>
        <v>Emily Jepchirchir</v>
      </c>
      <c r="AE27" s="18" t="str">
        <f>_xlfn.XLOOKUP(L27,'[1]2026 Mapping v3'!A:A,'[1]2026 Mapping v3'!D:D,"Error",0)</f>
        <v>Emily Jepchirchir</v>
      </c>
      <c r="AF27" s="18" t="str">
        <f>_xlfn.XLOOKUP(L27,'[1]2026 Mapping v3'!A:A,'[1]2026 Mapping v3'!E:E,"Error",0)</f>
        <v>Emily Jepchirchir</v>
      </c>
      <c r="AS27" s="26">
        <v>3300000</v>
      </c>
      <c r="AT27" s="24"/>
      <c r="AU27" s="24"/>
      <c r="AV27" s="24"/>
      <c r="AX27" s="29"/>
      <c r="BE27" s="26">
        <v>3300000</v>
      </c>
    </row>
    <row r="28" spans="1:57">
      <c r="A28" s="18" t="s">
        <v>57</v>
      </c>
      <c r="B28" s="19">
        <v>27196957</v>
      </c>
      <c r="C28" s="20">
        <v>46029</v>
      </c>
      <c r="D28" s="18" t="s">
        <v>58</v>
      </c>
      <c r="E28" s="18" t="s">
        <v>59</v>
      </c>
      <c r="F28" s="18" t="s">
        <v>60</v>
      </c>
      <c r="G28" s="18">
        <v>16097</v>
      </c>
      <c r="H28" s="18">
        <f>_xlfn.XLOOKUP(L28,'[1]2026 Mapping v3'!A:A,'[1]2026 Mapping v3'!F:F,0,0)</f>
        <v>73</v>
      </c>
      <c r="I28" s="18" t="b">
        <v>0</v>
      </c>
      <c r="J28" s="18" t="s">
        <v>180</v>
      </c>
      <c r="K28" s="21" t="s">
        <v>1051</v>
      </c>
      <c r="L28" s="18" t="s">
        <v>181</v>
      </c>
      <c r="M28" s="18" t="s">
        <v>98</v>
      </c>
      <c r="N28" s="18" t="s">
        <v>64</v>
      </c>
      <c r="O28" s="18" t="s">
        <v>182</v>
      </c>
      <c r="Q28" s="23" t="s">
        <v>80</v>
      </c>
      <c r="R28" s="23">
        <v>5</v>
      </c>
      <c r="S28" s="24">
        <v>5603508</v>
      </c>
      <c r="T28" s="28">
        <v>1001038</v>
      </c>
      <c r="U28" s="18" t="s">
        <v>67</v>
      </c>
      <c r="V28" s="18" t="s">
        <v>68</v>
      </c>
      <c r="W28" s="18" t="s">
        <v>69</v>
      </c>
      <c r="X28" s="20">
        <v>46021</v>
      </c>
      <c r="Y28" s="18" t="s">
        <v>183</v>
      </c>
      <c r="Z28" s="18" t="str">
        <f>_xlfn.XLOOKUP(Y28,'[1]Data Source'!A:A,'[1]Data Source'!E:E,"N/A",0)</f>
        <v>N/A</v>
      </c>
      <c r="AA28" s="18" t="s">
        <v>101</v>
      </c>
      <c r="AB28" s="18" t="s">
        <v>181</v>
      </c>
      <c r="AC28" s="18" t="str">
        <f>_xlfn.XLOOKUP(L28,'[1]2026 Mapping v3'!A:A,'[1]2026 Mapping v3'!B:B,"Error",0)</f>
        <v>Nairobi Central</v>
      </c>
      <c r="AD28" s="18" t="str">
        <f>_xlfn.XLOOKUP(L28,'[1]2026 Mapping v3'!A:A,'[1]2026 Mapping v3'!C:C,"Error",0)</f>
        <v>Zedekiah Mburu</v>
      </c>
      <c r="AE28" s="18" t="str">
        <f>_xlfn.XLOOKUP(L28,'[1]2026 Mapping v3'!A:A,'[1]2026 Mapping v3'!D:D,"Error",0)</f>
        <v>Zedekiah Mburu</v>
      </c>
      <c r="AF28" s="18" t="str">
        <f>_xlfn.XLOOKUP(L28,'[1]2026 Mapping v3'!A:A,'[1]2026 Mapping v3'!E:E,"Error",0)</f>
        <v>Bilha Wachira</v>
      </c>
      <c r="AS28" s="26">
        <v>1001038</v>
      </c>
      <c r="AT28" s="24"/>
      <c r="AU28" s="24"/>
      <c r="AV28" s="24"/>
      <c r="AX28" s="29"/>
      <c r="BE28" s="26">
        <v>1001038</v>
      </c>
    </row>
    <row r="29" spans="1:57">
      <c r="A29" s="18" t="s">
        <v>57</v>
      </c>
      <c r="B29" s="19">
        <v>27196957</v>
      </c>
      <c r="C29" s="20">
        <v>46029</v>
      </c>
      <c r="D29" s="18" t="s">
        <v>58</v>
      </c>
      <c r="E29" s="18" t="s">
        <v>59</v>
      </c>
      <c r="F29" s="18" t="s">
        <v>60</v>
      </c>
      <c r="G29" s="18">
        <v>6330</v>
      </c>
      <c r="H29" s="18">
        <f>_xlfn.XLOOKUP(L29,'[1]2026 Mapping v3'!A:A,'[1]2026 Mapping v3'!F:F,0,0)</f>
        <v>71</v>
      </c>
      <c r="I29" s="18" t="b">
        <v>0</v>
      </c>
      <c r="J29" s="18" t="s">
        <v>184</v>
      </c>
      <c r="K29" s="21" t="s">
        <v>1052</v>
      </c>
      <c r="L29" s="18" t="s">
        <v>89</v>
      </c>
      <c r="M29" s="18" t="s">
        <v>98</v>
      </c>
      <c r="N29" s="18" t="s">
        <v>64</v>
      </c>
      <c r="O29" s="18" t="s">
        <v>185</v>
      </c>
      <c r="Q29" s="23" t="s">
        <v>80</v>
      </c>
      <c r="R29" s="23">
        <v>7</v>
      </c>
      <c r="S29" s="24">
        <v>1000000</v>
      </c>
      <c r="T29" s="28">
        <v>9867</v>
      </c>
      <c r="U29" s="18" t="s">
        <v>67</v>
      </c>
      <c r="V29" s="18" t="s">
        <v>110</v>
      </c>
      <c r="W29" s="18" t="s">
        <v>69</v>
      </c>
      <c r="X29" s="20">
        <v>46052</v>
      </c>
      <c r="Y29" s="18" t="s">
        <v>168</v>
      </c>
      <c r="Z29" s="18" t="str">
        <f>_xlfn.XLOOKUP(Y29,'[1]Data Source'!A:A,'[1]Data Source'!E:E,"N/A",0)</f>
        <v>N/A</v>
      </c>
      <c r="AA29" s="18" t="s">
        <v>101</v>
      </c>
      <c r="AB29" s="18" t="s">
        <v>89</v>
      </c>
      <c r="AC29" s="18" t="str">
        <f>_xlfn.XLOOKUP(L29,'[1]2026 Mapping v3'!A:A,'[1]2026 Mapping v3'!B:B,"Error",0)</f>
        <v>Queensway</v>
      </c>
      <c r="AD29" s="18" t="str">
        <f>_xlfn.XLOOKUP(L29,'[1]2026 Mapping v3'!A:A,'[1]2026 Mapping v3'!C:C,"Error",0)</f>
        <v>Nina Kifani</v>
      </c>
      <c r="AE29" s="18" t="str">
        <f>_xlfn.XLOOKUP(L29,'[1]2026 Mapping v3'!A:A,'[1]2026 Mapping v3'!D:D,"Error",0)</f>
        <v>Nina Kifani</v>
      </c>
      <c r="AF29" s="18" t="str">
        <f>_xlfn.XLOOKUP(L29,'[1]2026 Mapping v3'!A:A,'[1]2026 Mapping v3'!E:E,"Error",0)</f>
        <v>Bilha Wachira</v>
      </c>
      <c r="AS29" s="24">
        <v>9867</v>
      </c>
      <c r="AT29" s="24"/>
      <c r="AU29" s="24"/>
      <c r="AV29" s="24"/>
      <c r="AX29" s="29"/>
      <c r="BE29" s="24">
        <v>9867</v>
      </c>
    </row>
    <row r="30" spans="1:57">
      <c r="A30" s="18" t="s">
        <v>57</v>
      </c>
      <c r="B30" s="19">
        <v>27196957</v>
      </c>
      <c r="C30" s="20">
        <v>46029</v>
      </c>
      <c r="D30" s="18" t="s">
        <v>58</v>
      </c>
      <c r="E30" s="18" t="s">
        <v>59</v>
      </c>
      <c r="F30" s="18" t="s">
        <v>60</v>
      </c>
      <c r="G30" s="18">
        <v>10845</v>
      </c>
      <c r="H30" s="18">
        <f>_xlfn.XLOOKUP(L30,'[1]2026 Mapping v3'!A:A,'[1]2026 Mapping v3'!F:F,0,0)</f>
        <v>71</v>
      </c>
      <c r="I30" s="18" t="b">
        <v>0</v>
      </c>
      <c r="J30" s="18" t="s">
        <v>186</v>
      </c>
      <c r="K30" s="21" t="s">
        <v>1053</v>
      </c>
      <c r="L30" s="18" t="s">
        <v>89</v>
      </c>
      <c r="M30" s="18" t="s">
        <v>98</v>
      </c>
      <c r="N30" s="18" t="s">
        <v>64</v>
      </c>
      <c r="O30" s="18" t="s">
        <v>187</v>
      </c>
      <c r="Q30" s="23" t="s">
        <v>80</v>
      </c>
      <c r="R30" s="23">
        <v>10</v>
      </c>
      <c r="S30" s="24">
        <v>2000000</v>
      </c>
      <c r="T30" s="28">
        <v>200000</v>
      </c>
      <c r="U30" s="18" t="s">
        <v>67</v>
      </c>
      <c r="V30" s="18" t="s">
        <v>68</v>
      </c>
      <c r="W30" s="18" t="s">
        <v>69</v>
      </c>
      <c r="X30" s="20">
        <v>46042</v>
      </c>
      <c r="Y30" s="18" t="s">
        <v>188</v>
      </c>
      <c r="Z30" s="18" t="str">
        <f>_xlfn.XLOOKUP(Y30,'[1]Data Source'!A:A,'[1]Data Source'!E:E,"N/A",0)</f>
        <v>LG</v>
      </c>
      <c r="AA30" s="18" t="s">
        <v>189</v>
      </c>
      <c r="AB30" s="18" t="s">
        <v>89</v>
      </c>
      <c r="AC30" s="18" t="str">
        <f>_xlfn.XLOOKUP(L30,'[1]2026 Mapping v3'!A:A,'[1]2026 Mapping v3'!B:B,"Error",0)</f>
        <v>Queensway</v>
      </c>
      <c r="AD30" s="18" t="str">
        <f>_xlfn.XLOOKUP(L30,'[1]2026 Mapping v3'!A:A,'[1]2026 Mapping v3'!C:C,"Error",0)</f>
        <v>Nina Kifani</v>
      </c>
      <c r="AE30" s="18" t="str">
        <f>_xlfn.XLOOKUP(L30,'[1]2026 Mapping v3'!A:A,'[1]2026 Mapping v3'!D:D,"Error",0)</f>
        <v>Nina Kifani</v>
      </c>
      <c r="AF30" s="18" t="str">
        <f>_xlfn.XLOOKUP(L30,'[1]2026 Mapping v3'!A:A,'[1]2026 Mapping v3'!E:E,"Error",0)</f>
        <v>Bilha Wachira</v>
      </c>
      <c r="AS30" s="24">
        <v>200000</v>
      </c>
      <c r="AT30" s="24"/>
      <c r="AU30" s="24"/>
      <c r="AV30" s="24"/>
      <c r="AX30" s="29"/>
      <c r="BE30" s="24">
        <v>200000</v>
      </c>
    </row>
    <row r="31" spans="1:57">
      <c r="A31" s="18" t="s">
        <v>128</v>
      </c>
      <c r="B31" s="19">
        <v>27196957</v>
      </c>
      <c r="C31" s="20">
        <v>46029</v>
      </c>
      <c r="D31" s="18" t="s">
        <v>58</v>
      </c>
      <c r="E31" s="18" t="s">
        <v>59</v>
      </c>
      <c r="F31" s="18" t="s">
        <v>60</v>
      </c>
      <c r="G31" s="18">
        <v>3285</v>
      </c>
      <c r="H31" s="18">
        <f>_xlfn.XLOOKUP(L31,'[1]2026 Mapping v3'!A:A,'[1]2026 Mapping v3'!F:F,0,0)</f>
        <v>0</v>
      </c>
      <c r="I31" s="18" t="b">
        <v>0</v>
      </c>
      <c r="J31" s="18" t="s">
        <v>190</v>
      </c>
      <c r="K31" s="21" t="s">
        <v>1054</v>
      </c>
      <c r="L31" s="18" t="str">
        <f>Y31</f>
        <v>HISA0024</v>
      </c>
      <c r="M31" s="18" t="s">
        <v>63</v>
      </c>
      <c r="N31" s="18" t="s">
        <v>64</v>
      </c>
      <c r="O31" s="18" t="s">
        <v>191</v>
      </c>
      <c r="Q31" s="23" t="s">
        <v>80</v>
      </c>
      <c r="R31" s="23">
        <v>10</v>
      </c>
      <c r="S31" s="24">
        <v>2000000</v>
      </c>
      <c r="T31" s="28">
        <v>168300</v>
      </c>
      <c r="U31" s="18" t="s">
        <v>67</v>
      </c>
      <c r="V31" s="18" t="s">
        <v>68</v>
      </c>
      <c r="W31" s="18" t="s">
        <v>69</v>
      </c>
      <c r="X31" s="20">
        <v>46032</v>
      </c>
      <c r="Y31" s="18" t="s">
        <v>192</v>
      </c>
      <c r="Z31" s="18" t="str">
        <f>_xlfn.XLOOKUP(Y31,'[1]Data Source'!A:A,'[1]Data Source'!E:E,"N/A",0)</f>
        <v>N/A</v>
      </c>
      <c r="AA31" s="18" t="s">
        <v>101</v>
      </c>
      <c r="AB31" s="18" t="str">
        <f>Y31</f>
        <v>HISA0024</v>
      </c>
      <c r="AC31" s="18" t="s">
        <v>124</v>
      </c>
      <c r="AD31" s="18" t="s">
        <v>123</v>
      </c>
      <c r="AE31" s="18" t="s">
        <v>87</v>
      </c>
      <c r="AF31" s="18" t="s">
        <v>87</v>
      </c>
      <c r="AS31" s="24">
        <v>168300</v>
      </c>
      <c r="AT31" s="24"/>
      <c r="AU31" s="24"/>
      <c r="AV31" s="24"/>
      <c r="AX31" s="29"/>
      <c r="BE31" s="24">
        <v>168300</v>
      </c>
    </row>
    <row r="32" spans="1:57">
      <c r="A32" s="18" t="s">
        <v>57</v>
      </c>
      <c r="B32" s="19">
        <v>27196957</v>
      </c>
      <c r="C32" s="20">
        <v>46030</v>
      </c>
      <c r="D32" s="18" t="s">
        <v>58</v>
      </c>
      <c r="E32" s="18" t="s">
        <v>59</v>
      </c>
      <c r="F32" s="18" t="s">
        <v>60</v>
      </c>
      <c r="G32" s="18">
        <v>13287</v>
      </c>
      <c r="H32" s="18">
        <f>_xlfn.XLOOKUP(L32,'[1]2026 Mapping v3'!A:A,'[1]2026 Mapping v3'!F:F,0,0)</f>
        <v>8</v>
      </c>
      <c r="I32" s="18" t="b">
        <v>0</v>
      </c>
      <c r="J32" s="18" t="s">
        <v>193</v>
      </c>
      <c r="K32" s="21" t="s">
        <v>1055</v>
      </c>
      <c r="L32" s="18" t="s">
        <v>194</v>
      </c>
      <c r="M32" s="18" t="s">
        <v>63</v>
      </c>
      <c r="N32" s="18" t="s">
        <v>64</v>
      </c>
      <c r="O32" s="18" t="s">
        <v>195</v>
      </c>
      <c r="Q32" s="23" t="s">
        <v>80</v>
      </c>
      <c r="R32" s="23">
        <v>6</v>
      </c>
      <c r="S32" s="24">
        <v>740740</v>
      </c>
      <c r="T32" s="28">
        <v>10000</v>
      </c>
      <c r="U32" s="18" t="s">
        <v>67</v>
      </c>
      <c r="V32" s="18" t="s">
        <v>110</v>
      </c>
      <c r="W32" s="18" t="s">
        <v>69</v>
      </c>
      <c r="X32" s="20">
        <v>46028</v>
      </c>
      <c r="Y32" s="18" t="s">
        <v>196</v>
      </c>
      <c r="Z32" s="18" t="str">
        <f>_xlfn.XLOOKUP(Y32,'[1]Data Source'!A:A,'[1]Data Source'!E:E,"N/A",0)</f>
        <v>LG</v>
      </c>
      <c r="AA32" s="18" t="s">
        <v>197</v>
      </c>
      <c r="AB32" s="18" t="s">
        <v>194</v>
      </c>
      <c r="AC32" s="18" t="str">
        <f>_xlfn.XLOOKUP(L32,'[1]2026 Mapping v3'!A:A,'[1]2026 Mapping v3'!B:B,"Error",0)</f>
        <v>Nairobi Central</v>
      </c>
      <c r="AD32" s="18" t="str">
        <f>_xlfn.XLOOKUP(L32,'[1]2026 Mapping v3'!A:A,'[1]2026 Mapping v3'!C:C,"Error",0)</f>
        <v>George Maina</v>
      </c>
      <c r="AE32" s="18" t="str">
        <f>_xlfn.XLOOKUP(L32,'[1]2026 Mapping v3'!A:A,'[1]2026 Mapping v3'!D:D,"Error",0)</f>
        <v>Zedekiah Mburu</v>
      </c>
      <c r="AF32" s="18" t="str">
        <f>_xlfn.XLOOKUP(L32,'[1]2026 Mapping v3'!A:A,'[1]2026 Mapping v3'!E:E,"Error",0)</f>
        <v>Bilha Wachira</v>
      </c>
      <c r="AS32" s="24">
        <v>10000</v>
      </c>
      <c r="AT32" s="24"/>
      <c r="AU32" s="24"/>
      <c r="AV32" s="24"/>
      <c r="AX32" s="29"/>
      <c r="BE32" s="24">
        <v>10000</v>
      </c>
    </row>
    <row r="33" spans="1:57">
      <c r="A33" s="18" t="s">
        <v>150</v>
      </c>
      <c r="B33" s="19">
        <v>27196957</v>
      </c>
      <c r="C33" s="20">
        <v>46030</v>
      </c>
      <c r="D33" s="18" t="s">
        <v>58</v>
      </c>
      <c r="E33" s="18" t="s">
        <v>59</v>
      </c>
      <c r="F33" s="18" t="s">
        <v>60</v>
      </c>
      <c r="G33" s="18">
        <v>3907</v>
      </c>
      <c r="H33" s="18">
        <f>_xlfn.XLOOKUP(L33,'[1]2026 Mapping v3'!A:A,'[1]2026 Mapping v3'!F:F,0,0)</f>
        <v>107</v>
      </c>
      <c r="I33" s="18" t="b">
        <v>0</v>
      </c>
      <c r="J33" s="18" t="s">
        <v>198</v>
      </c>
      <c r="K33" s="21" t="s">
        <v>1056</v>
      </c>
      <c r="L33" s="18" t="s">
        <v>152</v>
      </c>
      <c r="M33" s="18" t="s">
        <v>98</v>
      </c>
      <c r="N33" s="18" t="s">
        <v>64</v>
      </c>
      <c r="Q33" s="23" t="s">
        <v>80</v>
      </c>
      <c r="R33" s="23">
        <v>15</v>
      </c>
      <c r="S33" s="24">
        <v>10451140</v>
      </c>
      <c r="T33" s="28">
        <v>50175</v>
      </c>
      <c r="U33" s="18" t="s">
        <v>67</v>
      </c>
      <c r="V33" s="18" t="s">
        <v>110</v>
      </c>
      <c r="W33" s="18" t="s">
        <v>69</v>
      </c>
      <c r="X33" s="20">
        <v>46032</v>
      </c>
      <c r="Y33" s="18" t="s">
        <v>199</v>
      </c>
      <c r="Z33" s="18" t="str">
        <f>_xlfn.XLOOKUP(Y33,'[1]Data Source'!A:A,'[1]Data Source'!E:E,"N/A",0)</f>
        <v>N/A</v>
      </c>
      <c r="AA33" s="18" t="s">
        <v>101</v>
      </c>
      <c r="AB33" s="18" t="s">
        <v>154</v>
      </c>
      <c r="AC33" s="18" t="str">
        <f>_xlfn.XLOOKUP(L33,'[1]2026 Mapping v3'!A:A,'[1]2026 Mapping v3'!B:B,"Error",0)</f>
        <v>Alternative Channels</v>
      </c>
      <c r="AD33" s="18" t="str">
        <f>_xlfn.XLOOKUP(L33,'[1]2026 Mapping v3'!A:A,'[1]2026 Mapping v3'!C:C,"Error",0)</f>
        <v>Selestine Magayu</v>
      </c>
      <c r="AE33" s="18" t="str">
        <f>_xlfn.XLOOKUP(L33,'[1]2026 Mapping v3'!A:A,'[1]2026 Mapping v3'!D:D,"Error",0)</f>
        <v>Joel Mbogo</v>
      </c>
      <c r="AF33" s="18" t="str">
        <f>_xlfn.XLOOKUP(L33,'[1]2026 Mapping v3'!A:A,'[1]2026 Mapping v3'!E:E,"Error",0)</f>
        <v>Eric Njiru</v>
      </c>
      <c r="AS33" s="24">
        <v>50175</v>
      </c>
      <c r="AT33" s="24"/>
      <c r="AU33" s="24"/>
      <c r="AV33" s="24"/>
      <c r="AX33" s="29"/>
      <c r="BE33" s="24">
        <v>50175</v>
      </c>
    </row>
    <row r="34" spans="1:57">
      <c r="A34" s="18" t="s">
        <v>128</v>
      </c>
      <c r="B34" s="19">
        <v>27196957</v>
      </c>
      <c r="C34" s="20">
        <v>46030</v>
      </c>
      <c r="D34" s="18" t="s">
        <v>58</v>
      </c>
      <c r="E34" s="18" t="s">
        <v>59</v>
      </c>
      <c r="F34" s="18" t="s">
        <v>60</v>
      </c>
      <c r="G34" s="18">
        <v>4976</v>
      </c>
      <c r="H34" s="18">
        <f>_xlfn.XLOOKUP(L34,'[1]2026 Mapping v3'!A:A,'[1]2026 Mapping v3'!F:F,0,0)</f>
        <v>12</v>
      </c>
      <c r="I34" s="18" t="b">
        <v>0</v>
      </c>
      <c r="J34" s="18" t="s">
        <v>200</v>
      </c>
      <c r="K34" s="21" t="s">
        <v>1057</v>
      </c>
      <c r="L34" s="18" t="str">
        <f t="shared" ref="L34:L35" si="4">Y34</f>
        <v>HISA0002</v>
      </c>
      <c r="M34" s="18" t="s">
        <v>98</v>
      </c>
      <c r="N34" s="18" t="s">
        <v>64</v>
      </c>
      <c r="O34" s="18" t="s">
        <v>201</v>
      </c>
      <c r="Q34" s="23" t="s">
        <v>80</v>
      </c>
      <c r="R34" s="23">
        <v>10</v>
      </c>
      <c r="S34" s="24">
        <v>1329238</v>
      </c>
      <c r="T34" s="28">
        <v>10000</v>
      </c>
      <c r="U34" s="18" t="s">
        <v>67</v>
      </c>
      <c r="V34" s="18" t="s">
        <v>110</v>
      </c>
      <c r="W34" s="18" t="s">
        <v>69</v>
      </c>
      <c r="X34" s="20">
        <v>46047</v>
      </c>
      <c r="Y34" s="18" t="s">
        <v>202</v>
      </c>
      <c r="Z34" s="18" t="str">
        <f>_xlfn.XLOOKUP(Y34,'[1]Data Source'!A:A,'[1]Data Source'!E:E,"N/A",0)</f>
        <v>ALAK</v>
      </c>
      <c r="AA34" s="18" t="s">
        <v>203</v>
      </c>
      <c r="AB34" s="18" t="str">
        <f t="shared" ref="AB34:AB35" si="5">Y34</f>
        <v>HISA0002</v>
      </c>
      <c r="AC34" s="18" t="str">
        <f>_xlfn.XLOOKUP(L34,'[1]2026 Mapping v3'!A:A,'[1]2026 Mapping v3'!B:B,"Error",0)</f>
        <v>Alternative Channels</v>
      </c>
      <c r="AD34" s="18" t="str">
        <f>_xlfn.XLOOKUP(L34,'[1]2026 Mapping v3'!A:A,'[1]2026 Mapping v3'!C:C,"Error",0)</f>
        <v>Joel Mbogo</v>
      </c>
      <c r="AE34" s="18" t="str">
        <f>_xlfn.XLOOKUP(L34,'[1]2026 Mapping v3'!A:A,'[1]2026 Mapping v3'!D:D,"Error",0)</f>
        <v>Eric Njiru</v>
      </c>
      <c r="AF34" s="18" t="str">
        <f>_xlfn.XLOOKUP(L34,'[1]2026 Mapping v3'!A:A,'[1]2026 Mapping v3'!E:E,"Error",0)</f>
        <v>Eric Njiru</v>
      </c>
      <c r="AS34" s="24">
        <v>10000</v>
      </c>
      <c r="AT34" s="24"/>
      <c r="AU34" s="24"/>
      <c r="AV34" s="24"/>
      <c r="AX34" s="29"/>
      <c r="BE34" s="24">
        <v>10000</v>
      </c>
    </row>
    <row r="35" spans="1:57">
      <c r="A35" s="18" t="s">
        <v>128</v>
      </c>
      <c r="B35" s="19">
        <v>27196957</v>
      </c>
      <c r="C35" s="20">
        <v>46030</v>
      </c>
      <c r="D35" s="18" t="s">
        <v>58</v>
      </c>
      <c r="E35" s="18" t="s">
        <v>59</v>
      </c>
      <c r="F35" s="18" t="s">
        <v>60</v>
      </c>
      <c r="G35" s="18">
        <v>4316</v>
      </c>
      <c r="H35" s="18">
        <f>_xlfn.XLOOKUP(L35,'[1]2026 Mapping v3'!A:A,'[1]2026 Mapping v3'!F:F,0,0)</f>
        <v>12</v>
      </c>
      <c r="I35" s="18" t="b">
        <v>0</v>
      </c>
      <c r="J35" s="18" t="s">
        <v>204</v>
      </c>
      <c r="K35" s="21" t="s">
        <v>1058</v>
      </c>
      <c r="L35" s="18" t="str">
        <f t="shared" si="4"/>
        <v>HISA0002</v>
      </c>
      <c r="M35" s="18" t="s">
        <v>98</v>
      </c>
      <c r="N35" s="18" t="s">
        <v>64</v>
      </c>
      <c r="O35" s="18" t="s">
        <v>205</v>
      </c>
      <c r="Q35" s="23" t="s">
        <v>80</v>
      </c>
      <c r="R35" s="23">
        <v>10</v>
      </c>
      <c r="S35" s="24">
        <v>1329238</v>
      </c>
      <c r="T35" s="28">
        <v>10023</v>
      </c>
      <c r="U35" s="18" t="s">
        <v>67</v>
      </c>
      <c r="V35" s="18" t="s">
        <v>110</v>
      </c>
      <c r="W35" s="18" t="s">
        <v>69</v>
      </c>
      <c r="X35" s="20">
        <v>46047</v>
      </c>
      <c r="Y35" s="18" t="s">
        <v>202</v>
      </c>
      <c r="Z35" s="18" t="str">
        <f>_xlfn.XLOOKUP(Y35,'[1]Data Source'!A:A,'[1]Data Source'!E:E,"N/A",0)</f>
        <v>ALAK</v>
      </c>
      <c r="AA35" s="18" t="s">
        <v>203</v>
      </c>
      <c r="AB35" s="18" t="str">
        <f t="shared" si="5"/>
        <v>HISA0002</v>
      </c>
      <c r="AC35" s="18" t="str">
        <f>_xlfn.XLOOKUP(L35,'[1]2026 Mapping v3'!A:A,'[1]2026 Mapping v3'!B:B,"Error",0)</f>
        <v>Alternative Channels</v>
      </c>
      <c r="AD35" s="18" t="str">
        <f>_xlfn.XLOOKUP(L35,'[1]2026 Mapping v3'!A:A,'[1]2026 Mapping v3'!C:C,"Error",0)</f>
        <v>Joel Mbogo</v>
      </c>
      <c r="AE35" s="18" t="str">
        <f>_xlfn.XLOOKUP(L35,'[1]2026 Mapping v3'!A:A,'[1]2026 Mapping v3'!D:D,"Error",0)</f>
        <v>Eric Njiru</v>
      </c>
      <c r="AF35" s="18" t="str">
        <f>_xlfn.XLOOKUP(L35,'[1]2026 Mapping v3'!A:A,'[1]2026 Mapping v3'!E:E,"Error",0)</f>
        <v>Eric Njiru</v>
      </c>
      <c r="AS35" s="24">
        <v>10023</v>
      </c>
      <c r="AT35" s="24"/>
      <c r="AU35" s="24"/>
      <c r="AV35" s="24"/>
      <c r="AX35" s="29"/>
      <c r="BE35" s="24">
        <v>10023</v>
      </c>
    </row>
    <row r="36" spans="1:57">
      <c r="A36" s="18" t="s">
        <v>57</v>
      </c>
      <c r="B36" s="19">
        <v>27196957</v>
      </c>
      <c r="C36" s="20">
        <v>46030</v>
      </c>
      <c r="D36" s="18" t="s">
        <v>58</v>
      </c>
      <c r="E36" s="18" t="s">
        <v>59</v>
      </c>
      <c r="F36" s="18" t="s">
        <v>60</v>
      </c>
      <c r="G36" s="18">
        <v>11705</v>
      </c>
      <c r="H36" s="18">
        <f>_xlfn.XLOOKUP(L36,'[1]2026 Mapping v3'!A:A,'[1]2026 Mapping v3'!F:F,0,0)</f>
        <v>12</v>
      </c>
      <c r="I36" s="18" t="b">
        <v>0</v>
      </c>
      <c r="J36" s="18" t="s">
        <v>206</v>
      </c>
      <c r="K36" s="21" t="s">
        <v>1059</v>
      </c>
      <c r="L36" s="18" t="s">
        <v>207</v>
      </c>
      <c r="M36" s="18" t="s">
        <v>98</v>
      </c>
      <c r="N36" s="18" t="s">
        <v>64</v>
      </c>
      <c r="O36" s="18" t="s">
        <v>208</v>
      </c>
      <c r="Q36" s="23" t="s">
        <v>80</v>
      </c>
      <c r="R36" s="23">
        <v>7</v>
      </c>
      <c r="S36" s="24">
        <v>2108861</v>
      </c>
      <c r="T36" s="28">
        <v>250395</v>
      </c>
      <c r="U36" s="20" t="s">
        <v>67</v>
      </c>
      <c r="V36" s="18" t="s">
        <v>68</v>
      </c>
      <c r="W36" s="18" t="s">
        <v>69</v>
      </c>
      <c r="X36" s="20">
        <v>46027</v>
      </c>
      <c r="Y36" s="18" t="s">
        <v>209</v>
      </c>
      <c r="Z36" s="18" t="str">
        <f>_xlfn.XLOOKUP(Y36,'[1]Data Source'!A:A,'[1]Data Source'!E:E,"N/A",0)</f>
        <v>N/A</v>
      </c>
      <c r="AA36" s="18" t="s">
        <v>101</v>
      </c>
      <c r="AB36" s="18" t="s">
        <v>207</v>
      </c>
      <c r="AC36" s="18" t="str">
        <f>_xlfn.XLOOKUP(L36,'[1]2026 Mapping v3'!A:A,'[1]2026 Mapping v3'!B:B,"Error",0)</f>
        <v>Coast</v>
      </c>
      <c r="AD36" s="18" t="str">
        <f>_xlfn.XLOOKUP(L36,'[1]2026 Mapping v3'!A:A,'[1]2026 Mapping v3'!C:C,"Error",0)</f>
        <v>Brian Khamadi</v>
      </c>
      <c r="AE36" s="18" t="str">
        <f>_xlfn.XLOOKUP(L36,'[1]2026 Mapping v3'!A:A,'[1]2026 Mapping v3'!D:D,"Error",0)</f>
        <v>Brian Khamadi</v>
      </c>
      <c r="AF36" s="18" t="str">
        <f>_xlfn.XLOOKUP(L36,'[1]2026 Mapping v3'!A:A,'[1]2026 Mapping v3'!E:E,"Error",0)</f>
        <v>Eric Njiru</v>
      </c>
      <c r="AS36" s="24">
        <v>250395</v>
      </c>
      <c r="AT36" s="24"/>
      <c r="AU36" s="24"/>
      <c r="AV36" s="24"/>
      <c r="AX36" s="29"/>
      <c r="BE36" s="24">
        <v>250395</v>
      </c>
    </row>
    <row r="37" spans="1:57">
      <c r="A37" s="18" t="s">
        <v>57</v>
      </c>
      <c r="B37" s="19">
        <v>27196957</v>
      </c>
      <c r="C37" s="20">
        <v>46030</v>
      </c>
      <c r="D37" s="18" t="s">
        <v>58</v>
      </c>
      <c r="E37" s="18" t="s">
        <v>59</v>
      </c>
      <c r="F37" s="18" t="s">
        <v>60</v>
      </c>
      <c r="G37" s="18">
        <v>18743</v>
      </c>
      <c r="H37" s="18">
        <f>_xlfn.XLOOKUP(L37,'[1]2026 Mapping v3'!A:A,'[1]2026 Mapping v3'!F:F,0,0)</f>
        <v>39</v>
      </c>
      <c r="I37" s="18" t="b">
        <v>0</v>
      </c>
      <c r="J37" s="18" t="s">
        <v>210</v>
      </c>
      <c r="K37" s="21" t="s">
        <v>1060</v>
      </c>
      <c r="L37" s="18" t="s">
        <v>211</v>
      </c>
      <c r="M37" s="18" t="s">
        <v>98</v>
      </c>
      <c r="N37" s="18" t="s">
        <v>64</v>
      </c>
      <c r="O37" s="18" t="s">
        <v>212</v>
      </c>
      <c r="Q37" s="23" t="s">
        <v>80</v>
      </c>
      <c r="R37" s="23">
        <v>10</v>
      </c>
      <c r="S37" s="24">
        <v>4117175</v>
      </c>
      <c r="T37" s="28">
        <v>2000000</v>
      </c>
      <c r="U37" s="18" t="s">
        <v>67</v>
      </c>
      <c r="V37" s="18" t="s">
        <v>158</v>
      </c>
      <c r="W37" s="18" t="s">
        <v>69</v>
      </c>
      <c r="X37" s="20">
        <v>46052</v>
      </c>
      <c r="Y37" s="18" t="s">
        <v>213</v>
      </c>
      <c r="Z37" s="18" t="str">
        <f>_xlfn.XLOOKUP(Y37,'[1]Data Source'!A:A,'[1]Data Source'!E:E,"N/A",0)</f>
        <v>N/A</v>
      </c>
      <c r="AA37" s="18" t="s">
        <v>101</v>
      </c>
      <c r="AB37" s="18" t="s">
        <v>214</v>
      </c>
      <c r="AC37" s="18" t="str">
        <f>_xlfn.XLOOKUP(L37,'[1]2026 Mapping v3'!A:A,'[1]2026 Mapping v3'!B:B,"Error",0)</f>
        <v>Western</v>
      </c>
      <c r="AD37" s="18" t="str">
        <f>_xlfn.XLOOKUP(L37,'[1]2026 Mapping v3'!A:A,'[1]2026 Mapping v3'!C:C,"Error",0)</f>
        <v>Sheila Adhiambo</v>
      </c>
      <c r="AE37" s="18" t="str">
        <f>_xlfn.XLOOKUP(L37,'[1]2026 Mapping v3'!A:A,'[1]2026 Mapping v3'!D:D,"Error",0)</f>
        <v>Sheila Adhiambo</v>
      </c>
      <c r="AF37" s="18" t="str">
        <f>_xlfn.XLOOKUP(L37,'[1]2026 Mapping v3'!A:A,'[1]2026 Mapping v3'!E:E,"Error",0)</f>
        <v>Eric Njiru</v>
      </c>
      <c r="AS37" s="24">
        <v>2000000</v>
      </c>
      <c r="AT37" s="24"/>
      <c r="AU37" s="24"/>
      <c r="AV37" s="24"/>
      <c r="AX37" s="29"/>
      <c r="BE37" s="24">
        <v>2000000</v>
      </c>
    </row>
    <row r="38" spans="1:57">
      <c r="A38" s="18" t="s">
        <v>128</v>
      </c>
      <c r="B38" s="19">
        <v>27196957</v>
      </c>
      <c r="C38" s="20">
        <v>46030</v>
      </c>
      <c r="D38" s="18" t="s">
        <v>58</v>
      </c>
      <c r="E38" s="18" t="s">
        <v>59</v>
      </c>
      <c r="F38" s="18" t="s">
        <v>60</v>
      </c>
      <c r="G38" s="18">
        <v>4827</v>
      </c>
      <c r="H38" s="18">
        <f>_xlfn.XLOOKUP(L38,'[1]2026 Mapping v3'!A:A,'[1]2026 Mapping v3'!F:F,0,0)</f>
        <v>12</v>
      </c>
      <c r="I38" s="18" t="b">
        <v>0</v>
      </c>
      <c r="J38" s="18" t="s">
        <v>215</v>
      </c>
      <c r="K38" s="21" t="s">
        <v>1061</v>
      </c>
      <c r="L38" s="18" t="str">
        <f t="shared" ref="L38:L39" si="6">Y38</f>
        <v>HISA001</v>
      </c>
      <c r="M38" s="18" t="s">
        <v>98</v>
      </c>
      <c r="N38" s="18" t="s">
        <v>64</v>
      </c>
      <c r="O38" s="18" t="s">
        <v>216</v>
      </c>
      <c r="Q38" s="23" t="s">
        <v>80</v>
      </c>
      <c r="R38" s="23">
        <v>5</v>
      </c>
      <c r="S38" s="24">
        <v>6930693</v>
      </c>
      <c r="T38" s="28">
        <v>100116</v>
      </c>
      <c r="U38" s="18" t="s">
        <v>67</v>
      </c>
      <c r="V38" s="18" t="s">
        <v>110</v>
      </c>
      <c r="W38" s="18" t="s">
        <v>69</v>
      </c>
      <c r="X38" s="20">
        <v>46052</v>
      </c>
      <c r="Y38" s="18" t="s">
        <v>131</v>
      </c>
      <c r="Z38" s="18" t="str">
        <f>_xlfn.XLOOKUP(Y38,'[1]Data Source'!A:A,'[1]Data Source'!E:E,"N/A",0)</f>
        <v>ALAK</v>
      </c>
      <c r="AA38" s="18" t="s">
        <v>217</v>
      </c>
      <c r="AB38" s="18" t="str">
        <f t="shared" ref="AB38:AB39" si="7">Y38</f>
        <v>HISA001</v>
      </c>
      <c r="AC38" s="18" t="str">
        <f>_xlfn.XLOOKUP(L38,'[1]2026 Mapping v3'!A:A,'[1]2026 Mapping v3'!B:B,"Error",0)</f>
        <v>Alternative Channels</v>
      </c>
      <c r="AD38" s="18" t="str">
        <f>_xlfn.XLOOKUP(L38,'[1]2026 Mapping v3'!A:A,'[1]2026 Mapping v3'!C:C,"Error",0)</f>
        <v>Eric Njiru</v>
      </c>
      <c r="AE38" s="18" t="str">
        <f>_xlfn.XLOOKUP(L38,'[1]2026 Mapping v3'!A:A,'[1]2026 Mapping v3'!D:D,"Error",0)</f>
        <v>Eric Njiru</v>
      </c>
      <c r="AF38" s="18" t="str">
        <f>_xlfn.XLOOKUP(L38,'[1]2026 Mapping v3'!A:A,'[1]2026 Mapping v3'!E:E,"Error",0)</f>
        <v>Eric Njiru</v>
      </c>
      <c r="AS38" s="24">
        <v>100116</v>
      </c>
      <c r="AT38" s="24"/>
      <c r="AU38" s="24"/>
      <c r="AV38" s="24"/>
      <c r="AX38" s="29"/>
      <c r="BE38" s="24">
        <v>100116</v>
      </c>
    </row>
    <row r="39" spans="1:57">
      <c r="A39" s="18" t="s">
        <v>128</v>
      </c>
      <c r="B39" s="19">
        <v>27196957</v>
      </c>
      <c r="C39" s="20">
        <v>46030</v>
      </c>
      <c r="D39" s="18" t="s">
        <v>58</v>
      </c>
      <c r="E39" s="18" t="s">
        <v>59</v>
      </c>
      <c r="F39" s="18" t="s">
        <v>60</v>
      </c>
      <c r="G39" s="18">
        <v>4330</v>
      </c>
      <c r="H39" s="18">
        <f>_xlfn.XLOOKUP(L39,'[1]2026 Mapping v3'!A:A,'[1]2026 Mapping v3'!F:F,0,0)</f>
        <v>12</v>
      </c>
      <c r="I39" s="18" t="b">
        <v>0</v>
      </c>
      <c r="J39" s="18" t="s">
        <v>218</v>
      </c>
      <c r="K39" s="21" t="s">
        <v>1062</v>
      </c>
      <c r="L39" s="18" t="str">
        <f t="shared" si="6"/>
        <v>HISA001</v>
      </c>
      <c r="M39" s="18" t="s">
        <v>98</v>
      </c>
      <c r="N39" s="18" t="s">
        <v>64</v>
      </c>
      <c r="O39" s="18" t="s">
        <v>219</v>
      </c>
      <c r="Q39" s="23" t="s">
        <v>80</v>
      </c>
      <c r="R39" s="23">
        <v>7</v>
      </c>
      <c r="S39" s="24">
        <v>16584652</v>
      </c>
      <c r="T39" s="28">
        <v>1803049</v>
      </c>
      <c r="U39" s="18" t="s">
        <v>67</v>
      </c>
      <c r="V39" s="18" t="s">
        <v>68</v>
      </c>
      <c r="W39" s="18" t="s">
        <v>69</v>
      </c>
      <c r="X39" s="20">
        <v>46052</v>
      </c>
      <c r="Y39" s="18" t="s">
        <v>131</v>
      </c>
      <c r="Z39" s="18" t="str">
        <f>_xlfn.XLOOKUP(Y39,'[1]Data Source'!A:A,'[1]Data Source'!E:E,"N/A",0)</f>
        <v>ALAK</v>
      </c>
      <c r="AA39" s="18" t="s">
        <v>132</v>
      </c>
      <c r="AB39" s="18" t="str">
        <f t="shared" si="7"/>
        <v>HISA001</v>
      </c>
      <c r="AC39" s="18" t="str">
        <f>_xlfn.XLOOKUP(L39,'[1]2026 Mapping v3'!A:A,'[1]2026 Mapping v3'!B:B,"Error",0)</f>
        <v>Alternative Channels</v>
      </c>
      <c r="AD39" s="18" t="str">
        <f>_xlfn.XLOOKUP(L39,'[1]2026 Mapping v3'!A:A,'[1]2026 Mapping v3'!C:C,"Error",0)</f>
        <v>Eric Njiru</v>
      </c>
      <c r="AE39" s="18" t="str">
        <f>_xlfn.XLOOKUP(L39,'[1]2026 Mapping v3'!A:A,'[1]2026 Mapping v3'!D:D,"Error",0)</f>
        <v>Eric Njiru</v>
      </c>
      <c r="AF39" s="18" t="str">
        <f>_xlfn.XLOOKUP(L39,'[1]2026 Mapping v3'!A:A,'[1]2026 Mapping v3'!E:E,"Error",0)</f>
        <v>Eric Njiru</v>
      </c>
      <c r="AS39" s="24">
        <v>1803049</v>
      </c>
      <c r="AT39" s="24"/>
      <c r="AU39" s="24"/>
      <c r="AV39" s="24"/>
      <c r="AX39" s="29"/>
      <c r="BE39" s="24">
        <v>1803049</v>
      </c>
    </row>
    <row r="40" spans="1:57">
      <c r="A40" s="18" t="s">
        <v>57</v>
      </c>
      <c r="B40" s="19">
        <v>27196957</v>
      </c>
      <c r="C40" s="20">
        <v>46031</v>
      </c>
      <c r="D40" s="18" t="s">
        <v>58</v>
      </c>
      <c r="E40" s="18" t="s">
        <v>59</v>
      </c>
      <c r="F40" s="18" t="s">
        <v>60</v>
      </c>
      <c r="G40" s="18">
        <v>13951</v>
      </c>
      <c r="H40" s="18">
        <f>_xlfn.XLOOKUP(L40,'[1]2026 Mapping v3'!A:A,'[1]2026 Mapping v3'!F:F,0,0)</f>
        <v>41</v>
      </c>
      <c r="I40" s="18" t="b">
        <v>0</v>
      </c>
      <c r="J40" s="18" t="s">
        <v>220</v>
      </c>
      <c r="K40" s="21" t="s">
        <v>1063</v>
      </c>
      <c r="L40" s="18" t="s">
        <v>221</v>
      </c>
      <c r="M40" s="18" t="s">
        <v>63</v>
      </c>
      <c r="N40" s="18" t="s">
        <v>64</v>
      </c>
      <c r="O40" s="18" t="s">
        <v>222</v>
      </c>
      <c r="Q40" s="23" t="s">
        <v>80</v>
      </c>
      <c r="R40" s="23">
        <v>18</v>
      </c>
      <c r="S40" s="24">
        <v>2520252</v>
      </c>
      <c r="T40" s="28">
        <v>100000</v>
      </c>
      <c r="U40" s="18" t="s">
        <v>67</v>
      </c>
      <c r="V40" s="18" t="s">
        <v>68</v>
      </c>
      <c r="W40" s="18" t="s">
        <v>69</v>
      </c>
      <c r="X40" s="20">
        <v>46027</v>
      </c>
      <c r="Y40" s="18" t="s">
        <v>223</v>
      </c>
      <c r="Z40" s="18" t="str">
        <f>_xlfn.XLOOKUP(Y40,'[1]Data Source'!A:A,'[1]Data Source'!E:E,"N/A",0)</f>
        <v>LG</v>
      </c>
      <c r="AA40" s="18" t="s">
        <v>224</v>
      </c>
      <c r="AB40" s="18" t="s">
        <v>221</v>
      </c>
      <c r="AC40" s="18" t="str">
        <f>_xlfn.XLOOKUP(L40,'[1]2026 Mapping v3'!A:A,'[1]2026 Mapping v3'!B:B,"Error",0)</f>
        <v>Nairobi West</v>
      </c>
      <c r="AD40" s="18" t="str">
        <f>_xlfn.XLOOKUP(L40,'[1]2026 Mapping v3'!A:A,'[1]2026 Mapping v3'!C:C,"Error",0)</f>
        <v>Ancetar Mulili</v>
      </c>
      <c r="AE40" s="18" t="str">
        <f>_xlfn.XLOOKUP(L40,'[1]2026 Mapping v3'!A:A,'[1]2026 Mapping v3'!D:D,"Error",0)</f>
        <v>Ancetar Mulili</v>
      </c>
      <c r="AF40" s="18" t="str">
        <f>_xlfn.XLOOKUP(L40,'[1]2026 Mapping v3'!A:A,'[1]2026 Mapping v3'!E:E,"Error",0)</f>
        <v>Bilha Wachira</v>
      </c>
      <c r="AS40" s="24">
        <v>100000</v>
      </c>
      <c r="AT40" s="24"/>
      <c r="AU40" s="24"/>
      <c r="AV40" s="24"/>
      <c r="AX40" s="29"/>
      <c r="BE40" s="24">
        <v>100000</v>
      </c>
    </row>
    <row r="41" spans="1:57">
      <c r="A41" s="18" t="s">
        <v>57</v>
      </c>
      <c r="B41" s="19">
        <v>27196957</v>
      </c>
      <c r="C41" s="20">
        <v>46031</v>
      </c>
      <c r="D41" s="18" t="s">
        <v>58</v>
      </c>
      <c r="E41" s="18" t="s">
        <v>59</v>
      </c>
      <c r="F41" s="18" t="s">
        <v>60</v>
      </c>
      <c r="G41" s="18">
        <v>3898</v>
      </c>
      <c r="H41" s="18">
        <f>_xlfn.XLOOKUP(L41,'[1]2026 Mapping v3'!A:A,'[1]2026 Mapping v3'!F:F,0,0)</f>
        <v>54</v>
      </c>
      <c r="I41" s="18" t="b">
        <v>0</v>
      </c>
      <c r="J41" s="18" t="s">
        <v>225</v>
      </c>
      <c r="K41" s="21" t="s">
        <v>1064</v>
      </c>
      <c r="L41" s="18" t="s">
        <v>226</v>
      </c>
      <c r="M41" s="18" t="s">
        <v>63</v>
      </c>
      <c r="N41" s="18" t="s">
        <v>64</v>
      </c>
      <c r="O41" s="18" t="s">
        <v>227</v>
      </c>
      <c r="Q41" s="23" t="s">
        <v>80</v>
      </c>
      <c r="R41" s="23">
        <v>10</v>
      </c>
      <c r="S41" s="24">
        <v>1188370</v>
      </c>
      <c r="T41" s="28">
        <v>100001</v>
      </c>
      <c r="U41" s="18" t="s">
        <v>67</v>
      </c>
      <c r="V41" s="18" t="s">
        <v>68</v>
      </c>
      <c r="W41" s="18" t="s">
        <v>69</v>
      </c>
      <c r="X41" s="20">
        <v>46046</v>
      </c>
      <c r="Y41" s="18" t="s">
        <v>228</v>
      </c>
      <c r="Z41" s="18" t="str">
        <f>_xlfn.XLOOKUP(Y41,'[1]Data Source'!A:A,'[1]Data Source'!E:E,"N/A",0)</f>
        <v>LG</v>
      </c>
      <c r="AA41" s="18" t="s">
        <v>229</v>
      </c>
      <c r="AB41" s="18" t="s">
        <v>226</v>
      </c>
      <c r="AC41" s="18" t="str">
        <f>_xlfn.XLOOKUP(L41,'[1]2026 Mapping v3'!A:A,'[1]2026 Mapping v3'!B:B,"Error",0)</f>
        <v>Coast</v>
      </c>
      <c r="AD41" s="18" t="str">
        <f>_xlfn.XLOOKUP(L41,'[1]2026 Mapping v3'!A:A,'[1]2026 Mapping v3'!C:C,"Error",0)</f>
        <v>Nancy Logose</v>
      </c>
      <c r="AE41" s="18" t="str">
        <f>_xlfn.XLOOKUP(L41,'[1]2026 Mapping v3'!A:A,'[1]2026 Mapping v3'!D:D,"Error",0)</f>
        <v>Brian Khamadi</v>
      </c>
      <c r="AF41" s="18" t="str">
        <f>_xlfn.XLOOKUP(L41,'[1]2026 Mapping v3'!A:A,'[1]2026 Mapping v3'!E:E,"Error",0)</f>
        <v>Eric Njiru</v>
      </c>
      <c r="AS41" s="24">
        <v>100001</v>
      </c>
      <c r="AT41" s="24"/>
      <c r="AU41" s="24"/>
      <c r="AV41" s="24"/>
      <c r="AX41" s="29"/>
      <c r="BE41" s="24">
        <v>100001</v>
      </c>
    </row>
    <row r="42" spans="1:57">
      <c r="A42" s="18" t="s">
        <v>145</v>
      </c>
      <c r="B42" s="19">
        <v>27196957</v>
      </c>
      <c r="C42" s="20">
        <v>46031</v>
      </c>
      <c r="D42" s="18" t="s">
        <v>58</v>
      </c>
      <c r="E42" s="18" t="s">
        <v>59</v>
      </c>
      <c r="F42" s="18" t="s">
        <v>60</v>
      </c>
      <c r="G42" s="18">
        <v>3192</v>
      </c>
      <c r="H42" s="18">
        <f>_xlfn.XLOOKUP(L42,'[1]2026 Mapping v3'!A:A,'[1]2026 Mapping v3'!F:F,0,0)</f>
        <v>129</v>
      </c>
      <c r="I42" s="18" t="b">
        <v>0</v>
      </c>
      <c r="J42" s="18" t="s">
        <v>230</v>
      </c>
      <c r="K42" s="21" t="s">
        <v>1065</v>
      </c>
      <c r="L42" s="18" t="s">
        <v>145</v>
      </c>
      <c r="M42" s="18" t="s">
        <v>63</v>
      </c>
      <c r="N42" s="18" t="s">
        <v>64</v>
      </c>
      <c r="O42" s="18" t="s">
        <v>101</v>
      </c>
      <c r="Q42" s="23" t="s">
        <v>80</v>
      </c>
      <c r="R42" s="23">
        <v>10</v>
      </c>
      <c r="S42" s="24">
        <v>653594</v>
      </c>
      <c r="T42" s="28">
        <v>5000</v>
      </c>
      <c r="U42" s="18" t="s">
        <v>67</v>
      </c>
      <c r="V42" s="18" t="s">
        <v>110</v>
      </c>
      <c r="W42" s="18" t="s">
        <v>69</v>
      </c>
      <c r="X42" s="20">
        <v>46032</v>
      </c>
      <c r="Y42" s="18" t="s">
        <v>148</v>
      </c>
      <c r="Z42" s="18" t="str">
        <f>_xlfn.XLOOKUP(Y42,'[1]Data Source'!A:A,'[1]Data Source'!E:E,"N/A",0)</f>
        <v>WENDRA</v>
      </c>
      <c r="AA42" s="18" t="s">
        <v>149</v>
      </c>
      <c r="AB42" s="18" t="s">
        <v>145</v>
      </c>
      <c r="AC42" s="18" t="str">
        <f>_xlfn.XLOOKUP(L42,'[1]2026 Mapping v3'!A:A,'[1]2026 Mapping v3'!B:B,"Error",0)</f>
        <v>Alternative Channels</v>
      </c>
      <c r="AD42" s="18" t="str">
        <f>_xlfn.XLOOKUP(L42,'[1]2026 Mapping v3'!A:A,'[1]2026 Mapping v3'!C:C,"Error",0)</f>
        <v>Selestine Magayu</v>
      </c>
      <c r="AE42" s="18" t="str">
        <f>_xlfn.XLOOKUP(L42,'[1]2026 Mapping v3'!A:A,'[1]2026 Mapping v3'!D:D,"Error",0)</f>
        <v>Joel Mbogo</v>
      </c>
      <c r="AF42" s="18" t="str">
        <f>_xlfn.XLOOKUP(L42,'[1]2026 Mapping v3'!A:A,'[1]2026 Mapping v3'!E:E,"Error",0)</f>
        <v>Eric Njiru</v>
      </c>
      <c r="AS42" s="24">
        <v>5000</v>
      </c>
      <c r="AT42" s="24"/>
      <c r="AU42" s="24"/>
      <c r="AV42" s="24"/>
      <c r="AX42" s="29"/>
      <c r="BE42" s="24">
        <v>5000</v>
      </c>
    </row>
    <row r="43" spans="1:57">
      <c r="A43" s="18" t="s">
        <v>57</v>
      </c>
      <c r="B43" s="19">
        <v>27196957</v>
      </c>
      <c r="C43" s="20">
        <v>46031</v>
      </c>
      <c r="D43" s="18" t="s">
        <v>58</v>
      </c>
      <c r="E43" s="18" t="s">
        <v>59</v>
      </c>
      <c r="F43" s="18" t="s">
        <v>60</v>
      </c>
      <c r="G43" s="18">
        <v>15341</v>
      </c>
      <c r="H43" s="18">
        <f>_xlfn.XLOOKUP(L43,'[1]2026 Mapping v3'!A:A,'[1]2026 Mapping v3'!F:F,0,0)</f>
        <v>71</v>
      </c>
      <c r="I43" s="18" t="b">
        <v>0</v>
      </c>
      <c r="J43" s="18" t="s">
        <v>231</v>
      </c>
      <c r="K43" s="21" t="s">
        <v>1066</v>
      </c>
      <c r="L43" s="18" t="s">
        <v>89</v>
      </c>
      <c r="M43" s="18" t="s">
        <v>98</v>
      </c>
      <c r="N43" s="18" t="s">
        <v>64</v>
      </c>
      <c r="O43" s="18" t="s">
        <v>232</v>
      </c>
      <c r="Q43" s="23" t="s">
        <v>80</v>
      </c>
      <c r="R43" s="23">
        <v>5</v>
      </c>
      <c r="S43" s="24">
        <v>1260126</v>
      </c>
      <c r="T43" s="28">
        <v>200002</v>
      </c>
      <c r="U43" s="18" t="s">
        <v>67</v>
      </c>
      <c r="V43" s="18" t="s">
        <v>68</v>
      </c>
      <c r="W43" s="18" t="s">
        <v>69</v>
      </c>
      <c r="X43" s="20">
        <v>46052</v>
      </c>
      <c r="Y43" s="18" t="s">
        <v>168</v>
      </c>
      <c r="Z43" s="18" t="str">
        <f>_xlfn.XLOOKUP(Y43,'[1]Data Source'!A:A,'[1]Data Source'!E:E,"N/A",0)</f>
        <v>N/A</v>
      </c>
      <c r="AA43" s="18" t="s">
        <v>101</v>
      </c>
      <c r="AB43" s="18" t="s">
        <v>89</v>
      </c>
      <c r="AC43" s="18" t="str">
        <f>_xlfn.XLOOKUP(L43,'[1]2026 Mapping v3'!A:A,'[1]2026 Mapping v3'!B:B,"Error",0)</f>
        <v>Queensway</v>
      </c>
      <c r="AD43" s="18" t="str">
        <f>_xlfn.XLOOKUP(L43,'[1]2026 Mapping v3'!A:A,'[1]2026 Mapping v3'!C:C,"Error",0)</f>
        <v>Nina Kifani</v>
      </c>
      <c r="AE43" s="18" t="str">
        <f>_xlfn.XLOOKUP(L43,'[1]2026 Mapping v3'!A:A,'[1]2026 Mapping v3'!D:D,"Error",0)</f>
        <v>Nina Kifani</v>
      </c>
      <c r="AF43" s="18" t="str">
        <f>_xlfn.XLOOKUP(L43,'[1]2026 Mapping v3'!A:A,'[1]2026 Mapping v3'!E:E,"Error",0)</f>
        <v>Bilha Wachira</v>
      </c>
      <c r="AS43" s="24">
        <v>200002</v>
      </c>
      <c r="AT43" s="24"/>
      <c r="AU43" s="24"/>
      <c r="AV43" s="24"/>
      <c r="AX43" s="29"/>
      <c r="BE43" s="24">
        <v>200002</v>
      </c>
    </row>
    <row r="44" spans="1:57">
      <c r="A44" s="18" t="s">
        <v>128</v>
      </c>
      <c r="B44" s="19">
        <v>27196957</v>
      </c>
      <c r="C44" s="20">
        <v>46031</v>
      </c>
      <c r="D44" s="18" t="s">
        <v>58</v>
      </c>
      <c r="E44" s="18" t="s">
        <v>59</v>
      </c>
      <c r="F44" s="18" t="s">
        <v>60</v>
      </c>
      <c r="G44" s="18">
        <v>4317</v>
      </c>
      <c r="H44" s="18">
        <f>_xlfn.XLOOKUP(L44,'[1]2026 Mapping v3'!A:A,'[1]2026 Mapping v3'!F:F,0,0)</f>
        <v>12</v>
      </c>
      <c r="I44" s="18" t="b">
        <v>0</v>
      </c>
      <c r="J44" s="18" t="s">
        <v>233</v>
      </c>
      <c r="K44" s="21" t="s">
        <v>1067</v>
      </c>
      <c r="L44" s="18" t="str">
        <f>Y44</f>
        <v>HISA001</v>
      </c>
      <c r="M44" s="18" t="s">
        <v>98</v>
      </c>
      <c r="N44" s="18" t="s">
        <v>64</v>
      </c>
      <c r="O44" s="18" t="s">
        <v>234</v>
      </c>
      <c r="Q44" s="23" t="s">
        <v>80</v>
      </c>
      <c r="R44" s="23">
        <v>7</v>
      </c>
      <c r="S44" s="24">
        <v>1013506</v>
      </c>
      <c r="T44" s="28">
        <v>10017</v>
      </c>
      <c r="U44" s="18" t="s">
        <v>67</v>
      </c>
      <c r="V44" s="18" t="s">
        <v>110</v>
      </c>
      <c r="W44" s="18" t="s">
        <v>69</v>
      </c>
      <c r="X44" s="20">
        <v>46032</v>
      </c>
      <c r="Y44" s="18" t="s">
        <v>131</v>
      </c>
      <c r="Z44" s="18" t="str">
        <f>_xlfn.XLOOKUP(Y44,'[1]Data Source'!A:A,'[1]Data Source'!E:E,"N/A",0)</f>
        <v>ALAK</v>
      </c>
      <c r="AA44" s="18" t="s">
        <v>132</v>
      </c>
      <c r="AB44" s="18" t="str">
        <f>Y44</f>
        <v>HISA001</v>
      </c>
      <c r="AC44" s="18" t="str">
        <f>_xlfn.XLOOKUP(L44,'[1]2026 Mapping v3'!A:A,'[1]2026 Mapping v3'!B:B,"Error",0)</f>
        <v>Alternative Channels</v>
      </c>
      <c r="AD44" s="18" t="str">
        <f>_xlfn.XLOOKUP(L44,'[1]2026 Mapping v3'!A:A,'[1]2026 Mapping v3'!C:C,"Error",0)</f>
        <v>Eric Njiru</v>
      </c>
      <c r="AE44" s="18" t="str">
        <f>_xlfn.XLOOKUP(L44,'[1]2026 Mapping v3'!A:A,'[1]2026 Mapping v3'!D:D,"Error",0)</f>
        <v>Eric Njiru</v>
      </c>
      <c r="AF44" s="18" t="str">
        <f>_xlfn.XLOOKUP(L44,'[1]2026 Mapping v3'!A:A,'[1]2026 Mapping v3'!E:E,"Error",0)</f>
        <v>Eric Njiru</v>
      </c>
      <c r="AS44" s="24">
        <v>10017</v>
      </c>
      <c r="AT44" s="24"/>
      <c r="AU44" s="24"/>
      <c r="AV44" s="24"/>
      <c r="AX44" s="29"/>
      <c r="BE44" s="24">
        <v>10017</v>
      </c>
    </row>
    <row r="45" spans="1:57">
      <c r="A45" s="18" t="s">
        <v>57</v>
      </c>
      <c r="B45" s="19">
        <v>27196957</v>
      </c>
      <c r="C45" s="20">
        <v>46031</v>
      </c>
      <c r="D45" s="18" t="s">
        <v>58</v>
      </c>
      <c r="E45" s="18" t="s">
        <v>59</v>
      </c>
      <c r="F45" s="18" t="s">
        <v>60</v>
      </c>
      <c r="G45" s="18">
        <v>18745</v>
      </c>
      <c r="H45" s="18">
        <f>_xlfn.XLOOKUP(L45,'[1]2026 Mapping v3'!A:A,'[1]2026 Mapping v3'!F:F,0,0)</f>
        <v>39</v>
      </c>
      <c r="I45" s="18" t="b">
        <v>0</v>
      </c>
      <c r="J45" s="18" t="s">
        <v>235</v>
      </c>
      <c r="K45" s="21" t="s">
        <v>1068</v>
      </c>
      <c r="L45" s="18" t="s">
        <v>211</v>
      </c>
      <c r="M45" s="18" t="s">
        <v>98</v>
      </c>
      <c r="N45" s="18" t="s">
        <v>64</v>
      </c>
      <c r="O45" s="18" t="s">
        <v>236</v>
      </c>
      <c r="Q45" s="23" t="s">
        <v>80</v>
      </c>
      <c r="R45" s="23">
        <v>6</v>
      </c>
      <c r="S45" s="24">
        <v>1399638</v>
      </c>
      <c r="T45" s="28">
        <v>200259</v>
      </c>
      <c r="U45" s="18" t="s">
        <v>67</v>
      </c>
      <c r="V45" s="18" t="s">
        <v>68</v>
      </c>
      <c r="W45" s="18" t="s">
        <v>69</v>
      </c>
      <c r="X45" s="20">
        <v>46027</v>
      </c>
      <c r="Y45" s="18" t="s">
        <v>237</v>
      </c>
      <c r="Z45" s="18" t="str">
        <f>_xlfn.XLOOKUP(Y45,'[1]Data Source'!A:A,'[1]Data Source'!E:E,"N/A",0)</f>
        <v>LG</v>
      </c>
      <c r="AA45" s="18" t="s">
        <v>238</v>
      </c>
      <c r="AB45" s="18" t="s">
        <v>214</v>
      </c>
      <c r="AC45" s="18" t="str">
        <f>_xlfn.XLOOKUP(L45,'[1]2026 Mapping v3'!A:A,'[1]2026 Mapping v3'!B:B,"Error",0)</f>
        <v>Western</v>
      </c>
      <c r="AD45" s="18" t="str">
        <f>_xlfn.XLOOKUP(L45,'[1]2026 Mapping v3'!A:A,'[1]2026 Mapping v3'!C:C,"Error",0)</f>
        <v>Sheila Adhiambo</v>
      </c>
      <c r="AE45" s="18" t="str">
        <f>_xlfn.XLOOKUP(L45,'[1]2026 Mapping v3'!A:A,'[1]2026 Mapping v3'!D:D,"Error",0)</f>
        <v>Sheila Adhiambo</v>
      </c>
      <c r="AF45" s="18" t="str">
        <f>_xlfn.XLOOKUP(L45,'[1]2026 Mapping v3'!A:A,'[1]2026 Mapping v3'!E:E,"Error",0)</f>
        <v>Eric Njiru</v>
      </c>
      <c r="AS45" s="24">
        <v>200259</v>
      </c>
      <c r="AT45" s="24"/>
      <c r="AU45" s="24"/>
      <c r="AV45" s="24"/>
      <c r="AX45" s="29"/>
      <c r="BE45" s="24">
        <v>200259</v>
      </c>
    </row>
    <row r="46" spans="1:57">
      <c r="A46" s="18" t="s">
        <v>57</v>
      </c>
      <c r="B46" s="19">
        <v>27196957</v>
      </c>
      <c r="C46" s="20">
        <v>46034</v>
      </c>
      <c r="D46" s="18" t="s">
        <v>58</v>
      </c>
      <c r="E46" s="18" t="s">
        <v>59</v>
      </c>
      <c r="F46" s="18" t="s">
        <v>60</v>
      </c>
      <c r="G46" s="18">
        <v>12626</v>
      </c>
      <c r="H46" s="18">
        <f>_xlfn.XLOOKUP(L46,'[1]2026 Mapping v3'!A:A,'[1]2026 Mapping v3'!F:F,0,0)</f>
        <v>126</v>
      </c>
      <c r="I46" s="18" t="b">
        <v>0</v>
      </c>
      <c r="J46" s="18" t="s">
        <v>77</v>
      </c>
      <c r="K46" s="21" t="s">
        <v>1069</v>
      </c>
      <c r="L46" s="18" t="s">
        <v>239</v>
      </c>
      <c r="M46" s="18" t="s">
        <v>98</v>
      </c>
      <c r="N46" s="18" t="s">
        <v>64</v>
      </c>
      <c r="O46" s="18" t="s">
        <v>240</v>
      </c>
      <c r="Q46" s="23" t="s">
        <v>80</v>
      </c>
      <c r="R46" s="23">
        <v>5</v>
      </c>
      <c r="S46" s="24">
        <v>1890189</v>
      </c>
      <c r="T46" s="28">
        <v>300350</v>
      </c>
      <c r="U46" s="18" t="s">
        <v>67</v>
      </c>
      <c r="V46" s="18" t="s">
        <v>68</v>
      </c>
      <c r="W46" s="18" t="s">
        <v>69</v>
      </c>
      <c r="X46" s="20">
        <v>46032</v>
      </c>
      <c r="Y46" s="18" t="s">
        <v>241</v>
      </c>
      <c r="Z46" s="18" t="str">
        <f>_xlfn.XLOOKUP(Y46,'[1]Data Source'!A:A,'[1]Data Source'!E:E,"N/A",0)</f>
        <v>LG</v>
      </c>
      <c r="AA46" s="18" t="s">
        <v>242</v>
      </c>
      <c r="AB46" s="18" t="s">
        <v>243</v>
      </c>
      <c r="AC46" s="18" t="str">
        <f>_xlfn.XLOOKUP(L46,'[1]2026 Mapping v3'!A:A,'[1]2026 Mapping v3'!B:B,"Error",0)</f>
        <v>Nairobi West</v>
      </c>
      <c r="AD46" s="18" t="str">
        <f>_xlfn.XLOOKUP(L46,'[1]2026 Mapping v3'!A:A,'[1]2026 Mapping v3'!C:C,"Error",0)</f>
        <v>Ancetar Mulili</v>
      </c>
      <c r="AE46" s="18" t="str">
        <f>_xlfn.XLOOKUP(L46,'[1]2026 Mapping v3'!A:A,'[1]2026 Mapping v3'!D:D,"Error",0)</f>
        <v>Ancetar Mulili</v>
      </c>
      <c r="AF46" s="18" t="str">
        <f>_xlfn.XLOOKUP(L46,'[1]2026 Mapping v3'!A:A,'[1]2026 Mapping v3'!E:E,"Error",0)</f>
        <v>Bilha Wachira</v>
      </c>
      <c r="AS46" s="24">
        <v>300350</v>
      </c>
      <c r="AT46" s="24"/>
      <c r="AU46" s="24"/>
      <c r="AV46" s="24"/>
      <c r="AX46" s="29"/>
      <c r="BE46" s="24">
        <v>300350</v>
      </c>
    </row>
    <row r="47" spans="1:57">
      <c r="A47" s="18" t="s">
        <v>57</v>
      </c>
      <c r="B47" s="19">
        <v>27196957</v>
      </c>
      <c r="C47" s="20">
        <v>46034</v>
      </c>
      <c r="D47" s="18" t="s">
        <v>58</v>
      </c>
      <c r="E47" s="18" t="s">
        <v>59</v>
      </c>
      <c r="F47" s="18" t="s">
        <v>60</v>
      </c>
      <c r="G47" s="18">
        <v>18644</v>
      </c>
      <c r="H47" s="18">
        <f>_xlfn.XLOOKUP(L47,'[1]2026 Mapping v3'!A:A,'[1]2026 Mapping v3'!F:F,0,0)</f>
        <v>40</v>
      </c>
      <c r="I47" s="18" t="b">
        <v>0</v>
      </c>
      <c r="J47" s="18" t="s">
        <v>198</v>
      </c>
      <c r="K47" s="21" t="s">
        <v>1070</v>
      </c>
      <c r="L47" s="18" t="s">
        <v>244</v>
      </c>
      <c r="M47" s="18" t="s">
        <v>98</v>
      </c>
      <c r="N47" s="18" t="s">
        <v>64</v>
      </c>
      <c r="O47" s="18" t="s">
        <v>245</v>
      </c>
      <c r="Q47" s="23" t="s">
        <v>80</v>
      </c>
      <c r="R47" s="23">
        <v>5</v>
      </c>
      <c r="S47" s="24">
        <v>1120701</v>
      </c>
      <c r="T47" s="28">
        <v>200002</v>
      </c>
      <c r="U47" s="18" t="s">
        <v>67</v>
      </c>
      <c r="V47" s="18" t="s">
        <v>68</v>
      </c>
      <c r="W47" s="18" t="s">
        <v>69</v>
      </c>
      <c r="X47" s="20">
        <v>46032</v>
      </c>
      <c r="Y47" s="18" t="s">
        <v>246</v>
      </c>
      <c r="Z47" s="18" t="str">
        <f>_xlfn.XLOOKUP(Y47,'[1]Data Source'!A:A,'[1]Data Source'!E:E,"N/A",0)</f>
        <v>LG</v>
      </c>
      <c r="AA47" s="18" t="s">
        <v>247</v>
      </c>
      <c r="AB47" s="18" t="s">
        <v>244</v>
      </c>
      <c r="AC47" s="18" t="str">
        <f>_xlfn.XLOOKUP(L47,'[1]2026 Mapping v3'!A:A,'[1]2026 Mapping v3'!B:B,"Error",0)</f>
        <v>Rift Valley</v>
      </c>
      <c r="AD47" s="18" t="str">
        <f>_xlfn.XLOOKUP(L47,'[1]2026 Mapping v3'!A:A,'[1]2026 Mapping v3'!C:C,"Error",0)</f>
        <v>Hillary Muganda</v>
      </c>
      <c r="AE47" s="18" t="str">
        <f>_xlfn.XLOOKUP(L47,'[1]2026 Mapping v3'!A:A,'[1]2026 Mapping v3'!D:D,"Error",0)</f>
        <v>Emily Jepchirchir</v>
      </c>
      <c r="AF47" s="18" t="str">
        <f>_xlfn.XLOOKUP(L47,'[1]2026 Mapping v3'!A:A,'[1]2026 Mapping v3'!E:E,"Error",0)</f>
        <v>Emily Jepchirchir</v>
      </c>
      <c r="AS47" s="24">
        <v>200002</v>
      </c>
      <c r="AT47" s="24"/>
      <c r="AU47" s="24"/>
      <c r="AV47" s="24"/>
      <c r="AX47" s="29"/>
      <c r="BE47" s="24">
        <v>200002</v>
      </c>
    </row>
    <row r="48" spans="1:57">
      <c r="A48" s="18" t="s">
        <v>57</v>
      </c>
      <c r="B48" s="19">
        <v>27196957</v>
      </c>
      <c r="C48" s="20">
        <v>46034</v>
      </c>
      <c r="D48" s="18" t="s">
        <v>58</v>
      </c>
      <c r="E48" s="18" t="s">
        <v>59</v>
      </c>
      <c r="F48" s="18" t="s">
        <v>60</v>
      </c>
      <c r="G48" s="18">
        <v>13385</v>
      </c>
      <c r="H48" s="18">
        <f>_xlfn.XLOOKUP(L48,'[1]2026 Mapping v3'!A:A,'[1]2026 Mapping v3'!F:F,0,0)</f>
        <v>26</v>
      </c>
      <c r="I48" s="18" t="b">
        <v>0</v>
      </c>
      <c r="J48" s="18" t="s">
        <v>248</v>
      </c>
      <c r="K48" s="21" t="s">
        <v>1071</v>
      </c>
      <c r="L48" s="18" t="s">
        <v>249</v>
      </c>
      <c r="M48" s="18" t="s">
        <v>98</v>
      </c>
      <c r="N48" s="18" t="s">
        <v>64</v>
      </c>
      <c r="O48" s="18" t="s">
        <v>250</v>
      </c>
      <c r="Q48" s="23" t="s">
        <v>80</v>
      </c>
      <c r="R48" s="23">
        <v>10</v>
      </c>
      <c r="S48" s="24">
        <v>1329198</v>
      </c>
      <c r="T48" s="28">
        <v>10023</v>
      </c>
      <c r="U48" s="18" t="s">
        <v>67</v>
      </c>
      <c r="V48" s="18" t="s">
        <v>110</v>
      </c>
      <c r="W48" s="18" t="s">
        <v>69</v>
      </c>
      <c r="X48" s="20">
        <v>46042</v>
      </c>
      <c r="Y48" s="18" t="s">
        <v>251</v>
      </c>
      <c r="Z48" s="18" t="str">
        <f>_xlfn.XLOOKUP(Y48,'[1]Data Source'!A:A,'[1]Data Source'!E:E,"N/A",0)</f>
        <v>LG</v>
      </c>
      <c r="AA48" s="18" t="s">
        <v>252</v>
      </c>
      <c r="AB48" s="18" t="s">
        <v>249</v>
      </c>
      <c r="AC48" s="18" t="str">
        <f>_xlfn.XLOOKUP(L48,'[1]2026 Mapping v3'!A:A,'[1]2026 Mapping v3'!B:B,"Error",0)</f>
        <v>Mt. Kenya</v>
      </c>
      <c r="AD48" s="18" t="str">
        <f>_xlfn.XLOOKUP(L48,'[1]2026 Mapping v3'!A:A,'[1]2026 Mapping v3'!C:C,"Error",0)</f>
        <v>Paul Kithuka</v>
      </c>
      <c r="AE48" s="18" t="str">
        <f>_xlfn.XLOOKUP(L48,'[1]2026 Mapping v3'!A:A,'[1]2026 Mapping v3'!D:D,"Error",0)</f>
        <v>Paul Kithuka</v>
      </c>
      <c r="AF48" s="18" t="str">
        <f>_xlfn.XLOOKUP(L48,'[1]2026 Mapping v3'!A:A,'[1]2026 Mapping v3'!E:E,"Error",0)</f>
        <v>Simon Maingi</v>
      </c>
      <c r="AS48" s="24">
        <v>10023</v>
      </c>
      <c r="AT48" s="24"/>
      <c r="AU48" s="24"/>
      <c r="AV48" s="24"/>
      <c r="AX48" s="29"/>
      <c r="BE48" s="24">
        <v>10023</v>
      </c>
    </row>
    <row r="49" spans="1:57">
      <c r="A49" s="18" t="s">
        <v>57</v>
      </c>
      <c r="B49" s="19">
        <v>27196957</v>
      </c>
      <c r="C49" s="20">
        <v>46034</v>
      </c>
      <c r="D49" s="18" t="s">
        <v>58</v>
      </c>
      <c r="E49" s="18" t="s">
        <v>59</v>
      </c>
      <c r="F49" s="18" t="s">
        <v>60</v>
      </c>
      <c r="G49" s="18">
        <v>16933</v>
      </c>
      <c r="H49" s="18">
        <f>_xlfn.XLOOKUP(L49,'[1]2026 Mapping v3'!A:A,'[1]2026 Mapping v3'!F:F,0,0)</f>
        <v>43</v>
      </c>
      <c r="I49" s="18" t="b">
        <v>0</v>
      </c>
      <c r="J49" s="18" t="s">
        <v>253</v>
      </c>
      <c r="K49" s="21" t="s">
        <v>1072</v>
      </c>
      <c r="L49" s="18" t="s">
        <v>156</v>
      </c>
      <c r="M49" s="18" t="s">
        <v>98</v>
      </c>
      <c r="N49" s="18" t="s">
        <v>64</v>
      </c>
      <c r="O49" s="18" t="s">
        <v>254</v>
      </c>
      <c r="Q49" s="23" t="s">
        <v>80</v>
      </c>
      <c r="R49" s="23">
        <v>10</v>
      </c>
      <c r="S49" s="24">
        <v>13000000</v>
      </c>
      <c r="T49" s="28">
        <v>1075844</v>
      </c>
      <c r="U49" s="18" t="s">
        <v>67</v>
      </c>
      <c r="V49" s="18" t="s">
        <v>68</v>
      </c>
      <c r="W49" s="18" t="s">
        <v>69</v>
      </c>
      <c r="X49" s="20">
        <v>46032</v>
      </c>
      <c r="Y49" s="18" t="s">
        <v>255</v>
      </c>
      <c r="Z49" s="18" t="str">
        <f>_xlfn.XLOOKUP(Y49,'[1]Data Source'!A:A,'[1]Data Source'!E:E,"N/A",0)</f>
        <v>UB</v>
      </c>
      <c r="AA49" s="18" t="s">
        <v>256</v>
      </c>
      <c r="AB49" s="18" t="s">
        <v>156</v>
      </c>
      <c r="AC49" s="18" t="str">
        <f>_xlfn.XLOOKUP(L49,'[1]2026 Mapping v3'!A:A,'[1]2026 Mapping v3'!B:B,"Error",0)</f>
        <v>Nairobi East</v>
      </c>
      <c r="AD49" s="18" t="str">
        <f>_xlfn.XLOOKUP(L49,'[1]2026 Mapping v3'!A:A,'[1]2026 Mapping v3'!C:C,"Error",0)</f>
        <v>Julius Mugane</v>
      </c>
      <c r="AE49" s="18" t="str">
        <f>_xlfn.XLOOKUP(L49,'[1]2026 Mapping v3'!A:A,'[1]2026 Mapping v3'!D:D,"Error",0)</f>
        <v>Julius Mugane</v>
      </c>
      <c r="AF49" s="18" t="str">
        <f>_xlfn.XLOOKUP(L49,'[1]2026 Mapping v3'!A:A,'[1]2026 Mapping v3'!E:E,"Error",0)</f>
        <v>Debrah Rashid</v>
      </c>
      <c r="AS49" s="24">
        <v>1075844</v>
      </c>
      <c r="AT49" s="24"/>
      <c r="AU49" s="24"/>
      <c r="AV49" s="24"/>
      <c r="AX49" s="29"/>
      <c r="BE49" s="24">
        <v>1075844</v>
      </c>
    </row>
    <row r="50" spans="1:57">
      <c r="A50" s="18" t="s">
        <v>145</v>
      </c>
      <c r="B50" s="19">
        <v>27196957</v>
      </c>
      <c r="C50" s="20">
        <v>46034</v>
      </c>
      <c r="D50" s="18" t="s">
        <v>58</v>
      </c>
      <c r="E50" s="18" t="s">
        <v>59</v>
      </c>
      <c r="F50" s="18" t="s">
        <v>60</v>
      </c>
      <c r="G50" s="18">
        <v>4171</v>
      </c>
      <c r="H50" s="18">
        <f>_xlfn.XLOOKUP(L50,'[1]2026 Mapping v3'!A:A,'[1]2026 Mapping v3'!F:F,0,0)</f>
        <v>129</v>
      </c>
      <c r="I50" s="18" t="b">
        <v>0</v>
      </c>
      <c r="J50" s="18" t="s">
        <v>138</v>
      </c>
      <c r="K50" s="21" t="s">
        <v>1073</v>
      </c>
      <c r="L50" s="18" t="s">
        <v>145</v>
      </c>
      <c r="M50" s="18" t="s">
        <v>98</v>
      </c>
      <c r="N50" s="18" t="s">
        <v>64</v>
      </c>
      <c r="O50" s="18" t="s">
        <v>101</v>
      </c>
      <c r="Q50" s="23" t="s">
        <v>80</v>
      </c>
      <c r="R50" s="23">
        <v>10</v>
      </c>
      <c r="S50" s="24">
        <v>261440</v>
      </c>
      <c r="T50" s="28">
        <v>2000</v>
      </c>
      <c r="U50" s="18" t="s">
        <v>101</v>
      </c>
      <c r="V50" s="18" t="s">
        <v>110</v>
      </c>
      <c r="W50" s="18" t="s">
        <v>69</v>
      </c>
      <c r="X50" s="20">
        <v>46052</v>
      </c>
      <c r="Y50" s="18" t="s">
        <v>148</v>
      </c>
      <c r="Z50" s="18" t="str">
        <f>_xlfn.XLOOKUP(Y50,'[1]Data Source'!A:A,'[1]Data Source'!E:E,"N/A",0)</f>
        <v>WENDRA</v>
      </c>
      <c r="AA50" s="18" t="s">
        <v>149</v>
      </c>
      <c r="AB50" s="18" t="s">
        <v>145</v>
      </c>
      <c r="AC50" s="18" t="str">
        <f>_xlfn.XLOOKUP(L50,'[1]2026 Mapping v3'!A:A,'[1]2026 Mapping v3'!B:B,"Error",0)</f>
        <v>Alternative Channels</v>
      </c>
      <c r="AD50" s="18" t="str">
        <f>_xlfn.XLOOKUP(L50,'[1]2026 Mapping v3'!A:A,'[1]2026 Mapping v3'!C:C,"Error",0)</f>
        <v>Selestine Magayu</v>
      </c>
      <c r="AE50" s="18" t="str">
        <f>_xlfn.XLOOKUP(L50,'[1]2026 Mapping v3'!A:A,'[1]2026 Mapping v3'!D:D,"Error",0)</f>
        <v>Joel Mbogo</v>
      </c>
      <c r="AF50" s="18" t="str">
        <f>_xlfn.XLOOKUP(L50,'[1]2026 Mapping v3'!A:A,'[1]2026 Mapping v3'!E:E,"Error",0)</f>
        <v>Eric Njiru</v>
      </c>
      <c r="AS50" s="24">
        <v>2000</v>
      </c>
      <c r="AT50" s="24"/>
      <c r="AU50" s="24"/>
      <c r="AV50" s="24"/>
      <c r="AX50" s="29"/>
      <c r="BE50" s="24">
        <v>2000</v>
      </c>
    </row>
    <row r="51" spans="1:57">
      <c r="A51" s="18" t="s">
        <v>57</v>
      </c>
      <c r="B51" s="19">
        <v>27196957</v>
      </c>
      <c r="C51" s="20">
        <v>46035</v>
      </c>
      <c r="D51" s="18" t="s">
        <v>58</v>
      </c>
      <c r="E51" s="18" t="s">
        <v>59</v>
      </c>
      <c r="F51" s="18" t="s">
        <v>60</v>
      </c>
      <c r="G51" s="18">
        <v>18749</v>
      </c>
      <c r="H51" s="18">
        <f>_xlfn.XLOOKUP(L51,'[1]2026 Mapping v3'!A:A,'[1]2026 Mapping v3'!F:F,0,0)</f>
        <v>39</v>
      </c>
      <c r="I51" s="18" t="b">
        <v>0</v>
      </c>
      <c r="J51" s="18" t="s">
        <v>257</v>
      </c>
      <c r="K51" s="21" t="s">
        <v>1074</v>
      </c>
      <c r="L51" s="18" t="s">
        <v>211</v>
      </c>
      <c r="M51" s="18" t="s">
        <v>98</v>
      </c>
      <c r="N51" s="18" t="s">
        <v>64</v>
      </c>
      <c r="O51" s="18" t="s">
        <v>258</v>
      </c>
      <c r="Q51" s="23" t="s">
        <v>80</v>
      </c>
      <c r="R51" s="23">
        <v>5</v>
      </c>
      <c r="S51" s="24">
        <v>2801754</v>
      </c>
      <c r="T51" s="28">
        <v>500005</v>
      </c>
      <c r="U51" s="18" t="s">
        <v>67</v>
      </c>
      <c r="V51" s="18" t="s">
        <v>68</v>
      </c>
      <c r="W51" s="18" t="s">
        <v>69</v>
      </c>
      <c r="X51" s="20">
        <v>46032</v>
      </c>
      <c r="Y51" s="18" t="s">
        <v>259</v>
      </c>
      <c r="Z51" s="18" t="str">
        <f>_xlfn.XLOOKUP(Y51,'[1]Data Source'!A:A,'[1]Data Source'!E:E,"N/A",0)</f>
        <v>LG</v>
      </c>
      <c r="AA51" s="18" t="s">
        <v>260</v>
      </c>
      <c r="AB51" s="18" t="s">
        <v>214</v>
      </c>
      <c r="AC51" s="18" t="str">
        <f>_xlfn.XLOOKUP(L51,'[1]2026 Mapping v3'!A:A,'[1]2026 Mapping v3'!B:B,"Error",0)</f>
        <v>Western</v>
      </c>
      <c r="AD51" s="18" t="str">
        <f>_xlfn.XLOOKUP(L51,'[1]2026 Mapping v3'!A:A,'[1]2026 Mapping v3'!C:C,"Error",0)</f>
        <v>Sheila Adhiambo</v>
      </c>
      <c r="AE51" s="18" t="str">
        <f>_xlfn.XLOOKUP(L51,'[1]2026 Mapping v3'!A:A,'[1]2026 Mapping v3'!D:D,"Error",0)</f>
        <v>Sheila Adhiambo</v>
      </c>
      <c r="AF51" s="18" t="str">
        <f>_xlfn.XLOOKUP(L51,'[1]2026 Mapping v3'!A:A,'[1]2026 Mapping v3'!E:E,"Error",0)</f>
        <v>Eric Njiru</v>
      </c>
      <c r="AS51" s="24">
        <v>500005</v>
      </c>
      <c r="AT51" s="24"/>
      <c r="AU51" s="24"/>
      <c r="AV51" s="24"/>
      <c r="AX51" s="29"/>
      <c r="BE51" s="24">
        <v>500005</v>
      </c>
    </row>
    <row r="52" spans="1:57">
      <c r="A52" s="18" t="s">
        <v>145</v>
      </c>
      <c r="B52" s="19">
        <v>27196957</v>
      </c>
      <c r="C52" s="20">
        <v>46036</v>
      </c>
      <c r="D52" s="18" t="s">
        <v>58</v>
      </c>
      <c r="E52" s="18" t="s">
        <v>59</v>
      </c>
      <c r="F52" s="18" t="s">
        <v>60</v>
      </c>
      <c r="G52" s="18">
        <v>4561</v>
      </c>
      <c r="H52" s="18">
        <f>_xlfn.XLOOKUP(L52,'[1]2026 Mapping v3'!A:A,'[1]2026 Mapping v3'!F:F,0,0)</f>
        <v>129</v>
      </c>
      <c r="I52" s="18" t="b">
        <v>0</v>
      </c>
      <c r="J52" s="18" t="s">
        <v>225</v>
      </c>
      <c r="K52" s="21" t="s">
        <v>1075</v>
      </c>
      <c r="L52" s="18" t="s">
        <v>145</v>
      </c>
      <c r="M52" s="18" t="s">
        <v>63</v>
      </c>
      <c r="N52" s="18" t="s">
        <v>64</v>
      </c>
      <c r="O52" s="18" t="s">
        <v>101</v>
      </c>
      <c r="Q52" s="23" t="s">
        <v>80</v>
      </c>
      <c r="R52" s="23">
        <v>5</v>
      </c>
      <c r="S52" s="24">
        <v>308641</v>
      </c>
      <c r="T52" s="28">
        <v>5000</v>
      </c>
      <c r="U52" s="18" t="s">
        <v>101</v>
      </c>
      <c r="V52" s="18" t="s">
        <v>110</v>
      </c>
      <c r="W52" s="18" t="s">
        <v>69</v>
      </c>
      <c r="X52" s="20">
        <v>46052</v>
      </c>
      <c r="Y52" s="18" t="s">
        <v>148</v>
      </c>
      <c r="Z52" s="18" t="str">
        <f>_xlfn.XLOOKUP(Y52,'[1]Data Source'!A:A,'[1]Data Source'!E:E,"N/A",0)</f>
        <v>WENDRA</v>
      </c>
      <c r="AA52" s="18" t="s">
        <v>149</v>
      </c>
      <c r="AB52" s="18" t="s">
        <v>145</v>
      </c>
      <c r="AC52" s="18" t="str">
        <f>_xlfn.XLOOKUP(L52,'[1]2026 Mapping v3'!A:A,'[1]2026 Mapping v3'!B:B,"Error",0)</f>
        <v>Alternative Channels</v>
      </c>
      <c r="AD52" s="18" t="str">
        <f>_xlfn.XLOOKUP(L52,'[1]2026 Mapping v3'!A:A,'[1]2026 Mapping v3'!C:C,"Error",0)</f>
        <v>Selestine Magayu</v>
      </c>
      <c r="AE52" s="18" t="str">
        <f>_xlfn.XLOOKUP(L52,'[1]2026 Mapping v3'!A:A,'[1]2026 Mapping v3'!D:D,"Error",0)</f>
        <v>Joel Mbogo</v>
      </c>
      <c r="AF52" s="18" t="str">
        <f>_xlfn.XLOOKUP(L52,'[1]2026 Mapping v3'!A:A,'[1]2026 Mapping v3'!E:E,"Error",0)</f>
        <v>Eric Njiru</v>
      </c>
      <c r="AS52" s="24">
        <v>5000</v>
      </c>
      <c r="AT52" s="24"/>
      <c r="AU52" s="24"/>
      <c r="AV52" s="24"/>
      <c r="AX52" s="29"/>
      <c r="BE52" s="24">
        <v>5000</v>
      </c>
    </row>
    <row r="53" spans="1:57">
      <c r="A53" s="18" t="s">
        <v>128</v>
      </c>
      <c r="B53" s="19">
        <v>27196957</v>
      </c>
      <c r="C53" s="20">
        <v>46036</v>
      </c>
      <c r="D53" s="18" t="s">
        <v>58</v>
      </c>
      <c r="E53" s="18" t="s">
        <v>59</v>
      </c>
      <c r="F53" s="18" t="s">
        <v>60</v>
      </c>
      <c r="G53" s="18">
        <v>4345</v>
      </c>
      <c r="H53" s="18">
        <f>_xlfn.XLOOKUP(L53,'[1]2026 Mapping v3'!A:A,'[1]2026 Mapping v3'!F:F,0,0)</f>
        <v>12</v>
      </c>
      <c r="I53" s="18" t="b">
        <v>0</v>
      </c>
      <c r="J53" s="18" t="s">
        <v>261</v>
      </c>
      <c r="K53" s="21" t="s">
        <v>1076</v>
      </c>
      <c r="L53" s="18" t="str">
        <f t="shared" ref="L53:L55" si="8">Y53</f>
        <v>HISA001</v>
      </c>
      <c r="M53" s="18" t="s">
        <v>98</v>
      </c>
      <c r="N53" s="18" t="s">
        <v>64</v>
      </c>
      <c r="O53" s="18" t="s">
        <v>262</v>
      </c>
      <c r="Q53" s="23" t="s">
        <v>80</v>
      </c>
      <c r="R53" s="23">
        <v>10</v>
      </c>
      <c r="S53" s="24">
        <v>1329238</v>
      </c>
      <c r="T53" s="28">
        <v>10023</v>
      </c>
      <c r="U53" s="18" t="s">
        <v>101</v>
      </c>
      <c r="V53" s="18" t="s">
        <v>110</v>
      </c>
      <c r="W53" s="18" t="s">
        <v>69</v>
      </c>
      <c r="X53" s="20">
        <v>46052</v>
      </c>
      <c r="Y53" s="18" t="s">
        <v>131</v>
      </c>
      <c r="Z53" s="18" t="str">
        <f>_xlfn.XLOOKUP(Y53,'[1]Data Source'!A:A,'[1]Data Source'!E:E,"N/A",0)</f>
        <v>ALAK</v>
      </c>
      <c r="AA53" s="18" t="s">
        <v>132</v>
      </c>
      <c r="AB53" s="18" t="str">
        <f t="shared" ref="AB53:AB55" si="9">Y53</f>
        <v>HISA001</v>
      </c>
      <c r="AC53" s="18" t="str">
        <f>_xlfn.XLOOKUP(L53,'[1]2026 Mapping v3'!A:A,'[1]2026 Mapping v3'!B:B,"Error",0)</f>
        <v>Alternative Channels</v>
      </c>
      <c r="AD53" s="18" t="str">
        <f>_xlfn.XLOOKUP(L53,'[1]2026 Mapping v3'!A:A,'[1]2026 Mapping v3'!C:C,"Error",0)</f>
        <v>Eric Njiru</v>
      </c>
      <c r="AE53" s="18" t="str">
        <f>_xlfn.XLOOKUP(L53,'[1]2026 Mapping v3'!A:A,'[1]2026 Mapping v3'!D:D,"Error",0)</f>
        <v>Eric Njiru</v>
      </c>
      <c r="AF53" s="18" t="str">
        <f>_xlfn.XLOOKUP(L53,'[1]2026 Mapping v3'!A:A,'[1]2026 Mapping v3'!E:E,"Error",0)</f>
        <v>Eric Njiru</v>
      </c>
      <c r="AS53" s="24">
        <v>10023</v>
      </c>
      <c r="AT53" s="24"/>
      <c r="AU53" s="24"/>
      <c r="AV53" s="24"/>
      <c r="AX53" s="29"/>
      <c r="BE53" s="24">
        <v>10023</v>
      </c>
    </row>
    <row r="54" spans="1:57">
      <c r="A54" s="18" t="s">
        <v>128</v>
      </c>
      <c r="B54" s="19">
        <v>27196957</v>
      </c>
      <c r="C54" s="20">
        <v>46036</v>
      </c>
      <c r="D54" s="18" t="s">
        <v>58</v>
      </c>
      <c r="E54" s="18" t="s">
        <v>59</v>
      </c>
      <c r="F54" s="18" t="s">
        <v>60</v>
      </c>
      <c r="G54" s="18">
        <v>4726</v>
      </c>
      <c r="H54" s="18">
        <f>_xlfn.XLOOKUP(L54,'[1]2026 Mapping v3'!A:A,'[1]2026 Mapping v3'!F:F,0,0)</f>
        <v>12</v>
      </c>
      <c r="I54" s="18" t="b">
        <v>0</v>
      </c>
      <c r="J54" s="18" t="s">
        <v>155</v>
      </c>
      <c r="K54" s="21" t="s">
        <v>1077</v>
      </c>
      <c r="L54" s="18" t="str">
        <f t="shared" si="8"/>
        <v>HISA001</v>
      </c>
      <c r="M54" s="18" t="s">
        <v>98</v>
      </c>
      <c r="N54" s="18" t="s">
        <v>64</v>
      </c>
      <c r="O54" s="18" t="s">
        <v>263</v>
      </c>
      <c r="Q54" s="23" t="s">
        <v>80</v>
      </c>
      <c r="R54" s="23">
        <v>10</v>
      </c>
      <c r="S54" s="24">
        <v>1728010</v>
      </c>
      <c r="T54" s="28">
        <v>13029</v>
      </c>
      <c r="U54" s="18" t="s">
        <v>101</v>
      </c>
      <c r="V54" s="18" t="s">
        <v>110</v>
      </c>
      <c r="W54" s="18" t="s">
        <v>69</v>
      </c>
      <c r="X54" s="20">
        <v>46052</v>
      </c>
      <c r="Y54" s="18" t="s">
        <v>131</v>
      </c>
      <c r="Z54" s="18" t="str">
        <f>_xlfn.XLOOKUP(Y54,'[1]Data Source'!A:A,'[1]Data Source'!E:E,"N/A",0)</f>
        <v>ALAK</v>
      </c>
      <c r="AA54" s="18" t="s">
        <v>132</v>
      </c>
      <c r="AB54" s="18" t="str">
        <f t="shared" si="9"/>
        <v>HISA001</v>
      </c>
      <c r="AC54" s="18" t="str">
        <f>_xlfn.XLOOKUP(L54,'[1]2026 Mapping v3'!A:A,'[1]2026 Mapping v3'!B:B,"Error",0)</f>
        <v>Alternative Channels</v>
      </c>
      <c r="AD54" s="18" t="str">
        <f>_xlfn.XLOOKUP(L54,'[1]2026 Mapping v3'!A:A,'[1]2026 Mapping v3'!C:C,"Error",0)</f>
        <v>Eric Njiru</v>
      </c>
      <c r="AE54" s="18" t="str">
        <f>_xlfn.XLOOKUP(L54,'[1]2026 Mapping v3'!A:A,'[1]2026 Mapping v3'!D:D,"Error",0)</f>
        <v>Eric Njiru</v>
      </c>
      <c r="AF54" s="18" t="str">
        <f>_xlfn.XLOOKUP(L54,'[1]2026 Mapping v3'!A:A,'[1]2026 Mapping v3'!E:E,"Error",0)</f>
        <v>Eric Njiru</v>
      </c>
      <c r="AS54" s="24">
        <v>13029</v>
      </c>
      <c r="AT54" s="24"/>
      <c r="AU54" s="24"/>
      <c r="AV54" s="24"/>
      <c r="AX54" s="29"/>
      <c r="BE54" s="24">
        <v>13029</v>
      </c>
    </row>
    <row r="55" spans="1:57">
      <c r="A55" s="18" t="s">
        <v>128</v>
      </c>
      <c r="B55" s="19">
        <v>27196957</v>
      </c>
      <c r="C55" s="20">
        <v>46036</v>
      </c>
      <c r="D55" s="18" t="s">
        <v>58</v>
      </c>
      <c r="E55" s="18" t="s">
        <v>59</v>
      </c>
      <c r="F55" s="18" t="s">
        <v>60</v>
      </c>
      <c r="G55" s="18">
        <v>4985</v>
      </c>
      <c r="H55" s="18">
        <f>_xlfn.XLOOKUP(L55,'[1]2026 Mapping v3'!A:A,'[1]2026 Mapping v3'!F:F,0,0)</f>
        <v>12</v>
      </c>
      <c r="I55" s="18" t="b">
        <v>0</v>
      </c>
      <c r="J55" s="18" t="s">
        <v>264</v>
      </c>
      <c r="K55" s="21" t="s">
        <v>1078</v>
      </c>
      <c r="L55" s="18" t="str">
        <f t="shared" si="8"/>
        <v>HISA001</v>
      </c>
      <c r="M55" s="18" t="s">
        <v>98</v>
      </c>
      <c r="N55" s="18" t="s">
        <v>64</v>
      </c>
      <c r="O55" s="18" t="s">
        <v>265</v>
      </c>
      <c r="Q55" s="23" t="s">
        <v>80</v>
      </c>
      <c r="R55" s="23">
        <v>10</v>
      </c>
      <c r="S55" s="24">
        <v>2773978</v>
      </c>
      <c r="T55" s="28">
        <v>120269</v>
      </c>
      <c r="U55" s="18" t="s">
        <v>101</v>
      </c>
      <c r="V55" s="18" t="s">
        <v>266</v>
      </c>
      <c r="W55" s="18" t="s">
        <v>69</v>
      </c>
      <c r="X55" s="20">
        <v>46042</v>
      </c>
      <c r="Y55" s="18" t="s">
        <v>131</v>
      </c>
      <c r="Z55" s="18" t="str">
        <f>_xlfn.XLOOKUP(Y55,'[1]Data Source'!A:A,'[1]Data Source'!E:E,"N/A",0)</f>
        <v>ALAK</v>
      </c>
      <c r="AA55" s="18" t="s">
        <v>132</v>
      </c>
      <c r="AB55" s="18" t="str">
        <f t="shared" si="9"/>
        <v>HISA001</v>
      </c>
      <c r="AC55" s="18" t="str">
        <f>_xlfn.XLOOKUP(L55,'[1]2026 Mapping v3'!A:A,'[1]2026 Mapping v3'!B:B,"Error",0)</f>
        <v>Alternative Channels</v>
      </c>
      <c r="AD55" s="18" t="str">
        <f>_xlfn.XLOOKUP(L55,'[1]2026 Mapping v3'!A:A,'[1]2026 Mapping v3'!C:C,"Error",0)</f>
        <v>Eric Njiru</v>
      </c>
      <c r="AE55" s="18" t="str">
        <f>_xlfn.XLOOKUP(L55,'[1]2026 Mapping v3'!A:A,'[1]2026 Mapping v3'!D:D,"Error",0)</f>
        <v>Eric Njiru</v>
      </c>
      <c r="AF55" s="18" t="str">
        <f>_xlfn.XLOOKUP(L55,'[1]2026 Mapping v3'!A:A,'[1]2026 Mapping v3'!E:E,"Error",0)</f>
        <v>Eric Njiru</v>
      </c>
      <c r="AS55" s="24">
        <v>120269</v>
      </c>
      <c r="AT55" s="24"/>
      <c r="AU55" s="24"/>
      <c r="AV55" s="24"/>
      <c r="AX55" s="29"/>
      <c r="BE55" s="24">
        <v>120269</v>
      </c>
    </row>
    <row r="56" spans="1:57">
      <c r="A56" s="18" t="s">
        <v>57</v>
      </c>
      <c r="B56" s="19">
        <v>27196957</v>
      </c>
      <c r="C56" s="20">
        <v>46036</v>
      </c>
      <c r="D56" s="18" t="s">
        <v>58</v>
      </c>
      <c r="E56" s="18" t="s">
        <v>59</v>
      </c>
      <c r="F56" s="18" t="s">
        <v>60</v>
      </c>
      <c r="G56" s="18">
        <v>11696</v>
      </c>
      <c r="H56" s="18">
        <f>_xlfn.XLOOKUP(L56,'[1]2026 Mapping v3'!A:A,'[1]2026 Mapping v3'!F:F,0,0)</f>
        <v>31</v>
      </c>
      <c r="I56" s="18" t="b">
        <v>0</v>
      </c>
      <c r="J56" s="18" t="s">
        <v>77</v>
      </c>
      <c r="K56" s="21" t="s">
        <v>1079</v>
      </c>
      <c r="L56" s="18" t="s">
        <v>267</v>
      </c>
      <c r="M56" s="18" t="s">
        <v>98</v>
      </c>
      <c r="N56" s="18" t="s">
        <v>64</v>
      </c>
      <c r="O56" s="18" t="s">
        <v>268</v>
      </c>
      <c r="Q56" s="23" t="s">
        <v>80</v>
      </c>
      <c r="R56" s="23">
        <v>5</v>
      </c>
      <c r="S56" s="24">
        <v>2801754</v>
      </c>
      <c r="T56" s="28">
        <v>500519</v>
      </c>
      <c r="U56" s="18" t="s">
        <v>67</v>
      </c>
      <c r="V56" s="18" t="s">
        <v>68</v>
      </c>
      <c r="W56" s="18" t="s">
        <v>69</v>
      </c>
      <c r="X56" s="20">
        <v>46046</v>
      </c>
      <c r="Y56" s="18" t="s">
        <v>269</v>
      </c>
      <c r="Z56" s="18" t="str">
        <f>_xlfn.XLOOKUP(Y56,'[1]Data Source'!A:A,'[1]Data Source'!E:E,"N/A",0)</f>
        <v>LG</v>
      </c>
      <c r="AA56" s="18" t="s">
        <v>270</v>
      </c>
      <c r="AB56" s="18" t="s">
        <v>267</v>
      </c>
      <c r="AC56" s="18" t="str">
        <f>_xlfn.XLOOKUP(L56,'[1]2026 Mapping v3'!A:A,'[1]2026 Mapping v3'!B:B,"Error",0)</f>
        <v>Mt. Kenya</v>
      </c>
      <c r="AD56" s="18" t="str">
        <f>_xlfn.XLOOKUP(L56,'[1]2026 Mapping v3'!A:A,'[1]2026 Mapping v3'!C:C,"Error",0)</f>
        <v>Teresa Maina</v>
      </c>
      <c r="AE56" s="18" t="str">
        <f>_xlfn.XLOOKUP(L56,'[1]2026 Mapping v3'!A:A,'[1]2026 Mapping v3'!D:D,"Error",0)</f>
        <v>Paul Kithuka</v>
      </c>
      <c r="AF56" s="18" t="str">
        <f>_xlfn.XLOOKUP(L56,'[1]2026 Mapping v3'!A:A,'[1]2026 Mapping v3'!E:E,"Error",0)</f>
        <v>Simon Maingi</v>
      </c>
      <c r="AS56" s="24">
        <v>500519</v>
      </c>
      <c r="AT56" s="24"/>
      <c r="AU56" s="24"/>
      <c r="AV56" s="24"/>
      <c r="AX56" s="29"/>
      <c r="BE56" s="24">
        <v>500519</v>
      </c>
    </row>
    <row r="57" spans="1:57">
      <c r="A57" s="18" t="s">
        <v>57</v>
      </c>
      <c r="B57" s="19">
        <v>27196957</v>
      </c>
      <c r="C57" s="20">
        <v>46036</v>
      </c>
      <c r="D57" s="18" t="s">
        <v>58</v>
      </c>
      <c r="E57" s="18" t="s">
        <v>59</v>
      </c>
      <c r="F57" s="18" t="s">
        <v>60</v>
      </c>
      <c r="G57" s="18">
        <v>12590</v>
      </c>
      <c r="H57" s="18">
        <f>_xlfn.XLOOKUP(L57,'[1]2026 Mapping v3'!A:A,'[1]2026 Mapping v3'!F:F,0,0)</f>
        <v>28</v>
      </c>
      <c r="I57" s="18" t="b">
        <v>0</v>
      </c>
      <c r="J57" s="18" t="s">
        <v>271</v>
      </c>
      <c r="K57" s="21" t="s">
        <v>1080</v>
      </c>
      <c r="L57" s="18" t="s">
        <v>272</v>
      </c>
      <c r="M57" s="18" t="s">
        <v>63</v>
      </c>
      <c r="N57" s="18" t="s">
        <v>64</v>
      </c>
      <c r="O57" s="18" t="s">
        <v>273</v>
      </c>
      <c r="Q57" s="23" t="s">
        <v>80</v>
      </c>
      <c r="R57" s="23">
        <v>10</v>
      </c>
      <c r="S57" s="24">
        <v>594180</v>
      </c>
      <c r="T57" s="28">
        <v>50000</v>
      </c>
      <c r="U57" s="18" t="s">
        <v>67</v>
      </c>
      <c r="V57" s="18" t="s">
        <v>68</v>
      </c>
      <c r="W57" s="18" t="s">
        <v>69</v>
      </c>
      <c r="X57" s="20">
        <v>46032</v>
      </c>
      <c r="Y57" s="18" t="s">
        <v>274</v>
      </c>
      <c r="Z57" s="18" t="str">
        <f>_xlfn.XLOOKUP(Y57,'[1]Data Source'!A:A,'[1]Data Source'!E:E,"N/A",0)</f>
        <v>LG</v>
      </c>
      <c r="AA57" s="18" t="s">
        <v>275</v>
      </c>
      <c r="AB57" s="18" t="s">
        <v>272</v>
      </c>
      <c r="AC57" s="18" t="str">
        <f>_xlfn.XLOOKUP(L57,'[1]2026 Mapping v3'!A:A,'[1]2026 Mapping v3'!B:B,"Error",0)</f>
        <v>Western</v>
      </c>
      <c r="AD57" s="18" t="str">
        <f>_xlfn.XLOOKUP(L57,'[1]2026 Mapping v3'!A:A,'[1]2026 Mapping v3'!C:C,"Error",0)</f>
        <v>Sheila Adhiambo</v>
      </c>
      <c r="AE57" s="18" t="str">
        <f>_xlfn.XLOOKUP(L57,'[1]2026 Mapping v3'!A:A,'[1]2026 Mapping v3'!D:D,"Error",0)</f>
        <v>Sheila Adhiambo</v>
      </c>
      <c r="AF57" s="18" t="str">
        <f>_xlfn.XLOOKUP(L57,'[1]2026 Mapping v3'!A:A,'[1]2026 Mapping v3'!E:E,"Error",0)</f>
        <v>Eric Njiru</v>
      </c>
      <c r="AS57" s="24">
        <v>50000</v>
      </c>
      <c r="AT57" s="24"/>
      <c r="AU57" s="24"/>
      <c r="AV57" s="24"/>
      <c r="AX57" s="29"/>
      <c r="BE57" s="24">
        <v>50000</v>
      </c>
    </row>
    <row r="58" spans="1:57">
      <c r="A58" s="18" t="s">
        <v>57</v>
      </c>
      <c r="B58" s="19">
        <v>27196957</v>
      </c>
      <c r="C58" s="20">
        <v>46036</v>
      </c>
      <c r="D58" s="18" t="s">
        <v>58</v>
      </c>
      <c r="E58" s="18" t="s">
        <v>59</v>
      </c>
      <c r="F58" s="18" t="s">
        <v>60</v>
      </c>
      <c r="G58" s="18">
        <v>7215</v>
      </c>
      <c r="H58" s="18">
        <f>_xlfn.XLOOKUP(L58,'[1]2026 Mapping v3'!A:A,'[1]2026 Mapping v3'!F:F,0,0)</f>
        <v>12</v>
      </c>
      <c r="I58" s="18" t="b">
        <v>0</v>
      </c>
      <c r="J58" s="18" t="s">
        <v>276</v>
      </c>
      <c r="K58" s="21" t="s">
        <v>1081</v>
      </c>
      <c r="L58" s="18" t="s">
        <v>207</v>
      </c>
      <c r="M58" s="18" t="s">
        <v>63</v>
      </c>
      <c r="N58" s="18" t="s">
        <v>64</v>
      </c>
      <c r="O58" s="18" t="s">
        <v>277</v>
      </c>
      <c r="Q58" s="23" t="s">
        <v>80</v>
      </c>
      <c r="R58" s="23">
        <v>13</v>
      </c>
      <c r="S58" s="24">
        <v>1709400</v>
      </c>
      <c r="T58" s="28">
        <v>10000</v>
      </c>
      <c r="U58" s="18" t="s">
        <v>278</v>
      </c>
      <c r="V58" s="18" t="s">
        <v>110</v>
      </c>
      <c r="W58" s="18" t="s">
        <v>69</v>
      </c>
      <c r="X58" s="20">
        <v>46037</v>
      </c>
      <c r="Y58" s="18" t="s">
        <v>209</v>
      </c>
      <c r="Z58" s="18" t="str">
        <f>_xlfn.XLOOKUP(Y58,'[1]Data Source'!A:A,'[1]Data Source'!E:E,"N/A",0)</f>
        <v>N/A</v>
      </c>
      <c r="AA58" s="18" t="s">
        <v>101</v>
      </c>
      <c r="AB58" s="18" t="s">
        <v>207</v>
      </c>
      <c r="AC58" s="18" t="str">
        <f>_xlfn.XLOOKUP(L58,'[1]2026 Mapping v3'!A:A,'[1]2026 Mapping v3'!B:B,"Error",0)</f>
        <v>Coast</v>
      </c>
      <c r="AD58" s="18" t="str">
        <f>_xlfn.XLOOKUP(L58,'[1]2026 Mapping v3'!A:A,'[1]2026 Mapping v3'!C:C,"Error",0)</f>
        <v>Brian Khamadi</v>
      </c>
      <c r="AE58" s="18" t="str">
        <f>_xlfn.XLOOKUP(L58,'[1]2026 Mapping v3'!A:A,'[1]2026 Mapping v3'!D:D,"Error",0)</f>
        <v>Brian Khamadi</v>
      </c>
      <c r="AF58" s="18" t="str">
        <f>_xlfn.XLOOKUP(L58,'[1]2026 Mapping v3'!A:A,'[1]2026 Mapping v3'!E:E,"Error",0)</f>
        <v>Eric Njiru</v>
      </c>
      <c r="AS58" s="24">
        <v>10000</v>
      </c>
      <c r="AT58" s="24"/>
      <c r="AU58" s="24"/>
      <c r="AV58" s="24"/>
      <c r="AX58" s="29"/>
      <c r="BE58" s="24">
        <v>10000</v>
      </c>
    </row>
    <row r="59" spans="1:57">
      <c r="A59" s="18" t="s">
        <v>57</v>
      </c>
      <c r="B59" s="19">
        <v>27196957</v>
      </c>
      <c r="C59" s="20">
        <v>46036</v>
      </c>
      <c r="D59" s="18" t="s">
        <v>58</v>
      </c>
      <c r="E59" s="18" t="s">
        <v>59</v>
      </c>
      <c r="F59" s="18" t="s">
        <v>60</v>
      </c>
      <c r="G59" s="18">
        <v>13702</v>
      </c>
      <c r="H59" s="18">
        <f>_xlfn.XLOOKUP(L59,'[1]2026 Mapping v3'!A:A,'[1]2026 Mapping v3'!F:F,0,0)</f>
        <v>65</v>
      </c>
      <c r="I59" s="18" t="b">
        <v>0</v>
      </c>
      <c r="J59" s="18" t="s">
        <v>279</v>
      </c>
      <c r="K59" s="21" t="s">
        <v>1082</v>
      </c>
      <c r="L59" s="18" t="s">
        <v>280</v>
      </c>
      <c r="M59" s="18" t="s">
        <v>98</v>
      </c>
      <c r="N59" s="18" t="s">
        <v>64</v>
      </c>
      <c r="O59" s="18" t="s">
        <v>281</v>
      </c>
      <c r="Q59" s="23" t="s">
        <v>80</v>
      </c>
      <c r="R59" s="23">
        <v>5</v>
      </c>
      <c r="S59" s="24">
        <v>4446992</v>
      </c>
      <c r="T59" s="28">
        <v>793573</v>
      </c>
      <c r="U59" s="18" t="s">
        <v>67</v>
      </c>
      <c r="V59" s="18" t="s">
        <v>68</v>
      </c>
      <c r="W59" s="18" t="s">
        <v>69</v>
      </c>
      <c r="X59" s="20">
        <v>46042</v>
      </c>
      <c r="Y59" s="18" t="s">
        <v>282</v>
      </c>
      <c r="Z59" s="18" t="str">
        <f>_xlfn.XLOOKUP(Y59,'[1]Data Source'!A:A,'[1]Data Source'!E:E,"N/A",0)</f>
        <v>LG</v>
      </c>
      <c r="AA59" s="18" t="s">
        <v>283</v>
      </c>
      <c r="AB59" s="18" t="s">
        <v>280</v>
      </c>
      <c r="AC59" s="18" t="str">
        <f>_xlfn.XLOOKUP(L59,'[1]2026 Mapping v3'!A:A,'[1]2026 Mapping v3'!B:B,"Error",0)</f>
        <v>Mt. Kenya</v>
      </c>
      <c r="AD59" s="18" t="str">
        <f>_xlfn.XLOOKUP(L59,'[1]2026 Mapping v3'!A:A,'[1]2026 Mapping v3'!C:C,"Error",0)</f>
        <v>Teresa Maina</v>
      </c>
      <c r="AE59" s="18" t="str">
        <f>_xlfn.XLOOKUP(L59,'[1]2026 Mapping v3'!A:A,'[1]2026 Mapping v3'!D:D,"Error",0)</f>
        <v>Paul Kithuka</v>
      </c>
      <c r="AF59" s="18" t="str">
        <f>_xlfn.XLOOKUP(L59,'[1]2026 Mapping v3'!A:A,'[1]2026 Mapping v3'!E:E,"Error",0)</f>
        <v>Simon Maingi</v>
      </c>
      <c r="AS59" s="24">
        <v>793573</v>
      </c>
      <c r="AT59" s="24"/>
      <c r="AU59" s="24"/>
      <c r="AV59" s="24"/>
      <c r="AX59" s="29"/>
      <c r="BE59" s="24">
        <v>793573</v>
      </c>
    </row>
    <row r="60" spans="1:57">
      <c r="A60" s="18" t="s">
        <v>57</v>
      </c>
      <c r="B60" s="19">
        <v>27196957</v>
      </c>
      <c r="C60" s="20">
        <v>46037</v>
      </c>
      <c r="D60" s="18" t="s">
        <v>58</v>
      </c>
      <c r="E60" s="18" t="s">
        <v>59</v>
      </c>
      <c r="F60" s="18" t="s">
        <v>60</v>
      </c>
      <c r="G60" s="18">
        <v>12589</v>
      </c>
      <c r="H60" s="18">
        <f>_xlfn.XLOOKUP(L60,'[1]2026 Mapping v3'!A:A,'[1]2026 Mapping v3'!F:F,0,0)</f>
        <v>28</v>
      </c>
      <c r="I60" s="18" t="b">
        <v>0</v>
      </c>
      <c r="J60" s="18" t="s">
        <v>271</v>
      </c>
      <c r="K60" s="21" t="s">
        <v>1083</v>
      </c>
      <c r="L60" s="18" t="s">
        <v>272</v>
      </c>
      <c r="M60" s="18" t="s">
        <v>63</v>
      </c>
      <c r="N60" s="18" t="s">
        <v>64</v>
      </c>
      <c r="O60" s="18" t="s">
        <v>284</v>
      </c>
      <c r="Q60" s="23" t="s">
        <v>80</v>
      </c>
      <c r="R60" s="23">
        <v>10</v>
      </c>
      <c r="S60" s="24">
        <v>1188350</v>
      </c>
      <c r="T60" s="28">
        <v>100000</v>
      </c>
      <c r="U60" s="18" t="s">
        <v>67</v>
      </c>
      <c r="V60" s="18" t="s">
        <v>68</v>
      </c>
      <c r="W60" s="18" t="s">
        <v>69</v>
      </c>
      <c r="X60" s="20">
        <v>46032</v>
      </c>
      <c r="Y60" s="18" t="s">
        <v>274</v>
      </c>
      <c r="Z60" s="18" t="str">
        <f>_xlfn.XLOOKUP(Y60,'[1]Data Source'!A:A,'[1]Data Source'!E:E,"N/A",0)</f>
        <v>LG</v>
      </c>
      <c r="AA60" s="18" t="s">
        <v>275</v>
      </c>
      <c r="AB60" s="18" t="s">
        <v>272</v>
      </c>
      <c r="AC60" s="18" t="str">
        <f>_xlfn.XLOOKUP(L60,'[1]2026 Mapping v3'!A:A,'[1]2026 Mapping v3'!B:B,"Error",0)</f>
        <v>Western</v>
      </c>
      <c r="AD60" s="18" t="str">
        <f>_xlfn.XLOOKUP(L60,'[1]2026 Mapping v3'!A:A,'[1]2026 Mapping v3'!C:C,"Error",0)</f>
        <v>Sheila Adhiambo</v>
      </c>
      <c r="AE60" s="18" t="str">
        <f>_xlfn.XLOOKUP(L60,'[1]2026 Mapping v3'!A:A,'[1]2026 Mapping v3'!D:D,"Error",0)</f>
        <v>Sheila Adhiambo</v>
      </c>
      <c r="AF60" s="18" t="str">
        <f>_xlfn.XLOOKUP(L60,'[1]2026 Mapping v3'!A:A,'[1]2026 Mapping v3'!E:E,"Error",0)</f>
        <v>Eric Njiru</v>
      </c>
      <c r="AS60" s="24">
        <v>100000</v>
      </c>
      <c r="AT60" s="24"/>
      <c r="AU60" s="24"/>
      <c r="AV60" s="24"/>
      <c r="AX60" s="29"/>
      <c r="BE60" s="24">
        <v>100000</v>
      </c>
    </row>
    <row r="61" spans="1:57">
      <c r="A61" s="18" t="s">
        <v>57</v>
      </c>
      <c r="B61" s="19">
        <v>27196957</v>
      </c>
      <c r="C61" s="20">
        <v>46037</v>
      </c>
      <c r="D61" s="18" t="s">
        <v>58</v>
      </c>
      <c r="E61" s="18" t="s">
        <v>59</v>
      </c>
      <c r="F61" s="18" t="s">
        <v>60</v>
      </c>
      <c r="G61" s="18">
        <v>16564</v>
      </c>
      <c r="H61" s="18">
        <f>_xlfn.XLOOKUP(L61,'[1]2026 Mapping v3'!A:A,'[1]2026 Mapping v3'!F:F,0,0)</f>
        <v>36</v>
      </c>
      <c r="I61" s="18" t="b">
        <v>0</v>
      </c>
      <c r="J61" s="18" t="s">
        <v>220</v>
      </c>
      <c r="K61" s="21" t="s">
        <v>1084</v>
      </c>
      <c r="L61" s="18" t="s">
        <v>285</v>
      </c>
      <c r="M61" s="18" t="s">
        <v>98</v>
      </c>
      <c r="N61" s="18" t="s">
        <v>64</v>
      </c>
      <c r="O61" s="18" t="s">
        <v>286</v>
      </c>
      <c r="Q61" s="23" t="s">
        <v>80</v>
      </c>
      <c r="R61" s="23">
        <v>15</v>
      </c>
      <c r="S61" s="24">
        <v>1045129</v>
      </c>
      <c r="T61" s="28">
        <v>5018</v>
      </c>
      <c r="U61" s="18" t="s">
        <v>278</v>
      </c>
      <c r="V61" s="18" t="s">
        <v>110</v>
      </c>
      <c r="W61" s="18" t="s">
        <v>69</v>
      </c>
      <c r="X61" s="20">
        <v>46380</v>
      </c>
      <c r="Y61" s="18" t="s">
        <v>287</v>
      </c>
      <c r="Z61" s="18" t="str">
        <f>_xlfn.XLOOKUP(Y61,'[1]Data Source'!A:A,'[1]Data Source'!E:E,"N/A",0)</f>
        <v>N/A</v>
      </c>
      <c r="AA61" s="18" t="s">
        <v>101</v>
      </c>
      <c r="AB61" s="18" t="s">
        <v>285</v>
      </c>
      <c r="AC61" s="18" t="str">
        <f>_xlfn.XLOOKUP(L61,'[1]2026 Mapping v3'!A:A,'[1]2026 Mapping v3'!B:B,"Error",0)</f>
        <v>Nairobi East</v>
      </c>
      <c r="AD61" s="18" t="str">
        <f>_xlfn.XLOOKUP(L61,'[1]2026 Mapping v3'!A:A,'[1]2026 Mapping v3'!C:C,"Error",0)</f>
        <v>Charles Gicho</v>
      </c>
      <c r="AE61" s="18" t="str">
        <f>_xlfn.XLOOKUP(L61,'[1]2026 Mapping v3'!A:A,'[1]2026 Mapping v3'!D:D,"Error",0)</f>
        <v>Julius Mugane</v>
      </c>
      <c r="AF61" s="18" t="str">
        <f>_xlfn.XLOOKUP(L61,'[1]2026 Mapping v3'!A:A,'[1]2026 Mapping v3'!E:E,"Error",0)</f>
        <v>Debrah Rashid</v>
      </c>
      <c r="AS61" s="24">
        <v>5018</v>
      </c>
      <c r="AT61" s="24"/>
      <c r="AU61" s="24"/>
      <c r="AV61" s="24"/>
      <c r="AX61" s="29"/>
      <c r="BE61" s="24">
        <v>5018</v>
      </c>
    </row>
    <row r="62" spans="1:57">
      <c r="A62" s="18" t="s">
        <v>57</v>
      </c>
      <c r="B62" s="19">
        <v>27196957</v>
      </c>
      <c r="C62" s="20">
        <v>46037</v>
      </c>
      <c r="D62" s="18" t="s">
        <v>58</v>
      </c>
      <c r="E62" s="18" t="s">
        <v>59</v>
      </c>
      <c r="F62" s="18" t="s">
        <v>60</v>
      </c>
      <c r="G62" s="18">
        <v>13167</v>
      </c>
      <c r="H62" s="18">
        <f>_xlfn.XLOOKUP(L62,'[1]2026 Mapping v3'!A:A,'[1]2026 Mapping v3'!F:F,0,0)</f>
        <v>10</v>
      </c>
      <c r="I62" s="18" t="b">
        <v>0</v>
      </c>
      <c r="J62" s="18" t="s">
        <v>102</v>
      </c>
      <c r="K62" s="21" t="s">
        <v>1085</v>
      </c>
      <c r="L62" s="18" t="s">
        <v>288</v>
      </c>
      <c r="M62" s="18" t="s">
        <v>98</v>
      </c>
      <c r="N62" s="18" t="s">
        <v>64</v>
      </c>
      <c r="O62" s="18" t="s">
        <v>289</v>
      </c>
      <c r="Q62" s="23" t="s">
        <v>80</v>
      </c>
      <c r="R62" s="23">
        <v>14</v>
      </c>
      <c r="S62" s="24">
        <v>1000000</v>
      </c>
      <c r="T62" s="28">
        <v>5161</v>
      </c>
      <c r="U62" s="18" t="s">
        <v>278</v>
      </c>
      <c r="V62" s="18" t="s">
        <v>110</v>
      </c>
      <c r="W62" s="18" t="s">
        <v>69</v>
      </c>
      <c r="X62" s="20">
        <v>46032</v>
      </c>
      <c r="Y62" s="18" t="s">
        <v>290</v>
      </c>
      <c r="Z62" s="18" t="str">
        <f>_xlfn.XLOOKUP(Y62,'[1]Data Source'!A:A,'[1]Data Source'!E:E,"N/A",0)</f>
        <v>N/A</v>
      </c>
      <c r="AA62" s="18" t="s">
        <v>101</v>
      </c>
      <c r="AB62" s="18" t="s">
        <v>288</v>
      </c>
      <c r="AC62" s="18" t="str">
        <f>_xlfn.XLOOKUP(L62,'[1]2026 Mapping v3'!A:A,'[1]2026 Mapping v3'!B:B,"Error",0)</f>
        <v>Coast</v>
      </c>
      <c r="AD62" s="18" t="str">
        <f>_xlfn.XLOOKUP(L62,'[1]2026 Mapping v3'!A:A,'[1]2026 Mapping v3'!C:C,"Error",0)</f>
        <v>Nancy Logose</v>
      </c>
      <c r="AE62" s="18" t="str">
        <f>_xlfn.XLOOKUP(L62,'[1]2026 Mapping v3'!A:A,'[1]2026 Mapping v3'!D:D,"Error",0)</f>
        <v>Brian Khamadi</v>
      </c>
      <c r="AF62" s="18" t="str">
        <f>_xlfn.XLOOKUP(L62,'[1]2026 Mapping v3'!A:A,'[1]2026 Mapping v3'!E:E,"Error",0)</f>
        <v>Eric Njiru</v>
      </c>
      <c r="AS62" s="24">
        <v>5161</v>
      </c>
      <c r="AT62" s="24"/>
      <c r="AU62" s="24"/>
      <c r="AV62" s="24"/>
      <c r="AX62" s="29"/>
      <c r="BE62" s="24">
        <v>5161</v>
      </c>
    </row>
    <row r="63" spans="1:57">
      <c r="A63" s="18" t="s">
        <v>57</v>
      </c>
      <c r="B63" s="19">
        <v>27196957</v>
      </c>
      <c r="C63" s="20">
        <v>46037</v>
      </c>
      <c r="D63" s="18" t="s">
        <v>58</v>
      </c>
      <c r="E63" s="18" t="s">
        <v>59</v>
      </c>
      <c r="F63" s="18" t="s">
        <v>60</v>
      </c>
      <c r="G63" s="18">
        <v>17922</v>
      </c>
      <c r="H63" s="18">
        <f>_xlfn.XLOOKUP(L63,'[1]2026 Mapping v3'!A:A,'[1]2026 Mapping v3'!F:F,0,0)</f>
        <v>58</v>
      </c>
      <c r="I63" s="18" t="b">
        <v>0</v>
      </c>
      <c r="J63" s="18" t="s">
        <v>210</v>
      </c>
      <c r="K63" s="21" t="s">
        <v>1086</v>
      </c>
      <c r="L63" s="18" t="s">
        <v>291</v>
      </c>
      <c r="M63" s="18" t="s">
        <v>98</v>
      </c>
      <c r="N63" s="18" t="s">
        <v>64</v>
      </c>
      <c r="O63" s="18" t="s">
        <v>292</v>
      </c>
      <c r="Q63" s="23" t="s">
        <v>80</v>
      </c>
      <c r="R63" s="23">
        <v>5</v>
      </c>
      <c r="S63" s="24">
        <v>1260126</v>
      </c>
      <c r="T63" s="28">
        <v>200002</v>
      </c>
      <c r="U63" s="18" t="s">
        <v>67</v>
      </c>
      <c r="V63" s="18" t="s">
        <v>68</v>
      </c>
      <c r="W63" s="18" t="s">
        <v>69</v>
      </c>
      <c r="X63" s="20">
        <v>46021</v>
      </c>
      <c r="Y63" s="18" t="s">
        <v>293</v>
      </c>
      <c r="Z63" s="18" t="str">
        <f>_xlfn.XLOOKUP(Y63,'[1]Data Source'!A:A,'[1]Data Source'!E:E,"N/A",0)</f>
        <v>LG</v>
      </c>
      <c r="AA63" s="18" t="s">
        <v>294</v>
      </c>
      <c r="AB63" s="18" t="s">
        <v>291</v>
      </c>
      <c r="AC63" s="18" t="str">
        <f>_xlfn.XLOOKUP(L63,'[1]2026 Mapping v3'!A:A,'[1]2026 Mapping v3'!B:B,"Error",0)</f>
        <v>Rift Valley</v>
      </c>
      <c r="AD63" s="18" t="str">
        <f>_xlfn.XLOOKUP(L63,'[1]2026 Mapping v3'!A:A,'[1]2026 Mapping v3'!C:C,"Error",0)</f>
        <v>Jane Nduta</v>
      </c>
      <c r="AE63" s="18" t="str">
        <f>_xlfn.XLOOKUP(L63,'[1]2026 Mapping v3'!A:A,'[1]2026 Mapping v3'!D:D,"Error",0)</f>
        <v>Emily Jepchirchir</v>
      </c>
      <c r="AF63" s="18" t="str">
        <f>_xlfn.XLOOKUP(L63,'[1]2026 Mapping v3'!A:A,'[1]2026 Mapping v3'!E:E,"Error",0)</f>
        <v>Emily Jepchirchir</v>
      </c>
      <c r="AS63" s="24">
        <v>200002</v>
      </c>
      <c r="AT63" s="24"/>
      <c r="AU63" s="24"/>
      <c r="AV63" s="24"/>
      <c r="AX63" s="29"/>
      <c r="BE63" s="24">
        <v>200002</v>
      </c>
    </row>
    <row r="64" spans="1:57">
      <c r="A64" s="18" t="s">
        <v>57</v>
      </c>
      <c r="B64" s="19">
        <v>27196957</v>
      </c>
      <c r="C64" s="20">
        <v>46037</v>
      </c>
      <c r="D64" s="18" t="s">
        <v>58</v>
      </c>
      <c r="E64" s="18" t="s">
        <v>59</v>
      </c>
      <c r="F64" s="18" t="s">
        <v>60</v>
      </c>
      <c r="G64" s="18">
        <v>12739</v>
      </c>
      <c r="H64" s="18">
        <f>_xlfn.XLOOKUP(L64,'[1]2026 Mapping v3'!A:A,'[1]2026 Mapping v3'!F:F,0,0)</f>
        <v>58</v>
      </c>
      <c r="I64" s="18" t="b">
        <v>0</v>
      </c>
      <c r="J64" s="18" t="s">
        <v>295</v>
      </c>
      <c r="K64" s="21" t="s">
        <v>1087</v>
      </c>
      <c r="L64" s="18" t="s">
        <v>291</v>
      </c>
      <c r="M64" s="18" t="s">
        <v>98</v>
      </c>
      <c r="N64" s="18" t="s">
        <v>64</v>
      </c>
      <c r="O64" s="18" t="s">
        <v>296</v>
      </c>
      <c r="Q64" s="23" t="s">
        <v>80</v>
      </c>
      <c r="R64" s="23">
        <v>5</v>
      </c>
      <c r="S64" s="24">
        <v>1000000</v>
      </c>
      <c r="T64" s="28">
        <v>178648</v>
      </c>
      <c r="U64" s="18" t="s">
        <v>67</v>
      </c>
      <c r="V64" s="18" t="s">
        <v>68</v>
      </c>
      <c r="W64" s="18" t="s">
        <v>69</v>
      </c>
      <c r="X64" s="20">
        <v>46052</v>
      </c>
      <c r="Y64" s="18" t="s">
        <v>293</v>
      </c>
      <c r="Z64" s="18" t="str">
        <f>_xlfn.XLOOKUP(Y64,'[1]Data Source'!A:A,'[1]Data Source'!E:E,"N/A",0)</f>
        <v>LG</v>
      </c>
      <c r="AA64" s="18" t="s">
        <v>294</v>
      </c>
      <c r="AB64" s="18" t="s">
        <v>291</v>
      </c>
      <c r="AC64" s="18" t="str">
        <f>_xlfn.XLOOKUP(L64,'[1]2026 Mapping v3'!A:A,'[1]2026 Mapping v3'!B:B,"Error",0)</f>
        <v>Rift Valley</v>
      </c>
      <c r="AD64" s="18" t="str">
        <f>_xlfn.XLOOKUP(L64,'[1]2026 Mapping v3'!A:A,'[1]2026 Mapping v3'!C:C,"Error",0)</f>
        <v>Jane Nduta</v>
      </c>
      <c r="AE64" s="18" t="str">
        <f>_xlfn.XLOOKUP(L64,'[1]2026 Mapping v3'!A:A,'[1]2026 Mapping v3'!D:D,"Error",0)</f>
        <v>Emily Jepchirchir</v>
      </c>
      <c r="AF64" s="18" t="str">
        <f>_xlfn.XLOOKUP(L64,'[1]2026 Mapping v3'!A:A,'[1]2026 Mapping v3'!E:E,"Error",0)</f>
        <v>Emily Jepchirchir</v>
      </c>
      <c r="AS64" s="24">
        <v>178648</v>
      </c>
      <c r="AT64" s="24"/>
      <c r="AU64" s="24"/>
      <c r="AV64" s="24"/>
      <c r="AX64" s="29"/>
      <c r="BE64" s="24">
        <v>178648</v>
      </c>
    </row>
    <row r="65" spans="1:57">
      <c r="A65" s="18" t="s">
        <v>57</v>
      </c>
      <c r="B65" s="19">
        <v>27196957</v>
      </c>
      <c r="C65" s="20">
        <v>46037</v>
      </c>
      <c r="D65" s="18" t="s">
        <v>58</v>
      </c>
      <c r="E65" s="18" t="s">
        <v>59</v>
      </c>
      <c r="F65" s="18" t="s">
        <v>60</v>
      </c>
      <c r="G65" s="18">
        <v>11753</v>
      </c>
      <c r="H65" s="18">
        <f>_xlfn.XLOOKUP(L65,'[1]2026 Mapping v3'!A:A,'[1]2026 Mapping v3'!F:F,0,0)</f>
        <v>40</v>
      </c>
      <c r="I65" s="18" t="b">
        <v>0</v>
      </c>
      <c r="J65" s="18" t="s">
        <v>297</v>
      </c>
      <c r="K65" s="21" t="s">
        <v>1088</v>
      </c>
      <c r="L65" s="18" t="s">
        <v>244</v>
      </c>
      <c r="M65" s="18" t="s">
        <v>63</v>
      </c>
      <c r="N65" s="18" t="s">
        <v>64</v>
      </c>
      <c r="O65" s="18" t="s">
        <v>298</v>
      </c>
      <c r="Q65" s="23" t="s">
        <v>80</v>
      </c>
      <c r="R65" s="23">
        <v>10</v>
      </c>
      <c r="S65" s="24">
        <v>326797</v>
      </c>
      <c r="T65" s="28">
        <v>2500</v>
      </c>
      <c r="U65" s="18" t="s">
        <v>278</v>
      </c>
      <c r="V65" s="18" t="s">
        <v>110</v>
      </c>
      <c r="W65" s="18" t="s">
        <v>69</v>
      </c>
      <c r="X65" s="20">
        <v>46052</v>
      </c>
      <c r="Y65" s="18" t="s">
        <v>299</v>
      </c>
      <c r="Z65" s="18" t="str">
        <f>_xlfn.XLOOKUP(Y65,'[1]Data Source'!A:A,'[1]Data Source'!E:E,"N/A",0)</f>
        <v>LG</v>
      </c>
      <c r="AA65" s="18" t="s">
        <v>300</v>
      </c>
      <c r="AB65" s="18" t="s">
        <v>244</v>
      </c>
      <c r="AC65" s="18" t="str">
        <f>_xlfn.XLOOKUP(L65,'[1]2026 Mapping v3'!A:A,'[1]2026 Mapping v3'!B:B,"Error",0)</f>
        <v>Rift Valley</v>
      </c>
      <c r="AD65" s="18" t="str">
        <f>_xlfn.XLOOKUP(L65,'[1]2026 Mapping v3'!A:A,'[1]2026 Mapping v3'!C:C,"Error",0)</f>
        <v>Hillary Muganda</v>
      </c>
      <c r="AE65" s="18" t="str">
        <f>_xlfn.XLOOKUP(L65,'[1]2026 Mapping v3'!A:A,'[1]2026 Mapping v3'!D:D,"Error",0)</f>
        <v>Emily Jepchirchir</v>
      </c>
      <c r="AF65" s="18" t="str">
        <f>_xlfn.XLOOKUP(L65,'[1]2026 Mapping v3'!A:A,'[1]2026 Mapping v3'!E:E,"Error",0)</f>
        <v>Emily Jepchirchir</v>
      </c>
      <c r="AS65" s="24">
        <v>2500</v>
      </c>
      <c r="AT65" s="24"/>
      <c r="AU65" s="24"/>
      <c r="AV65" s="24"/>
      <c r="AX65" s="29"/>
      <c r="BE65" s="24">
        <v>2500</v>
      </c>
    </row>
    <row r="66" spans="1:57">
      <c r="A66" s="18" t="s">
        <v>57</v>
      </c>
      <c r="B66" s="19">
        <v>27196957</v>
      </c>
      <c r="C66" s="20">
        <v>46037</v>
      </c>
      <c r="D66" s="18" t="s">
        <v>58</v>
      </c>
      <c r="E66" s="18" t="s">
        <v>59</v>
      </c>
      <c r="F66" s="18" t="s">
        <v>60</v>
      </c>
      <c r="G66" s="18">
        <v>8904</v>
      </c>
      <c r="H66" s="18">
        <f>_xlfn.XLOOKUP(L66,'[1]2026 Mapping v3'!A:A,'[1]2026 Mapping v3'!F:F,0,0)</f>
        <v>62</v>
      </c>
      <c r="I66" s="18" t="b">
        <v>0</v>
      </c>
      <c r="J66" s="18" t="s">
        <v>301</v>
      </c>
      <c r="K66" s="21" t="s">
        <v>1089</v>
      </c>
      <c r="L66" s="18" t="s">
        <v>302</v>
      </c>
      <c r="M66" s="18" t="s">
        <v>98</v>
      </c>
      <c r="N66" s="18" t="s">
        <v>64</v>
      </c>
      <c r="O66" s="18" t="s">
        <v>303</v>
      </c>
      <c r="Q66" s="23" t="s">
        <v>80</v>
      </c>
      <c r="R66" s="23">
        <v>10</v>
      </c>
      <c r="S66" s="24">
        <v>6645990</v>
      </c>
      <c r="T66" s="28">
        <v>50000</v>
      </c>
      <c r="U66" s="18" t="s">
        <v>67</v>
      </c>
      <c r="V66" s="18" t="s">
        <v>110</v>
      </c>
      <c r="W66" s="18" t="s">
        <v>69</v>
      </c>
      <c r="X66" s="20">
        <v>46063</v>
      </c>
      <c r="Y66" s="18" t="s">
        <v>304</v>
      </c>
      <c r="Z66" s="18" t="str">
        <f>_xlfn.XLOOKUP(Y66,'[1]Data Source'!A:A,'[1]Data Source'!E:E,"N/A",0)</f>
        <v>LG</v>
      </c>
      <c r="AA66" s="18" t="s">
        <v>305</v>
      </c>
      <c r="AB66" s="18" t="s">
        <v>302</v>
      </c>
      <c r="AC66" s="18" t="str">
        <f>_xlfn.XLOOKUP(L66,'[1]2026 Mapping v3'!A:A,'[1]2026 Mapping v3'!B:B,"Error",0)</f>
        <v>Rift Valley</v>
      </c>
      <c r="AD66" s="18" t="str">
        <f>_xlfn.XLOOKUP(L66,'[1]2026 Mapping v3'!A:A,'[1]2026 Mapping v3'!C:C,"Error",0)</f>
        <v>Emily Jepchirchir</v>
      </c>
      <c r="AE66" s="18" t="str">
        <f>_xlfn.XLOOKUP(L66,'[1]2026 Mapping v3'!A:A,'[1]2026 Mapping v3'!D:D,"Error",0)</f>
        <v>Emily Jepchirchir</v>
      </c>
      <c r="AF66" s="18" t="str">
        <f>_xlfn.XLOOKUP(L66,'[1]2026 Mapping v3'!A:A,'[1]2026 Mapping v3'!E:E,"Error",0)</f>
        <v>Emily Jepchirchir</v>
      </c>
      <c r="AS66" s="24">
        <v>50000</v>
      </c>
      <c r="AT66" s="24"/>
      <c r="AU66" s="24"/>
      <c r="AV66" s="24"/>
      <c r="AX66" s="29"/>
      <c r="BE66" s="24">
        <v>50000</v>
      </c>
    </row>
    <row r="67" spans="1:57">
      <c r="A67" s="18" t="s">
        <v>57</v>
      </c>
      <c r="B67" s="19">
        <v>27196957</v>
      </c>
      <c r="C67" s="20">
        <v>46037</v>
      </c>
      <c r="D67" s="18" t="s">
        <v>58</v>
      </c>
      <c r="E67" s="18" t="s">
        <v>59</v>
      </c>
      <c r="F67" s="18" t="s">
        <v>60</v>
      </c>
      <c r="G67" s="18">
        <v>13651</v>
      </c>
      <c r="H67" s="18">
        <f>_xlfn.XLOOKUP(L67,'[1]2026 Mapping v3'!A:A,'[1]2026 Mapping v3'!F:F,0,0)</f>
        <v>72</v>
      </c>
      <c r="I67" s="18" t="b">
        <v>0</v>
      </c>
      <c r="J67" s="18" t="s">
        <v>138</v>
      </c>
      <c r="K67" s="21" t="s">
        <v>1090</v>
      </c>
      <c r="L67" s="18" t="s">
        <v>306</v>
      </c>
      <c r="M67" s="18" t="s">
        <v>98</v>
      </c>
      <c r="N67" s="18" t="s">
        <v>64</v>
      </c>
      <c r="O67" s="18" t="s">
        <v>307</v>
      </c>
      <c r="Q67" s="23" t="s">
        <v>80</v>
      </c>
      <c r="R67" s="23">
        <v>10</v>
      </c>
      <c r="S67" s="24">
        <v>1208361</v>
      </c>
      <c r="T67" s="28">
        <v>100001</v>
      </c>
      <c r="U67" s="18" t="s">
        <v>67</v>
      </c>
      <c r="V67" s="18" t="s">
        <v>68</v>
      </c>
      <c r="W67" s="18" t="s">
        <v>69</v>
      </c>
      <c r="X67" s="20">
        <v>46042</v>
      </c>
      <c r="Y67" s="18" t="s">
        <v>308</v>
      </c>
      <c r="Z67" s="18" t="str">
        <f>_xlfn.XLOOKUP(Y67,'[1]Data Source'!A:A,'[1]Data Source'!E:E,"N/A",0)</f>
        <v>LG</v>
      </c>
      <c r="AA67" s="18" t="s">
        <v>309</v>
      </c>
      <c r="AB67" s="18" t="s">
        <v>306</v>
      </c>
      <c r="AC67" s="18" t="str">
        <f>_xlfn.XLOOKUP(L67,'[1]2026 Mapping v3'!A:A,'[1]2026 Mapping v3'!B:B,"Error",0)</f>
        <v>Nairobi West</v>
      </c>
      <c r="AD67" s="18" t="str">
        <f>_xlfn.XLOOKUP(L67,'[1]2026 Mapping v3'!A:A,'[1]2026 Mapping v3'!C:C,"Error",0)</f>
        <v>Ancetar Mulili</v>
      </c>
      <c r="AE67" s="18" t="str">
        <f>_xlfn.XLOOKUP(L67,'[1]2026 Mapping v3'!A:A,'[1]2026 Mapping v3'!D:D,"Error",0)</f>
        <v>Ancetar Mulili</v>
      </c>
      <c r="AF67" s="18" t="str">
        <f>_xlfn.XLOOKUP(L67,'[1]2026 Mapping v3'!A:A,'[1]2026 Mapping v3'!E:E,"Error",0)</f>
        <v>Bilha Wachira</v>
      </c>
      <c r="AS67" s="24">
        <v>100001</v>
      </c>
      <c r="AT67" s="24"/>
      <c r="AU67" s="24"/>
      <c r="AV67" s="24"/>
      <c r="AX67" s="29"/>
      <c r="BE67" s="24">
        <v>100001</v>
      </c>
    </row>
    <row r="68" spans="1:57">
      <c r="A68" s="18" t="s">
        <v>57</v>
      </c>
      <c r="B68" s="19">
        <v>27196957</v>
      </c>
      <c r="C68" s="20">
        <v>46037</v>
      </c>
      <c r="D68" s="18" t="s">
        <v>58</v>
      </c>
      <c r="E68" s="18" t="s">
        <v>59</v>
      </c>
      <c r="F68" s="18" t="s">
        <v>60</v>
      </c>
      <c r="G68" s="18">
        <v>6254</v>
      </c>
      <c r="H68" s="18">
        <f>_xlfn.XLOOKUP(L68,'[1]2026 Mapping v3'!A:A,'[1]2026 Mapping v3'!F:F,0,0)</f>
        <v>63</v>
      </c>
      <c r="I68" s="18" t="b">
        <v>0</v>
      </c>
      <c r="J68" s="18" t="s">
        <v>310</v>
      </c>
      <c r="K68" s="21" t="s">
        <v>1091</v>
      </c>
      <c r="L68" s="18" t="s">
        <v>311</v>
      </c>
      <c r="M68" s="18" t="s">
        <v>63</v>
      </c>
      <c r="N68" s="18" t="s">
        <v>64</v>
      </c>
      <c r="O68" s="18" t="s">
        <v>312</v>
      </c>
      <c r="Q68" s="23" t="s">
        <v>80</v>
      </c>
      <c r="R68" s="23">
        <v>5</v>
      </c>
      <c r="S68" s="24">
        <v>130000</v>
      </c>
      <c r="T68" s="28">
        <v>2106</v>
      </c>
      <c r="U68" s="18" t="s">
        <v>278</v>
      </c>
      <c r="V68" s="18" t="s">
        <v>110</v>
      </c>
      <c r="W68" s="18" t="s">
        <v>69</v>
      </c>
      <c r="X68" s="20">
        <v>46058</v>
      </c>
      <c r="Y68" s="18" t="s">
        <v>313</v>
      </c>
      <c r="Z68" s="18" t="str">
        <f>_xlfn.XLOOKUP(Y68,'[1]Data Source'!A:A,'[1]Data Source'!E:E,"N/A",0)</f>
        <v>N/A</v>
      </c>
      <c r="AA68" s="18" t="s">
        <v>101</v>
      </c>
      <c r="AB68" s="18" t="s">
        <v>311</v>
      </c>
      <c r="AC68" s="18" t="str">
        <f>_xlfn.XLOOKUP(L68,'[1]2026 Mapping v3'!A:A,'[1]2026 Mapping v3'!B:B,"Error",0)</f>
        <v>Nairobi Central</v>
      </c>
      <c r="AD68" s="18" t="str">
        <f>_xlfn.XLOOKUP(L68,'[1]2026 Mapping v3'!A:A,'[1]2026 Mapping v3'!C:C,"Error",0)</f>
        <v>George Maina</v>
      </c>
      <c r="AE68" s="18" t="str">
        <f>_xlfn.XLOOKUP(L68,'[1]2026 Mapping v3'!A:A,'[1]2026 Mapping v3'!D:D,"Error",0)</f>
        <v>Zedekiah Mburu</v>
      </c>
      <c r="AF68" s="18" t="str">
        <f>_xlfn.XLOOKUP(L68,'[1]2026 Mapping v3'!A:A,'[1]2026 Mapping v3'!E:E,"Error",0)</f>
        <v>Bilha Wachira</v>
      </c>
      <c r="AS68" s="24">
        <v>2106</v>
      </c>
      <c r="AT68" s="24"/>
      <c r="AU68" s="24"/>
      <c r="AV68" s="24"/>
      <c r="AX68" s="29"/>
      <c r="BE68" s="24">
        <v>2106</v>
      </c>
    </row>
    <row r="69" spans="1:57">
      <c r="A69" s="18" t="s">
        <v>57</v>
      </c>
      <c r="B69" s="19">
        <v>27196957</v>
      </c>
      <c r="C69" s="20">
        <v>46037</v>
      </c>
      <c r="D69" s="18" t="s">
        <v>58</v>
      </c>
      <c r="E69" s="18" t="s">
        <v>59</v>
      </c>
      <c r="F69" s="18" t="s">
        <v>60</v>
      </c>
      <c r="G69" s="18">
        <v>5307</v>
      </c>
      <c r="H69" s="18">
        <f>_xlfn.XLOOKUP(L69,'[1]2026 Mapping v3'!A:A,'[1]2026 Mapping v3'!F:F,0,0)</f>
        <v>50</v>
      </c>
      <c r="I69" s="18" t="b">
        <v>0</v>
      </c>
      <c r="J69" s="18" t="s">
        <v>314</v>
      </c>
      <c r="K69" s="21" t="s">
        <v>1092</v>
      </c>
      <c r="L69" s="18" t="s">
        <v>315</v>
      </c>
      <c r="M69" s="18" t="s">
        <v>63</v>
      </c>
      <c r="N69" s="18" t="s">
        <v>64</v>
      </c>
      <c r="O69" s="18" t="s">
        <v>316</v>
      </c>
      <c r="Q69" s="23" t="s">
        <v>80</v>
      </c>
      <c r="R69" s="23">
        <v>10</v>
      </c>
      <c r="S69" s="24">
        <v>237670</v>
      </c>
      <c r="T69" s="28">
        <v>20000</v>
      </c>
      <c r="U69" s="18" t="s">
        <v>67</v>
      </c>
      <c r="V69" s="18" t="s">
        <v>110</v>
      </c>
      <c r="W69" s="18" t="s">
        <v>69</v>
      </c>
      <c r="X69" s="20">
        <v>46032</v>
      </c>
      <c r="Y69" s="18" t="s">
        <v>317</v>
      </c>
      <c r="Z69" s="18" t="str">
        <f>_xlfn.XLOOKUP(Y69,'[1]Data Source'!A:A,'[1]Data Source'!E:E,"N/A",0)</f>
        <v>N/A</v>
      </c>
      <c r="AA69" s="18" t="s">
        <v>101</v>
      </c>
      <c r="AB69" s="18" t="s">
        <v>315</v>
      </c>
      <c r="AC69" s="18" t="str">
        <f>_xlfn.XLOOKUP(L69,'[1]2026 Mapping v3'!A:A,'[1]2026 Mapping v3'!B:B,"Error",0)</f>
        <v>Western</v>
      </c>
      <c r="AD69" s="18" t="str">
        <f>_xlfn.XLOOKUP(L69,'[1]2026 Mapping v3'!A:A,'[1]2026 Mapping v3'!C:C,"Error",0)</f>
        <v>Sheila Adhiambo</v>
      </c>
      <c r="AE69" s="18" t="str">
        <f>_xlfn.XLOOKUP(L69,'[1]2026 Mapping v3'!A:A,'[1]2026 Mapping v3'!D:D,"Error",0)</f>
        <v>Sheila Adhiambo</v>
      </c>
      <c r="AF69" s="18" t="str">
        <f>_xlfn.XLOOKUP(L69,'[1]2026 Mapping v3'!A:A,'[1]2026 Mapping v3'!E:E,"Error",0)</f>
        <v>Eric Njiru</v>
      </c>
      <c r="AS69" s="24">
        <v>20000</v>
      </c>
      <c r="AT69" s="24"/>
      <c r="AU69" s="24"/>
      <c r="AV69" s="24"/>
      <c r="AX69" s="29"/>
      <c r="BE69" s="24">
        <v>20000</v>
      </c>
    </row>
    <row r="70" spans="1:57">
      <c r="A70" s="18" t="s">
        <v>128</v>
      </c>
      <c r="B70" s="19">
        <v>27196957</v>
      </c>
      <c r="C70" s="20">
        <v>46037</v>
      </c>
      <c r="D70" s="18" t="s">
        <v>58</v>
      </c>
      <c r="E70" s="18" t="s">
        <v>59</v>
      </c>
      <c r="F70" s="18" t="s">
        <v>60</v>
      </c>
      <c r="G70" s="18">
        <v>4808</v>
      </c>
      <c r="H70" s="18">
        <f>_xlfn.XLOOKUP(L70,'[1]2026 Mapping v3'!A:A,'[1]2026 Mapping v3'!F:F,0,0)</f>
        <v>12</v>
      </c>
      <c r="I70" s="18" t="b">
        <v>0</v>
      </c>
      <c r="J70" s="18" t="s">
        <v>140</v>
      </c>
      <c r="K70" s="21" t="s">
        <v>1093</v>
      </c>
      <c r="L70" s="18" t="str">
        <f>Y70</f>
        <v>Hisa001</v>
      </c>
      <c r="M70" s="18" t="s">
        <v>98</v>
      </c>
      <c r="N70" s="18" t="s">
        <v>64</v>
      </c>
      <c r="O70" s="18" t="s">
        <v>318</v>
      </c>
      <c r="Q70" s="23" t="s">
        <v>80</v>
      </c>
      <c r="R70" s="23">
        <v>6</v>
      </c>
      <c r="S70" s="24">
        <v>7495940</v>
      </c>
      <c r="T70" s="28">
        <v>97500</v>
      </c>
      <c r="U70" s="18" t="s">
        <v>278</v>
      </c>
      <c r="V70" s="18" t="s">
        <v>110</v>
      </c>
      <c r="W70" s="18" t="s">
        <v>69</v>
      </c>
      <c r="X70" s="20">
        <v>46042</v>
      </c>
      <c r="Y70" s="18" t="s">
        <v>319</v>
      </c>
      <c r="Z70" s="18" t="str">
        <f>_xlfn.XLOOKUP(Y70,'[1]Data Source'!A:A,'[1]Data Source'!E:E,"N/A",0)</f>
        <v>ALAK</v>
      </c>
      <c r="AA70" s="18" t="s">
        <v>132</v>
      </c>
      <c r="AB70" s="18" t="str">
        <f>Y70</f>
        <v>Hisa001</v>
      </c>
      <c r="AC70" s="18" t="str">
        <f>_xlfn.XLOOKUP(L70,'[1]2026 Mapping v3'!A:A,'[1]2026 Mapping v3'!B:B,"Error",0)</f>
        <v>Alternative Channels</v>
      </c>
      <c r="AD70" s="18" t="str">
        <f>_xlfn.XLOOKUP(L70,'[1]2026 Mapping v3'!A:A,'[1]2026 Mapping v3'!C:C,"Error",0)</f>
        <v>Eric Njiru</v>
      </c>
      <c r="AE70" s="18" t="str">
        <f>_xlfn.XLOOKUP(L70,'[1]2026 Mapping v3'!A:A,'[1]2026 Mapping v3'!D:D,"Error",0)</f>
        <v>Eric Njiru</v>
      </c>
      <c r="AF70" s="18" t="str">
        <f>_xlfn.XLOOKUP(L70,'[1]2026 Mapping v3'!A:A,'[1]2026 Mapping v3'!E:E,"Error",0)</f>
        <v>Eric Njiru</v>
      </c>
      <c r="AS70" s="24">
        <v>97500</v>
      </c>
      <c r="AT70" s="24"/>
      <c r="AU70" s="24"/>
      <c r="AV70" s="24"/>
      <c r="AX70" s="29"/>
      <c r="BE70" s="24">
        <v>97500</v>
      </c>
    </row>
    <row r="71" spans="1:57">
      <c r="A71" s="18" t="s">
        <v>145</v>
      </c>
      <c r="B71" s="19">
        <v>27196957</v>
      </c>
      <c r="C71" s="20">
        <v>46037</v>
      </c>
      <c r="D71" s="18" t="s">
        <v>58</v>
      </c>
      <c r="E71" s="18" t="s">
        <v>59</v>
      </c>
      <c r="F71" s="18" t="s">
        <v>60</v>
      </c>
      <c r="G71" s="18">
        <v>4172</v>
      </c>
      <c r="H71" s="18">
        <f>_xlfn.XLOOKUP(L71,'[1]2026 Mapping v3'!A:A,'[1]2026 Mapping v3'!F:F,0,0)</f>
        <v>129</v>
      </c>
      <c r="I71" s="18" t="b">
        <v>0</v>
      </c>
      <c r="J71" s="18" t="s">
        <v>135</v>
      </c>
      <c r="K71" s="21" t="s">
        <v>1094</v>
      </c>
      <c r="L71" s="18" t="s">
        <v>145</v>
      </c>
      <c r="M71" s="18" t="s">
        <v>63</v>
      </c>
      <c r="N71" s="18" t="s">
        <v>64</v>
      </c>
      <c r="O71" s="18" t="s">
        <v>101</v>
      </c>
      <c r="Q71" s="23" t="s">
        <v>80</v>
      </c>
      <c r="R71" s="23">
        <v>10</v>
      </c>
      <c r="S71" s="24">
        <v>261440</v>
      </c>
      <c r="T71" s="28">
        <v>2000</v>
      </c>
      <c r="U71" s="18" t="s">
        <v>101</v>
      </c>
      <c r="V71" s="18" t="s">
        <v>110</v>
      </c>
      <c r="W71" s="18" t="s">
        <v>69</v>
      </c>
      <c r="X71" s="20">
        <v>46052</v>
      </c>
      <c r="Y71" s="18" t="s">
        <v>148</v>
      </c>
      <c r="Z71" s="18" t="str">
        <f>_xlfn.XLOOKUP(Y71,'[1]Data Source'!A:A,'[1]Data Source'!E:E,"N/A",0)</f>
        <v>WENDRA</v>
      </c>
      <c r="AA71" s="18" t="s">
        <v>149</v>
      </c>
      <c r="AB71" s="18" t="s">
        <v>145</v>
      </c>
      <c r="AC71" s="18" t="str">
        <f>_xlfn.XLOOKUP(L71,'[1]2026 Mapping v3'!A:A,'[1]2026 Mapping v3'!B:B,"Error",0)</f>
        <v>Alternative Channels</v>
      </c>
      <c r="AD71" s="18" t="str">
        <f>_xlfn.XLOOKUP(L71,'[1]2026 Mapping v3'!A:A,'[1]2026 Mapping v3'!C:C,"Error",0)</f>
        <v>Selestine Magayu</v>
      </c>
      <c r="AE71" s="18" t="str">
        <f>_xlfn.XLOOKUP(L71,'[1]2026 Mapping v3'!A:A,'[1]2026 Mapping v3'!D:D,"Error",0)</f>
        <v>Joel Mbogo</v>
      </c>
      <c r="AF71" s="18" t="str">
        <f>_xlfn.XLOOKUP(L71,'[1]2026 Mapping v3'!A:A,'[1]2026 Mapping v3'!E:E,"Error",0)</f>
        <v>Eric Njiru</v>
      </c>
      <c r="AS71" s="24">
        <v>2000</v>
      </c>
      <c r="AT71" s="24"/>
      <c r="AU71" s="24"/>
      <c r="AV71" s="24"/>
      <c r="AX71" s="29"/>
      <c r="BE71" s="24">
        <v>2000</v>
      </c>
    </row>
    <row r="72" spans="1:57">
      <c r="A72" s="18" t="s">
        <v>57</v>
      </c>
      <c r="B72" s="19">
        <v>27196957</v>
      </c>
      <c r="C72" s="20">
        <v>46038</v>
      </c>
      <c r="D72" s="18" t="s">
        <v>58</v>
      </c>
      <c r="E72" s="18" t="s">
        <v>59</v>
      </c>
      <c r="F72" s="18" t="s">
        <v>60</v>
      </c>
      <c r="G72" s="18">
        <v>12741</v>
      </c>
      <c r="H72" s="18">
        <f>_xlfn.XLOOKUP(L72,'[1]2026 Mapping v3'!A:A,'[1]2026 Mapping v3'!F:F,0,0)</f>
        <v>58</v>
      </c>
      <c r="I72" s="18" t="b">
        <v>0</v>
      </c>
      <c r="J72" s="18" t="s">
        <v>320</v>
      </c>
      <c r="K72" s="21" t="s">
        <v>1095</v>
      </c>
      <c r="L72" s="18" t="s">
        <v>291</v>
      </c>
      <c r="M72" s="18" t="s">
        <v>98</v>
      </c>
      <c r="N72" s="18" t="s">
        <v>64</v>
      </c>
      <c r="O72" s="18" t="s">
        <v>321</v>
      </c>
      <c r="Q72" s="23" t="s">
        <v>80</v>
      </c>
      <c r="R72" s="23">
        <v>5</v>
      </c>
      <c r="S72" s="24">
        <v>1681052</v>
      </c>
      <c r="T72" s="28">
        <v>300003</v>
      </c>
      <c r="U72" s="18" t="s">
        <v>67</v>
      </c>
      <c r="V72" s="18" t="s">
        <v>68</v>
      </c>
      <c r="W72" s="18" t="s">
        <v>69</v>
      </c>
      <c r="X72" s="20">
        <v>46042</v>
      </c>
      <c r="Y72" s="18" t="s">
        <v>322</v>
      </c>
      <c r="Z72" s="18" t="str">
        <f>_xlfn.XLOOKUP(Y72,'[1]Data Source'!A:A,'[1]Data Source'!E:E,"N/A",0)</f>
        <v>UB</v>
      </c>
      <c r="AA72" s="18" t="s">
        <v>323</v>
      </c>
      <c r="AB72" s="18" t="s">
        <v>291</v>
      </c>
      <c r="AC72" s="18" t="str">
        <f>_xlfn.XLOOKUP(L72,'[1]2026 Mapping v3'!A:A,'[1]2026 Mapping v3'!B:B,"Error",0)</f>
        <v>Rift Valley</v>
      </c>
      <c r="AD72" s="18" t="str">
        <f>_xlfn.XLOOKUP(L72,'[1]2026 Mapping v3'!A:A,'[1]2026 Mapping v3'!C:C,"Error",0)</f>
        <v>Jane Nduta</v>
      </c>
      <c r="AE72" s="18" t="str">
        <f>_xlfn.XLOOKUP(L72,'[1]2026 Mapping v3'!A:A,'[1]2026 Mapping v3'!D:D,"Error",0)</f>
        <v>Emily Jepchirchir</v>
      </c>
      <c r="AF72" s="18" t="str">
        <f>_xlfn.XLOOKUP(L72,'[1]2026 Mapping v3'!A:A,'[1]2026 Mapping v3'!E:E,"Error",0)</f>
        <v>Emily Jepchirchir</v>
      </c>
      <c r="AS72" s="24">
        <v>300003</v>
      </c>
      <c r="AT72" s="24"/>
      <c r="AU72" s="24"/>
      <c r="AV72" s="24"/>
      <c r="AX72" s="29"/>
      <c r="BE72" s="24">
        <v>300003</v>
      </c>
    </row>
    <row r="73" spans="1:57">
      <c r="A73" s="18" t="s">
        <v>57</v>
      </c>
      <c r="B73" s="19">
        <v>27196957</v>
      </c>
      <c r="C73" s="20">
        <v>46038</v>
      </c>
      <c r="D73" s="18" t="s">
        <v>58</v>
      </c>
      <c r="E73" s="18" t="s">
        <v>59</v>
      </c>
      <c r="F73" s="18" t="s">
        <v>60</v>
      </c>
      <c r="G73" s="18">
        <v>15761</v>
      </c>
      <c r="H73" s="18">
        <f>_xlfn.XLOOKUP(L73,'[1]2026 Mapping v3'!A:A,'[1]2026 Mapping v3'!F:F,0,0)</f>
        <v>17</v>
      </c>
      <c r="I73" s="18" t="b">
        <v>0</v>
      </c>
      <c r="J73" s="18" t="s">
        <v>324</v>
      </c>
      <c r="K73" s="21" t="s">
        <v>1096</v>
      </c>
      <c r="L73" s="18" t="s">
        <v>325</v>
      </c>
      <c r="M73" s="18" t="s">
        <v>98</v>
      </c>
      <c r="N73" s="18" t="s">
        <v>64</v>
      </c>
      <c r="O73" s="18" t="s">
        <v>326</v>
      </c>
      <c r="Q73" s="23" t="s">
        <v>80</v>
      </c>
      <c r="R73" s="23">
        <v>6</v>
      </c>
      <c r="S73" s="24">
        <v>2916684</v>
      </c>
      <c r="T73" s="28">
        <v>2003646</v>
      </c>
      <c r="U73" s="18" t="s">
        <v>67</v>
      </c>
      <c r="V73" s="18" t="s">
        <v>158</v>
      </c>
      <c r="W73" s="18" t="s">
        <v>69</v>
      </c>
      <c r="X73" s="20">
        <v>46052</v>
      </c>
      <c r="Y73" s="18" t="s">
        <v>327</v>
      </c>
      <c r="Z73" s="18" t="str">
        <f>_xlfn.XLOOKUP(Y73,'[1]Data Source'!A:A,'[1]Data Source'!E:E,"N/A",0)</f>
        <v>LG</v>
      </c>
      <c r="AA73" s="18" t="s">
        <v>328</v>
      </c>
      <c r="AB73" s="18" t="s">
        <v>325</v>
      </c>
      <c r="AC73" s="18" t="str">
        <f>_xlfn.XLOOKUP(L73,'[1]2026 Mapping v3'!A:A,'[1]2026 Mapping v3'!B:B,"Error",0)</f>
        <v>Nairobi Central</v>
      </c>
      <c r="AD73" s="18" t="str">
        <f>_xlfn.XLOOKUP(L73,'[1]2026 Mapping v3'!A:A,'[1]2026 Mapping v3'!C:C,"Error",0)</f>
        <v>Zedekiah Mburu</v>
      </c>
      <c r="AE73" s="18" t="str">
        <f>_xlfn.XLOOKUP(L73,'[1]2026 Mapping v3'!A:A,'[1]2026 Mapping v3'!D:D,"Error",0)</f>
        <v>Zedekiah Mburu</v>
      </c>
      <c r="AF73" s="18" t="str">
        <f>_xlfn.XLOOKUP(L73,'[1]2026 Mapping v3'!A:A,'[1]2026 Mapping v3'!E:E,"Error",0)</f>
        <v>Bilha Wachira</v>
      </c>
      <c r="AS73" s="24">
        <v>2003646</v>
      </c>
      <c r="AT73" s="24"/>
      <c r="AU73" s="24"/>
      <c r="AV73" s="24"/>
      <c r="AX73" s="29"/>
      <c r="BE73" s="24">
        <v>2003646</v>
      </c>
    </row>
    <row r="74" spans="1:57">
      <c r="A74" s="18" t="s">
        <v>57</v>
      </c>
      <c r="B74" s="19">
        <v>27196957</v>
      </c>
      <c r="C74" s="20">
        <v>46038</v>
      </c>
      <c r="D74" s="18" t="s">
        <v>58</v>
      </c>
      <c r="E74" s="18" t="s">
        <v>59</v>
      </c>
      <c r="F74" s="18" t="s">
        <v>60</v>
      </c>
      <c r="G74" s="18">
        <v>12399</v>
      </c>
      <c r="H74" s="18">
        <f>_xlfn.XLOOKUP(L74,'[1]2026 Mapping v3'!A:A,'[1]2026 Mapping v3'!F:F,0,0)</f>
        <v>86</v>
      </c>
      <c r="I74" s="18" t="b">
        <v>0</v>
      </c>
      <c r="J74" s="18" t="s">
        <v>142</v>
      </c>
      <c r="K74" s="21" t="s">
        <v>1097</v>
      </c>
      <c r="L74" s="18" t="s">
        <v>329</v>
      </c>
      <c r="M74" s="18" t="s">
        <v>98</v>
      </c>
      <c r="N74" s="18" t="s">
        <v>64</v>
      </c>
      <c r="O74" s="18" t="s">
        <v>330</v>
      </c>
      <c r="Q74" s="23" t="s">
        <v>80</v>
      </c>
      <c r="R74" s="23">
        <v>5</v>
      </c>
      <c r="S74" s="24">
        <v>8405262</v>
      </c>
      <c r="T74" s="28">
        <v>1501546</v>
      </c>
      <c r="U74" s="18" t="s">
        <v>67</v>
      </c>
      <c r="V74" s="18" t="s">
        <v>68</v>
      </c>
      <c r="W74" s="18" t="s">
        <v>69</v>
      </c>
      <c r="X74" s="20">
        <v>46032</v>
      </c>
      <c r="Y74" s="18" t="s">
        <v>331</v>
      </c>
      <c r="Z74" s="18" t="str">
        <f>_xlfn.XLOOKUP(Y74,'[1]Data Source'!A:A,'[1]Data Source'!E:E,"N/A",0)</f>
        <v>N/A</v>
      </c>
      <c r="AA74" s="18" t="s">
        <v>101</v>
      </c>
      <c r="AB74" s="18" t="s">
        <v>329</v>
      </c>
      <c r="AC74" s="18" t="str">
        <f>_xlfn.XLOOKUP(L74,'[1]2026 Mapping v3'!A:A,'[1]2026 Mapping v3'!B:B,"Error",0)</f>
        <v>Nairobi West</v>
      </c>
      <c r="AD74" s="18" t="str">
        <f>_xlfn.XLOOKUP(L74,'[1]2026 Mapping v3'!A:A,'[1]2026 Mapping v3'!C:C,"Error",0)</f>
        <v>Ancetar Mulili</v>
      </c>
      <c r="AE74" s="18" t="str">
        <f>_xlfn.XLOOKUP(L74,'[1]2026 Mapping v3'!A:A,'[1]2026 Mapping v3'!D:D,"Error",0)</f>
        <v>Ancetar Mulili</v>
      </c>
      <c r="AF74" s="18" t="str">
        <f>_xlfn.XLOOKUP(L74,'[1]2026 Mapping v3'!A:A,'[1]2026 Mapping v3'!E:E,"Error",0)</f>
        <v>Bilha Wachira</v>
      </c>
      <c r="AS74" s="24">
        <v>1501546</v>
      </c>
      <c r="AT74" s="24"/>
      <c r="AU74" s="24"/>
      <c r="AV74" s="24"/>
      <c r="AX74" s="29"/>
      <c r="BE74" s="24">
        <v>1501546</v>
      </c>
    </row>
    <row r="75" spans="1:57">
      <c r="A75" s="18" t="s">
        <v>57</v>
      </c>
      <c r="B75" s="19">
        <v>27196957</v>
      </c>
      <c r="C75" s="20">
        <v>46038</v>
      </c>
      <c r="D75" s="18" t="s">
        <v>58</v>
      </c>
      <c r="E75" s="18" t="s">
        <v>59</v>
      </c>
      <c r="F75" s="18" t="s">
        <v>60</v>
      </c>
      <c r="G75" s="18">
        <v>13734</v>
      </c>
      <c r="H75" s="18">
        <f>_xlfn.XLOOKUP(L75,'[1]2026 Mapping v3'!A:A,'[1]2026 Mapping v3'!F:F,0,0)</f>
        <v>65</v>
      </c>
      <c r="I75" s="18" t="b">
        <v>0</v>
      </c>
      <c r="J75" s="18" t="s">
        <v>261</v>
      </c>
      <c r="K75" s="21" t="s">
        <v>1098</v>
      </c>
      <c r="L75" s="18" t="s">
        <v>280</v>
      </c>
      <c r="M75" s="18" t="s">
        <v>98</v>
      </c>
      <c r="N75" s="18" t="s">
        <v>64</v>
      </c>
      <c r="O75" s="18" t="s">
        <v>332</v>
      </c>
      <c r="Q75" s="23" t="s">
        <v>80</v>
      </c>
      <c r="R75" s="23">
        <v>5</v>
      </c>
      <c r="S75" s="24">
        <v>2668088</v>
      </c>
      <c r="T75" s="28">
        <v>476146</v>
      </c>
      <c r="U75" s="18" t="s">
        <v>67</v>
      </c>
      <c r="V75" s="18" t="s">
        <v>68</v>
      </c>
      <c r="W75" s="18" t="s">
        <v>69</v>
      </c>
      <c r="X75" s="20">
        <v>46042</v>
      </c>
      <c r="Y75" s="18" t="s">
        <v>333</v>
      </c>
      <c r="Z75" s="18" t="str">
        <f>_xlfn.XLOOKUP(Y75,'[1]Data Source'!A:A,'[1]Data Source'!E:E,"N/A",0)</f>
        <v>N/A</v>
      </c>
      <c r="AA75" s="18" t="s">
        <v>101</v>
      </c>
      <c r="AB75" s="18" t="s">
        <v>280</v>
      </c>
      <c r="AC75" s="18" t="str">
        <f>_xlfn.XLOOKUP(L75,'[1]2026 Mapping v3'!A:A,'[1]2026 Mapping v3'!B:B,"Error",0)</f>
        <v>Mt. Kenya</v>
      </c>
      <c r="AD75" s="18" t="str">
        <f>_xlfn.XLOOKUP(L75,'[1]2026 Mapping v3'!A:A,'[1]2026 Mapping v3'!C:C,"Error",0)</f>
        <v>Teresa Maina</v>
      </c>
      <c r="AE75" s="18" t="str">
        <f>_xlfn.XLOOKUP(L75,'[1]2026 Mapping v3'!A:A,'[1]2026 Mapping v3'!D:D,"Error",0)</f>
        <v>Paul Kithuka</v>
      </c>
      <c r="AF75" s="18" t="str">
        <f>_xlfn.XLOOKUP(L75,'[1]2026 Mapping v3'!A:A,'[1]2026 Mapping v3'!E:E,"Error",0)</f>
        <v>Simon Maingi</v>
      </c>
      <c r="AS75" s="24">
        <v>476146</v>
      </c>
      <c r="AT75" s="24"/>
      <c r="AU75" s="24"/>
      <c r="AV75" s="24"/>
      <c r="AX75" s="29"/>
      <c r="BE75" s="24">
        <v>476146</v>
      </c>
    </row>
    <row r="76" spans="1:57">
      <c r="A76" s="18" t="s">
        <v>57</v>
      </c>
      <c r="B76" s="19">
        <v>27196957</v>
      </c>
      <c r="C76" s="20">
        <v>46038</v>
      </c>
      <c r="D76" s="18" t="s">
        <v>58</v>
      </c>
      <c r="E76" s="18" t="s">
        <v>59</v>
      </c>
      <c r="F76" s="18" t="s">
        <v>60</v>
      </c>
      <c r="G76" s="18">
        <v>1751</v>
      </c>
      <c r="H76" s="18">
        <f>_xlfn.XLOOKUP(L76,'[1]2026 Mapping v3'!A:A,'[1]2026 Mapping v3'!F:F,0,0)</f>
        <v>14</v>
      </c>
      <c r="I76" s="18" t="b">
        <v>0</v>
      </c>
      <c r="J76" s="18" t="s">
        <v>334</v>
      </c>
      <c r="K76" s="21" t="s">
        <v>1099</v>
      </c>
      <c r="L76" s="18" t="s">
        <v>108</v>
      </c>
      <c r="M76" s="18" t="s">
        <v>98</v>
      </c>
      <c r="N76" s="18" t="s">
        <v>64</v>
      </c>
      <c r="O76" s="18" t="s">
        <v>335</v>
      </c>
      <c r="Q76" s="23" t="s">
        <v>80</v>
      </c>
      <c r="R76" s="23">
        <v>6</v>
      </c>
      <c r="S76" s="24">
        <v>1750010</v>
      </c>
      <c r="T76" s="28">
        <v>1200000</v>
      </c>
      <c r="U76" s="18" t="s">
        <v>67</v>
      </c>
      <c r="V76" s="18" t="s">
        <v>158</v>
      </c>
      <c r="W76" s="18" t="s">
        <v>69</v>
      </c>
      <c r="X76" s="20">
        <v>46042</v>
      </c>
      <c r="Y76" s="18" t="s">
        <v>336</v>
      </c>
      <c r="Z76" s="18" t="str">
        <f>_xlfn.XLOOKUP(Y76,'[1]Data Source'!A:A,'[1]Data Source'!E:E,"N/A",0)</f>
        <v>UB</v>
      </c>
      <c r="AA76" s="18" t="s">
        <v>337</v>
      </c>
      <c r="AB76" s="18" t="s">
        <v>108</v>
      </c>
      <c r="AC76" s="18" t="str">
        <f>_xlfn.XLOOKUP(L76,'[1]2026 Mapping v3'!A:A,'[1]2026 Mapping v3'!B:B,"Error",0)</f>
        <v>Rift Valley</v>
      </c>
      <c r="AD76" s="18" t="str">
        <f>_xlfn.XLOOKUP(L76,'[1]2026 Mapping v3'!A:A,'[1]2026 Mapping v3'!C:C,"Error",0)</f>
        <v>Emily Jepchirchir</v>
      </c>
      <c r="AE76" s="18" t="str">
        <f>_xlfn.XLOOKUP(L76,'[1]2026 Mapping v3'!A:A,'[1]2026 Mapping v3'!D:D,"Error",0)</f>
        <v>Emily Jepchirchir</v>
      </c>
      <c r="AF76" s="18" t="str">
        <f>_xlfn.XLOOKUP(L76,'[1]2026 Mapping v3'!A:A,'[1]2026 Mapping v3'!E:E,"Error",0)</f>
        <v>Emily Jepchirchir</v>
      </c>
      <c r="AS76" s="24">
        <v>1200000</v>
      </c>
      <c r="AT76" s="24"/>
      <c r="AU76" s="24"/>
      <c r="AV76" s="24"/>
      <c r="AX76" s="29"/>
      <c r="BE76" s="24">
        <v>1200000</v>
      </c>
    </row>
    <row r="77" spans="1:57">
      <c r="A77" s="18" t="s">
        <v>128</v>
      </c>
      <c r="B77" s="19">
        <v>27196957</v>
      </c>
      <c r="C77" s="20">
        <v>46038</v>
      </c>
      <c r="D77" s="18" t="s">
        <v>58</v>
      </c>
      <c r="E77" s="18" t="s">
        <v>59</v>
      </c>
      <c r="F77" s="18" t="s">
        <v>60</v>
      </c>
      <c r="G77" s="18">
        <v>4821</v>
      </c>
      <c r="H77" s="18">
        <f>_xlfn.XLOOKUP(L77,'[1]2026 Mapping v3'!A:A,'[1]2026 Mapping v3'!F:F,0,0)</f>
        <v>12</v>
      </c>
      <c r="I77" s="18" t="b">
        <v>0</v>
      </c>
      <c r="J77" s="18" t="s">
        <v>338</v>
      </c>
      <c r="K77" s="21" t="s">
        <v>1100</v>
      </c>
      <c r="L77" s="18" t="str">
        <f>Y77</f>
        <v>HISA001</v>
      </c>
      <c r="M77" s="18" t="s">
        <v>98</v>
      </c>
      <c r="N77" s="18" t="s">
        <v>64</v>
      </c>
      <c r="O77" s="18" t="s">
        <v>339</v>
      </c>
      <c r="Q77" s="23" t="s">
        <v>80</v>
      </c>
      <c r="R77" s="23">
        <v>10</v>
      </c>
      <c r="S77" s="24">
        <v>1329238</v>
      </c>
      <c r="T77" s="28">
        <v>10023</v>
      </c>
      <c r="U77" s="18" t="s">
        <v>67</v>
      </c>
      <c r="V77" s="18" t="s">
        <v>110</v>
      </c>
      <c r="W77" s="18" t="s">
        <v>69</v>
      </c>
      <c r="X77" s="20">
        <v>46052</v>
      </c>
      <c r="Y77" s="18" t="s">
        <v>131</v>
      </c>
      <c r="Z77" s="18" t="str">
        <f>_xlfn.XLOOKUP(Y77,'[1]Data Source'!A:A,'[1]Data Source'!E:E,"N/A",0)</f>
        <v>ALAK</v>
      </c>
      <c r="AA77" s="18" t="s">
        <v>132</v>
      </c>
      <c r="AB77" s="18" t="str">
        <f>Y77</f>
        <v>HISA001</v>
      </c>
      <c r="AC77" s="18" t="str">
        <f>_xlfn.XLOOKUP(L77,'[1]2026 Mapping v3'!A:A,'[1]2026 Mapping v3'!B:B,"Error",0)</f>
        <v>Alternative Channels</v>
      </c>
      <c r="AD77" s="18" t="str">
        <f>_xlfn.XLOOKUP(L77,'[1]2026 Mapping v3'!A:A,'[1]2026 Mapping v3'!C:C,"Error",0)</f>
        <v>Eric Njiru</v>
      </c>
      <c r="AE77" s="18" t="str">
        <f>_xlfn.XLOOKUP(L77,'[1]2026 Mapping v3'!A:A,'[1]2026 Mapping v3'!D:D,"Error",0)</f>
        <v>Eric Njiru</v>
      </c>
      <c r="AF77" s="18" t="str">
        <f>_xlfn.XLOOKUP(L77,'[1]2026 Mapping v3'!A:A,'[1]2026 Mapping v3'!E:E,"Error",0)</f>
        <v>Eric Njiru</v>
      </c>
      <c r="AS77" s="24">
        <v>10023</v>
      </c>
      <c r="AT77" s="24"/>
      <c r="AU77" s="24"/>
      <c r="AV77" s="24"/>
      <c r="AX77" s="29"/>
      <c r="BE77" s="24">
        <v>10023</v>
      </c>
    </row>
    <row r="78" spans="1:57">
      <c r="A78" s="18" t="s">
        <v>57</v>
      </c>
      <c r="B78" s="19">
        <v>27196957</v>
      </c>
      <c r="C78" s="20">
        <v>46038</v>
      </c>
      <c r="D78" s="18" t="s">
        <v>58</v>
      </c>
      <c r="E78" s="18" t="s">
        <v>59</v>
      </c>
      <c r="F78" s="18" t="s">
        <v>60</v>
      </c>
      <c r="G78" s="18">
        <v>12638</v>
      </c>
      <c r="H78" s="18">
        <f>_xlfn.XLOOKUP(L78,'[1]2026 Mapping v3'!A:A,'[1]2026 Mapping v3'!F:F,0,0)</f>
        <v>39</v>
      </c>
      <c r="I78" s="18" t="b">
        <v>0</v>
      </c>
      <c r="J78" s="18" t="s">
        <v>340</v>
      </c>
      <c r="K78" s="21" t="s">
        <v>1101</v>
      </c>
      <c r="L78" s="18" t="s">
        <v>211</v>
      </c>
      <c r="M78" s="18" t="s">
        <v>63</v>
      </c>
      <c r="N78" s="18" t="s">
        <v>64</v>
      </c>
      <c r="O78" s="18" t="s">
        <v>341</v>
      </c>
      <c r="Q78" s="23" t="s">
        <v>80</v>
      </c>
      <c r="R78" s="23">
        <v>10</v>
      </c>
      <c r="S78" s="24">
        <v>713010</v>
      </c>
      <c r="T78" s="28">
        <v>60000</v>
      </c>
      <c r="U78" s="18" t="s">
        <v>67</v>
      </c>
      <c r="V78" s="18" t="s">
        <v>68</v>
      </c>
      <c r="W78" s="18" t="s">
        <v>69</v>
      </c>
      <c r="X78" s="20">
        <v>46052</v>
      </c>
      <c r="Y78" s="18" t="s">
        <v>259</v>
      </c>
      <c r="Z78" s="18" t="str">
        <f>_xlfn.XLOOKUP(Y78,'[1]Data Source'!A:A,'[1]Data Source'!E:E,"N/A",0)</f>
        <v>LG</v>
      </c>
      <c r="AA78" s="18" t="s">
        <v>260</v>
      </c>
      <c r="AB78" s="18" t="s">
        <v>214</v>
      </c>
      <c r="AC78" s="18" t="str">
        <f>_xlfn.XLOOKUP(L78,'[1]2026 Mapping v3'!A:A,'[1]2026 Mapping v3'!B:B,"Error",0)</f>
        <v>Western</v>
      </c>
      <c r="AD78" s="18" t="str">
        <f>_xlfn.XLOOKUP(L78,'[1]2026 Mapping v3'!A:A,'[1]2026 Mapping v3'!C:C,"Error",0)</f>
        <v>Sheila Adhiambo</v>
      </c>
      <c r="AE78" s="18" t="str">
        <f>_xlfn.XLOOKUP(L78,'[1]2026 Mapping v3'!A:A,'[1]2026 Mapping v3'!D:D,"Error",0)</f>
        <v>Sheila Adhiambo</v>
      </c>
      <c r="AF78" s="18" t="str">
        <f>_xlfn.XLOOKUP(L78,'[1]2026 Mapping v3'!A:A,'[1]2026 Mapping v3'!E:E,"Error",0)</f>
        <v>Eric Njiru</v>
      </c>
      <c r="AS78" s="24">
        <v>60000</v>
      </c>
      <c r="AT78" s="24"/>
      <c r="AU78" s="24"/>
      <c r="AV78" s="24"/>
      <c r="AX78" s="29"/>
      <c r="BE78" s="24">
        <v>60000</v>
      </c>
    </row>
    <row r="79" spans="1:57">
      <c r="A79" s="18" t="s">
        <v>128</v>
      </c>
      <c r="B79" s="19">
        <v>27196957</v>
      </c>
      <c r="C79" s="20">
        <v>46041</v>
      </c>
      <c r="D79" s="18" t="s">
        <v>58</v>
      </c>
      <c r="E79" s="18" t="s">
        <v>59</v>
      </c>
      <c r="F79" s="18" t="s">
        <v>60</v>
      </c>
      <c r="G79" s="18">
        <v>4945</v>
      </c>
      <c r="H79" s="18">
        <f>_xlfn.XLOOKUP(L79,'[1]2026 Mapping v3'!A:A,'[1]2026 Mapping v3'!F:F,0,0)</f>
        <v>12</v>
      </c>
      <c r="I79" s="18" t="b">
        <v>0</v>
      </c>
      <c r="J79" s="18" t="s">
        <v>314</v>
      </c>
      <c r="K79" s="21" t="s">
        <v>1102</v>
      </c>
      <c r="L79" s="18" t="str">
        <f>Y79</f>
        <v>HISA001</v>
      </c>
      <c r="M79" s="18" t="s">
        <v>98</v>
      </c>
      <c r="N79" s="18" t="s">
        <v>64</v>
      </c>
      <c r="O79" s="18" t="s">
        <v>342</v>
      </c>
      <c r="Q79" s="23" t="s">
        <v>80</v>
      </c>
      <c r="R79" s="23">
        <v>20</v>
      </c>
      <c r="S79" s="24">
        <v>5994625</v>
      </c>
      <c r="T79" s="28">
        <v>22100</v>
      </c>
      <c r="U79" s="18" t="s">
        <v>67</v>
      </c>
      <c r="V79" s="18" t="s">
        <v>110</v>
      </c>
      <c r="W79" s="18" t="s">
        <v>69</v>
      </c>
      <c r="X79" s="20">
        <v>46052</v>
      </c>
      <c r="Y79" s="18" t="s">
        <v>131</v>
      </c>
      <c r="Z79" s="18" t="str">
        <f>_xlfn.XLOOKUP(Y79,'[1]Data Source'!A:A,'[1]Data Source'!E:E,"N/A",0)</f>
        <v>ALAK</v>
      </c>
      <c r="AA79" s="18" t="s">
        <v>132</v>
      </c>
      <c r="AB79" s="18" t="str">
        <f>Y79</f>
        <v>HISA001</v>
      </c>
      <c r="AC79" s="18" t="str">
        <f>_xlfn.XLOOKUP(L79,'[1]2026 Mapping v3'!A:A,'[1]2026 Mapping v3'!B:B,"Error",0)</f>
        <v>Alternative Channels</v>
      </c>
      <c r="AD79" s="18" t="str">
        <f>_xlfn.XLOOKUP(L79,'[1]2026 Mapping v3'!A:A,'[1]2026 Mapping v3'!C:C,"Error",0)</f>
        <v>Eric Njiru</v>
      </c>
      <c r="AE79" s="18" t="str">
        <f>_xlfn.XLOOKUP(L79,'[1]2026 Mapping v3'!A:A,'[1]2026 Mapping v3'!D:D,"Error",0)</f>
        <v>Eric Njiru</v>
      </c>
      <c r="AF79" s="18" t="str">
        <f>_xlfn.XLOOKUP(L79,'[1]2026 Mapping v3'!A:A,'[1]2026 Mapping v3'!E:E,"Error",0)</f>
        <v>Eric Njiru</v>
      </c>
      <c r="AS79" s="24">
        <v>22100</v>
      </c>
      <c r="AT79" s="24"/>
      <c r="AU79" s="24"/>
      <c r="AV79" s="24"/>
      <c r="AX79" s="29"/>
      <c r="BE79" s="24">
        <v>22100</v>
      </c>
    </row>
    <row r="80" spans="1:57">
      <c r="A80" s="18" t="s">
        <v>57</v>
      </c>
      <c r="B80" s="19">
        <v>27196957</v>
      </c>
      <c r="C80" s="20">
        <v>46041</v>
      </c>
      <c r="D80" s="18" t="s">
        <v>58</v>
      </c>
      <c r="E80" s="18" t="s">
        <v>59</v>
      </c>
      <c r="F80" s="18" t="s">
        <v>60</v>
      </c>
      <c r="G80" s="18">
        <v>14372</v>
      </c>
      <c r="H80" s="18">
        <f>_xlfn.XLOOKUP(L80,'[1]2026 Mapping v3'!A:A,'[1]2026 Mapping v3'!F:F,0,0)</f>
        <v>39</v>
      </c>
      <c r="I80" s="18" t="b">
        <v>0</v>
      </c>
      <c r="J80" s="18" t="s">
        <v>225</v>
      </c>
      <c r="K80" s="21" t="s">
        <v>1103</v>
      </c>
      <c r="L80" s="18" t="s">
        <v>211</v>
      </c>
      <c r="M80" s="18" t="s">
        <v>98</v>
      </c>
      <c r="N80" s="18" t="s">
        <v>64</v>
      </c>
      <c r="O80" s="18" t="s">
        <v>343</v>
      </c>
      <c r="Q80" s="23" t="s">
        <v>80</v>
      </c>
      <c r="R80" s="23">
        <v>5</v>
      </c>
      <c r="S80" s="24">
        <v>3081929</v>
      </c>
      <c r="T80" s="28">
        <v>50000</v>
      </c>
      <c r="U80" s="18" t="s">
        <v>67</v>
      </c>
      <c r="V80" s="18" t="s">
        <v>110</v>
      </c>
      <c r="W80" s="18" t="s">
        <v>69</v>
      </c>
      <c r="X80" s="20">
        <v>46050</v>
      </c>
      <c r="Y80" s="18" t="s">
        <v>213</v>
      </c>
      <c r="Z80" s="18" t="str">
        <f>_xlfn.XLOOKUP(Y80,'[1]Data Source'!A:A,'[1]Data Source'!E:E,"N/A",0)</f>
        <v>N/A</v>
      </c>
      <c r="AA80" s="18" t="s">
        <v>101</v>
      </c>
      <c r="AB80" s="18" t="s">
        <v>214</v>
      </c>
      <c r="AC80" s="18" t="str">
        <f>_xlfn.XLOOKUP(L80,'[1]2026 Mapping v3'!A:A,'[1]2026 Mapping v3'!B:B,"Error",0)</f>
        <v>Western</v>
      </c>
      <c r="AD80" s="18" t="str">
        <f>_xlfn.XLOOKUP(L80,'[1]2026 Mapping v3'!A:A,'[1]2026 Mapping v3'!C:C,"Error",0)</f>
        <v>Sheila Adhiambo</v>
      </c>
      <c r="AE80" s="18" t="str">
        <f>_xlfn.XLOOKUP(L80,'[1]2026 Mapping v3'!A:A,'[1]2026 Mapping v3'!D:D,"Error",0)</f>
        <v>Sheila Adhiambo</v>
      </c>
      <c r="AF80" s="18" t="str">
        <f>_xlfn.XLOOKUP(L80,'[1]2026 Mapping v3'!A:A,'[1]2026 Mapping v3'!E:E,"Error",0)</f>
        <v>Eric Njiru</v>
      </c>
      <c r="AS80" s="24">
        <v>50000</v>
      </c>
      <c r="AT80" s="24"/>
      <c r="AU80" s="24" t="s">
        <v>344</v>
      </c>
      <c r="AV80" s="24"/>
      <c r="AX80" s="29"/>
      <c r="BE80" s="24">
        <v>50000</v>
      </c>
    </row>
    <row r="81" spans="1:57">
      <c r="A81" s="18" t="s">
        <v>57</v>
      </c>
      <c r="B81" s="19">
        <v>27196957</v>
      </c>
      <c r="C81" s="20">
        <v>46041</v>
      </c>
      <c r="D81" s="18" t="s">
        <v>58</v>
      </c>
      <c r="E81" s="18" t="s">
        <v>59</v>
      </c>
      <c r="F81" s="18" t="s">
        <v>60</v>
      </c>
      <c r="G81" s="18">
        <v>13382</v>
      </c>
      <c r="H81" s="18">
        <f>_xlfn.XLOOKUP(L81,'[1]2026 Mapping v3'!A:A,'[1]2026 Mapping v3'!F:F,0,0)</f>
        <v>26</v>
      </c>
      <c r="I81" s="18" t="b">
        <v>0</v>
      </c>
      <c r="J81" s="18" t="s">
        <v>248</v>
      </c>
      <c r="K81" s="21" t="s">
        <v>1104</v>
      </c>
      <c r="L81" s="18" t="s">
        <v>249</v>
      </c>
      <c r="M81" s="18" t="s">
        <v>98</v>
      </c>
      <c r="N81" s="18" t="s">
        <v>64</v>
      </c>
      <c r="O81" s="18" t="s">
        <v>345</v>
      </c>
      <c r="Q81" s="23" t="s">
        <v>80</v>
      </c>
      <c r="R81" s="23">
        <v>10</v>
      </c>
      <c r="S81" s="24">
        <v>1329198</v>
      </c>
      <c r="T81" s="28">
        <v>10023</v>
      </c>
      <c r="U81" s="18" t="s">
        <v>67</v>
      </c>
      <c r="V81" s="18" t="s">
        <v>110</v>
      </c>
      <c r="W81" s="18" t="s">
        <v>69</v>
      </c>
      <c r="X81" s="20">
        <v>46042</v>
      </c>
      <c r="Y81" s="18" t="s">
        <v>251</v>
      </c>
      <c r="Z81" s="18" t="str">
        <f>_xlfn.XLOOKUP(Y81,'[1]Data Source'!A:A,'[1]Data Source'!E:E,"N/A",0)</f>
        <v>LG</v>
      </c>
      <c r="AA81" s="18" t="s">
        <v>252</v>
      </c>
      <c r="AB81" s="18" t="s">
        <v>249</v>
      </c>
      <c r="AC81" s="18" t="str">
        <f>_xlfn.XLOOKUP(L81,'[1]2026 Mapping v3'!A:A,'[1]2026 Mapping v3'!B:B,"Error",0)</f>
        <v>Mt. Kenya</v>
      </c>
      <c r="AD81" s="18" t="str">
        <f>_xlfn.XLOOKUP(L81,'[1]2026 Mapping v3'!A:A,'[1]2026 Mapping v3'!C:C,"Error",0)</f>
        <v>Paul Kithuka</v>
      </c>
      <c r="AE81" s="18" t="str">
        <f>_xlfn.XLOOKUP(L81,'[1]2026 Mapping v3'!A:A,'[1]2026 Mapping v3'!D:D,"Error",0)</f>
        <v>Paul Kithuka</v>
      </c>
      <c r="AF81" s="18" t="str">
        <f>_xlfn.XLOOKUP(L81,'[1]2026 Mapping v3'!A:A,'[1]2026 Mapping v3'!E:E,"Error",0)</f>
        <v>Simon Maingi</v>
      </c>
      <c r="AS81" s="24">
        <v>10023</v>
      </c>
      <c r="AT81" s="24"/>
      <c r="AU81" s="24"/>
      <c r="AV81" s="24"/>
      <c r="AX81" s="29"/>
      <c r="BE81" s="24">
        <v>10023</v>
      </c>
    </row>
    <row r="82" spans="1:57">
      <c r="A82" s="18" t="s">
        <v>128</v>
      </c>
      <c r="B82" s="19">
        <v>27196957</v>
      </c>
      <c r="C82" s="20">
        <v>46041</v>
      </c>
      <c r="D82" s="18" t="s">
        <v>58</v>
      </c>
      <c r="E82" s="18" t="s">
        <v>59</v>
      </c>
      <c r="F82" s="18" t="s">
        <v>60</v>
      </c>
      <c r="G82" s="18">
        <v>4806</v>
      </c>
      <c r="H82" s="18">
        <f>_xlfn.XLOOKUP(L82,'[1]2026 Mapping v3'!A:A,'[1]2026 Mapping v3'!F:F,0,0)</f>
        <v>12</v>
      </c>
      <c r="I82" s="18" t="b">
        <v>0</v>
      </c>
      <c r="J82" s="18" t="s">
        <v>77</v>
      </c>
      <c r="K82" s="21" t="s">
        <v>1105</v>
      </c>
      <c r="L82" s="18" t="str">
        <f>Y82</f>
        <v>HISA0069</v>
      </c>
      <c r="M82" s="18" t="s">
        <v>98</v>
      </c>
      <c r="N82" s="18" t="s">
        <v>64</v>
      </c>
      <c r="O82" s="18" t="s">
        <v>346</v>
      </c>
      <c r="Q82" s="23" t="s">
        <v>80</v>
      </c>
      <c r="R82" s="23">
        <v>10</v>
      </c>
      <c r="S82" s="24">
        <v>1329198</v>
      </c>
      <c r="T82" s="28">
        <v>10023</v>
      </c>
      <c r="U82" s="18" t="s">
        <v>67</v>
      </c>
      <c r="V82" s="18" t="s">
        <v>110</v>
      </c>
      <c r="W82" s="18" t="s">
        <v>69</v>
      </c>
      <c r="X82" s="20">
        <v>46024</v>
      </c>
      <c r="Y82" s="18" t="s">
        <v>347</v>
      </c>
      <c r="Z82" s="18" t="str">
        <f>_xlfn.XLOOKUP(Y82,'[1]Data Source'!A:A,'[1]Data Source'!E:E,"N/A",0)</f>
        <v>ALAK</v>
      </c>
      <c r="AA82" s="18" t="s">
        <v>348</v>
      </c>
      <c r="AB82" s="18" t="str">
        <f>Y82</f>
        <v>HISA0069</v>
      </c>
      <c r="AC82" s="18" t="str">
        <f>_xlfn.XLOOKUP(L82,'[1]2026 Mapping v3'!A:A,'[1]2026 Mapping v3'!B:B,"Error",0)</f>
        <v>Alternative Channels</v>
      </c>
      <c r="AD82" s="18" t="str">
        <f>_xlfn.XLOOKUP(L82,'[1]2026 Mapping v3'!A:A,'[1]2026 Mapping v3'!C:C,"Error",0)</f>
        <v>Joel Mbogo</v>
      </c>
      <c r="AE82" s="18" t="str">
        <f>_xlfn.XLOOKUP(L82,'[1]2026 Mapping v3'!A:A,'[1]2026 Mapping v3'!D:D,"Error",0)</f>
        <v>Eric Njiru</v>
      </c>
      <c r="AF82" s="18" t="str">
        <f>_xlfn.XLOOKUP(L82,'[1]2026 Mapping v3'!A:A,'[1]2026 Mapping v3'!E:E,"Error",0)</f>
        <v>Eric Njiru</v>
      </c>
      <c r="AS82" s="24">
        <v>10023</v>
      </c>
      <c r="AT82" s="24"/>
      <c r="AU82" s="24"/>
      <c r="AV82" s="24"/>
      <c r="AX82" s="29"/>
      <c r="BE82" s="24">
        <v>10023</v>
      </c>
    </row>
    <row r="83" spans="1:57">
      <c r="A83" s="18" t="s">
        <v>349</v>
      </c>
      <c r="B83" s="19">
        <v>27196957</v>
      </c>
      <c r="C83" s="20">
        <v>46042</v>
      </c>
      <c r="D83" s="18" t="s">
        <v>350</v>
      </c>
      <c r="E83" s="18" t="s">
        <v>59</v>
      </c>
      <c r="F83" s="18" t="s">
        <v>60</v>
      </c>
      <c r="K83" s="21" t="s">
        <v>1106</v>
      </c>
      <c r="L83" s="18" t="s">
        <v>351</v>
      </c>
      <c r="M83" s="18" t="s">
        <v>98</v>
      </c>
      <c r="N83" s="18" t="s">
        <v>64</v>
      </c>
      <c r="Q83" s="23" t="s">
        <v>80</v>
      </c>
      <c r="R83" s="23">
        <v>10</v>
      </c>
      <c r="S83" s="24">
        <v>2800000</v>
      </c>
      <c r="T83" s="28">
        <v>21112</v>
      </c>
      <c r="U83" s="18" t="s">
        <v>67</v>
      </c>
      <c r="V83" s="18" t="s">
        <v>110</v>
      </c>
      <c r="W83" s="18" t="s">
        <v>69</v>
      </c>
      <c r="X83" s="20">
        <v>46081</v>
      </c>
      <c r="Y83" s="18" t="s">
        <v>352</v>
      </c>
      <c r="Z83" s="18" t="str">
        <f>_xlfn.XLOOKUP(Y83,'[1]Data Source'!A:A,'[1]Data Source'!E:E,"N/A",0)</f>
        <v>N/A</v>
      </c>
      <c r="AA83" s="18" t="str">
        <f>_xlfn.XLOOKUP(Y83,'[1]Data Source'!A:A,'[1]Data Source'!B:B,"N/A",0)</f>
        <v>N/A</v>
      </c>
      <c r="AB83" s="18" t="str">
        <f>L83</f>
        <v>Fortis Branch</v>
      </c>
      <c r="AC83" s="18" t="str">
        <f>_xlfn.XLOOKUP(L83,'[1]2026 Mapping v3'!A:A,'[1]2026 Mapping v3'!B:B,"Error",0)</f>
        <v>Alternative Channels</v>
      </c>
      <c r="AD83" s="18" t="str">
        <f>_xlfn.XLOOKUP(L83,'[1]2026 Mapping v3'!A:A,'[1]2026 Mapping v3'!C:C,"Error",0)</f>
        <v>Selestine Magayu</v>
      </c>
      <c r="AE83" s="18" t="str">
        <f>_xlfn.XLOOKUP(L83,'[1]2026 Mapping v3'!A:A,'[1]2026 Mapping v3'!D:D,"Error",0)</f>
        <v>Eric Njiru</v>
      </c>
      <c r="AF83" s="18" t="str">
        <f>_xlfn.XLOOKUP(L83,'[1]2026 Mapping v3'!A:A,'[1]2026 Mapping v3'!E:E,"Error",0)</f>
        <v>Eric Njiru</v>
      </c>
      <c r="AS83" s="24">
        <v>21112</v>
      </c>
      <c r="AT83" s="24"/>
      <c r="AU83" s="24"/>
      <c r="AV83" s="24"/>
      <c r="AX83" s="29"/>
      <c r="BE83" s="24">
        <f>SUM(AS83:BD83)</f>
        <v>21112</v>
      </c>
    </row>
    <row r="84" spans="1:57">
      <c r="A84" s="18" t="s">
        <v>150</v>
      </c>
      <c r="B84" s="19">
        <v>27196957</v>
      </c>
      <c r="C84" s="20">
        <v>46043</v>
      </c>
      <c r="D84" s="18" t="s">
        <v>58</v>
      </c>
      <c r="E84" s="18" t="s">
        <v>59</v>
      </c>
      <c r="F84" s="18" t="s">
        <v>60</v>
      </c>
      <c r="G84" s="18">
        <v>4295</v>
      </c>
      <c r="H84" s="18">
        <f>_xlfn.XLOOKUP(L84,'[1]2026 Mapping v3'!A:A,'[1]2026 Mapping v3'!F:F,0,0)</f>
        <v>107</v>
      </c>
      <c r="I84" s="18" t="b">
        <v>0</v>
      </c>
      <c r="J84" s="18" t="s">
        <v>353</v>
      </c>
      <c r="K84" s="21" t="s">
        <v>1107</v>
      </c>
      <c r="L84" s="18" t="s">
        <v>152</v>
      </c>
      <c r="M84" s="18" t="s">
        <v>98</v>
      </c>
      <c r="N84" s="18" t="s">
        <v>64</v>
      </c>
      <c r="Q84" s="23" t="s">
        <v>80</v>
      </c>
      <c r="R84" s="23">
        <v>10</v>
      </c>
      <c r="S84" s="24">
        <v>1329238</v>
      </c>
      <c r="T84" s="28">
        <v>10023</v>
      </c>
      <c r="U84" s="18" t="s">
        <v>67</v>
      </c>
      <c r="V84" s="18" t="s">
        <v>110</v>
      </c>
      <c r="W84" s="18" t="s">
        <v>69</v>
      </c>
      <c r="X84" s="20">
        <v>46052</v>
      </c>
      <c r="Y84" s="18" t="s">
        <v>153</v>
      </c>
      <c r="Z84" s="18" t="str">
        <f>_xlfn.XLOOKUP(Y84,'[1]Data Source'!A:A,'[1]Data Source'!E:E,"N/A",0)</f>
        <v>N/A</v>
      </c>
      <c r="AA84" s="18" t="s">
        <v>101</v>
      </c>
      <c r="AB84" s="18" t="s">
        <v>154</v>
      </c>
      <c r="AC84" s="18" t="str">
        <f>_xlfn.XLOOKUP(L84,'[1]2026 Mapping v3'!A:A,'[1]2026 Mapping v3'!B:B,"Error",0)</f>
        <v>Alternative Channels</v>
      </c>
      <c r="AD84" s="18" t="str">
        <f>_xlfn.XLOOKUP(L84,'[1]2026 Mapping v3'!A:A,'[1]2026 Mapping v3'!C:C,"Error",0)</f>
        <v>Selestine Magayu</v>
      </c>
      <c r="AE84" s="18" t="str">
        <f>_xlfn.XLOOKUP(L84,'[1]2026 Mapping v3'!A:A,'[1]2026 Mapping v3'!D:D,"Error",0)</f>
        <v>Joel Mbogo</v>
      </c>
      <c r="AF84" s="18" t="str">
        <f>_xlfn.XLOOKUP(L84,'[1]2026 Mapping v3'!A:A,'[1]2026 Mapping v3'!E:E,"Error",0)</f>
        <v>Eric Njiru</v>
      </c>
      <c r="AS84" s="24">
        <v>10023</v>
      </c>
      <c r="AT84" s="24"/>
      <c r="AU84" s="24"/>
      <c r="AV84" s="24"/>
      <c r="AX84" s="29"/>
      <c r="BE84" s="24">
        <v>10023</v>
      </c>
    </row>
    <row r="85" spans="1:57">
      <c r="A85" s="18" t="s">
        <v>349</v>
      </c>
      <c r="B85" s="19">
        <v>27196957</v>
      </c>
      <c r="C85" s="20">
        <v>46043</v>
      </c>
      <c r="D85" s="18" t="s">
        <v>58</v>
      </c>
      <c r="E85" s="18" t="s">
        <v>59</v>
      </c>
      <c r="F85" s="18" t="s">
        <v>60</v>
      </c>
      <c r="G85" s="18">
        <v>15282</v>
      </c>
      <c r="H85" s="18">
        <v>21</v>
      </c>
      <c r="I85" s="18" t="b">
        <v>0</v>
      </c>
      <c r="J85" s="18" t="s">
        <v>314</v>
      </c>
      <c r="K85" s="21" t="s">
        <v>1108</v>
      </c>
      <c r="L85" s="18" t="s">
        <v>354</v>
      </c>
      <c r="M85" s="18" t="s">
        <v>98</v>
      </c>
      <c r="N85" s="18" t="s">
        <v>64</v>
      </c>
      <c r="Q85" s="23" t="s">
        <v>80</v>
      </c>
      <c r="R85" s="23">
        <v>10</v>
      </c>
      <c r="S85" s="24">
        <v>1993857</v>
      </c>
      <c r="T85" s="28">
        <v>15004</v>
      </c>
      <c r="U85" s="18" t="s">
        <v>67</v>
      </c>
      <c r="V85" s="18" t="s">
        <v>110</v>
      </c>
      <c r="W85" s="18" t="s">
        <v>69</v>
      </c>
      <c r="X85" s="20">
        <v>46081</v>
      </c>
      <c r="Y85" s="18" t="s">
        <v>352</v>
      </c>
      <c r="Z85" s="18" t="str">
        <f>_xlfn.XLOOKUP(Y85,'[1]Data Source'!A:A,'[1]Data Source'!E:E,"N/A",0)</f>
        <v>N/A</v>
      </c>
      <c r="AA85" s="18" t="s">
        <v>101</v>
      </c>
      <c r="AB85" s="18" t="str">
        <f>L85</f>
        <v>Thika-Ecobank</v>
      </c>
      <c r="AC85" s="18" t="str">
        <f>_xlfn.XLOOKUP(L85,'[1]2026 Mapping v3'!A:A,'[1]2026 Mapping v3'!B:B,"Error",0)</f>
        <v>Alternative Channels</v>
      </c>
      <c r="AD85" s="18" t="str">
        <f>_xlfn.XLOOKUP(L85,'[1]2026 Mapping v3'!A:A,'[1]2026 Mapping v3'!C:C,"Error",0)</f>
        <v>Joel Mbogo</v>
      </c>
      <c r="AE85" s="18" t="str">
        <f>_xlfn.XLOOKUP(L85,'[1]2026 Mapping v3'!A:A,'[1]2026 Mapping v3'!D:D,"Error",0)</f>
        <v>Eric Njiru</v>
      </c>
      <c r="AF85" s="18" t="str">
        <f>_xlfn.XLOOKUP(L85,'[1]2026 Mapping v3'!A:A,'[1]2026 Mapping v3'!E:E,"Error",0)</f>
        <v>Eric Njiru</v>
      </c>
      <c r="AS85" s="24">
        <v>15004</v>
      </c>
      <c r="AT85" s="24"/>
      <c r="AU85" s="24"/>
      <c r="AV85" s="24"/>
      <c r="AX85" s="29"/>
      <c r="BE85" s="24">
        <v>15004</v>
      </c>
    </row>
    <row r="86" spans="1:57">
      <c r="A86" s="18" t="s">
        <v>145</v>
      </c>
      <c r="B86" s="19">
        <v>27196957</v>
      </c>
      <c r="C86" s="20">
        <v>46043</v>
      </c>
      <c r="D86" s="18" t="s">
        <v>58</v>
      </c>
      <c r="E86" s="18" t="s">
        <v>59</v>
      </c>
      <c r="F86" s="18" t="s">
        <v>60</v>
      </c>
      <c r="G86" s="18">
        <v>3183</v>
      </c>
      <c r="H86" s="18">
        <f>_xlfn.XLOOKUP(L86,'[1]2026 Mapping v3'!A:A,'[1]2026 Mapping v3'!F:F,0,0)</f>
        <v>129</v>
      </c>
      <c r="I86" s="18" t="b">
        <v>0</v>
      </c>
      <c r="J86" s="18" t="s">
        <v>355</v>
      </c>
      <c r="K86" s="21" t="s">
        <v>1109</v>
      </c>
      <c r="L86" s="18" t="s">
        <v>145</v>
      </c>
      <c r="M86" s="18" t="s">
        <v>63</v>
      </c>
      <c r="N86" s="18" t="s">
        <v>64</v>
      </c>
      <c r="Q86" s="23" t="s">
        <v>80</v>
      </c>
      <c r="R86" s="23">
        <v>10</v>
      </c>
      <c r="S86" s="24">
        <v>285210</v>
      </c>
      <c r="T86" s="28">
        <v>24000</v>
      </c>
      <c r="U86" s="18" t="s">
        <v>67</v>
      </c>
      <c r="V86" s="18" t="s">
        <v>68</v>
      </c>
      <c r="W86" s="18" t="s">
        <v>69</v>
      </c>
      <c r="X86" s="20">
        <v>46052</v>
      </c>
      <c r="Y86" s="18" t="s">
        <v>148</v>
      </c>
      <c r="Z86" s="18" t="str">
        <f>_xlfn.XLOOKUP(Y86,'[1]Data Source'!A:A,'[1]Data Source'!E:E,"N/A",0)</f>
        <v>WENDRA</v>
      </c>
      <c r="AA86" s="18" t="s">
        <v>149</v>
      </c>
      <c r="AB86" s="18" t="s">
        <v>145</v>
      </c>
      <c r="AC86" s="18" t="str">
        <f>_xlfn.XLOOKUP(L86,'[1]2026 Mapping v3'!A:A,'[1]2026 Mapping v3'!B:B,"Error",0)</f>
        <v>Alternative Channels</v>
      </c>
      <c r="AD86" s="18" t="str">
        <f>_xlfn.XLOOKUP(L86,'[1]2026 Mapping v3'!A:A,'[1]2026 Mapping v3'!C:C,"Error",0)</f>
        <v>Selestine Magayu</v>
      </c>
      <c r="AE86" s="18" t="str">
        <f>_xlfn.XLOOKUP(L86,'[1]2026 Mapping v3'!A:A,'[1]2026 Mapping v3'!D:D,"Error",0)</f>
        <v>Joel Mbogo</v>
      </c>
      <c r="AF86" s="18" t="str">
        <f>_xlfn.XLOOKUP(L86,'[1]2026 Mapping v3'!A:A,'[1]2026 Mapping v3'!E:E,"Error",0)</f>
        <v>Eric Njiru</v>
      </c>
      <c r="AS86" s="24">
        <v>24000</v>
      </c>
      <c r="AT86" s="24"/>
      <c r="AU86" s="24"/>
      <c r="AV86" s="24"/>
      <c r="AX86" s="29"/>
      <c r="BE86" s="24">
        <v>24000</v>
      </c>
    </row>
    <row r="87" spans="1:57">
      <c r="A87" s="18" t="s">
        <v>57</v>
      </c>
      <c r="B87" s="19">
        <v>27196957</v>
      </c>
      <c r="C87" s="20">
        <v>46044</v>
      </c>
      <c r="D87" s="18" t="s">
        <v>58</v>
      </c>
      <c r="E87" s="18" t="s">
        <v>59</v>
      </c>
      <c r="F87" s="18" t="s">
        <v>60</v>
      </c>
      <c r="G87" s="18">
        <v>5464</v>
      </c>
      <c r="H87" s="18">
        <f>_xlfn.XLOOKUP(L87,'[1]2026 Mapping v3'!A:A,'[1]2026 Mapping v3'!F:F,0,0)</f>
        <v>57</v>
      </c>
      <c r="I87" s="18" t="b">
        <v>0</v>
      </c>
      <c r="J87" s="18" t="s">
        <v>356</v>
      </c>
      <c r="K87" s="21" t="s">
        <v>1110</v>
      </c>
      <c r="L87" s="18" t="s">
        <v>117</v>
      </c>
      <c r="M87" s="18" t="s">
        <v>98</v>
      </c>
      <c r="N87" s="18" t="s">
        <v>64</v>
      </c>
      <c r="O87" s="18" t="s">
        <v>357</v>
      </c>
      <c r="Q87" s="23" t="s">
        <v>80</v>
      </c>
      <c r="R87" s="23">
        <v>10</v>
      </c>
      <c r="S87" s="24">
        <v>1208410</v>
      </c>
      <c r="T87" s="28">
        <v>100001</v>
      </c>
      <c r="U87" s="18" t="s">
        <v>67</v>
      </c>
      <c r="V87" s="18" t="s">
        <v>68</v>
      </c>
      <c r="W87" s="18" t="s">
        <v>69</v>
      </c>
      <c r="X87" s="20">
        <v>46042</v>
      </c>
      <c r="Y87" s="18" t="s">
        <v>358</v>
      </c>
      <c r="Z87" s="18" t="str">
        <f>_xlfn.XLOOKUP(Y87,'[1]Data Source'!A:A,'[1]Data Source'!E:E,"N/A",0)</f>
        <v>LG</v>
      </c>
      <c r="AA87" s="18" t="s">
        <v>359</v>
      </c>
      <c r="AB87" s="18" t="s">
        <v>117</v>
      </c>
      <c r="AC87" s="18" t="str">
        <f>_xlfn.XLOOKUP(L87,'[1]2026 Mapping v3'!A:A,'[1]2026 Mapping v3'!B:B,"Error",0)</f>
        <v>Nairobi West</v>
      </c>
      <c r="AD87" s="18" t="str">
        <f>_xlfn.XLOOKUP(L87,'[1]2026 Mapping v3'!A:A,'[1]2026 Mapping v3'!C:C,"Error",0)</f>
        <v>Valentine Musyoka</v>
      </c>
      <c r="AE87" s="18" t="str">
        <f>_xlfn.XLOOKUP(L87,'[1]2026 Mapping v3'!A:A,'[1]2026 Mapping v3'!D:D,"Error",0)</f>
        <v>Ancetar Mulili</v>
      </c>
      <c r="AF87" s="18" t="str">
        <f>_xlfn.XLOOKUP(L87,'[1]2026 Mapping v3'!A:A,'[1]2026 Mapping v3'!E:E,"Error",0)</f>
        <v>Bilha Wachira</v>
      </c>
      <c r="AS87" s="24">
        <v>100001</v>
      </c>
      <c r="AT87" s="24"/>
      <c r="AU87" s="24"/>
      <c r="AV87" s="24"/>
      <c r="AX87" s="29"/>
      <c r="BE87" s="24">
        <v>100001</v>
      </c>
    </row>
    <row r="88" spans="1:57">
      <c r="A88" s="18" t="s">
        <v>57</v>
      </c>
      <c r="B88" s="19">
        <v>27196957</v>
      </c>
      <c r="C88" s="20">
        <v>46044</v>
      </c>
      <c r="D88" s="18" t="s">
        <v>58</v>
      </c>
      <c r="E88" s="18" t="s">
        <v>59</v>
      </c>
      <c r="F88" s="18" t="s">
        <v>60</v>
      </c>
      <c r="G88" s="18">
        <v>5528</v>
      </c>
      <c r="H88" s="18">
        <f>_xlfn.XLOOKUP(L88,'[1]2026 Mapping v3'!A:A,'[1]2026 Mapping v3'!F:F,0,0)</f>
        <v>24</v>
      </c>
      <c r="I88" s="18" t="b">
        <v>0</v>
      </c>
      <c r="J88" s="18" t="s">
        <v>360</v>
      </c>
      <c r="K88" s="21" t="s">
        <v>1111</v>
      </c>
      <c r="L88" s="18" t="s">
        <v>361</v>
      </c>
      <c r="M88" s="18" t="s">
        <v>63</v>
      </c>
      <c r="N88" s="18" t="s">
        <v>64</v>
      </c>
      <c r="O88" s="18" t="s">
        <v>362</v>
      </c>
      <c r="Q88" s="23" t="s">
        <v>80</v>
      </c>
      <c r="R88" s="23">
        <v>5</v>
      </c>
      <c r="S88" s="24">
        <v>123456.7</v>
      </c>
      <c r="T88" s="28">
        <v>2000</v>
      </c>
      <c r="U88" s="18" t="s">
        <v>67</v>
      </c>
      <c r="V88" s="18" t="s">
        <v>110</v>
      </c>
      <c r="W88" s="18" t="s">
        <v>69</v>
      </c>
      <c r="X88" s="20">
        <v>46032</v>
      </c>
      <c r="Y88" s="18" t="s">
        <v>363</v>
      </c>
      <c r="Z88" s="18" t="str">
        <f>_xlfn.XLOOKUP(Y88,'[1]Data Source'!A:A,'[1]Data Source'!E:E,"N/A",0)</f>
        <v>LG</v>
      </c>
      <c r="AA88" s="18" t="s">
        <v>364</v>
      </c>
      <c r="AB88" s="18" t="s">
        <v>361</v>
      </c>
      <c r="AC88" s="18" t="str">
        <f>_xlfn.XLOOKUP(L88,'[1]2026 Mapping v3'!A:A,'[1]2026 Mapping v3'!B:B,"Error",0)</f>
        <v>Mt. Kenya</v>
      </c>
      <c r="AD88" s="18" t="str">
        <f>_xlfn.XLOOKUP(L88,'[1]2026 Mapping v3'!A:A,'[1]2026 Mapping v3'!C:C,"Error",0)</f>
        <v>Morgan Mwangi</v>
      </c>
      <c r="AE88" s="18" t="str">
        <f>_xlfn.XLOOKUP(L88,'[1]2026 Mapping v3'!A:A,'[1]2026 Mapping v3'!D:D,"Error",0)</f>
        <v>Paul Kithuka</v>
      </c>
      <c r="AF88" s="18" t="str">
        <f>_xlfn.XLOOKUP(L88,'[1]2026 Mapping v3'!A:A,'[1]2026 Mapping v3'!E:E,"Error",0)</f>
        <v>Simon Maingi</v>
      </c>
      <c r="AS88" s="24">
        <v>2000</v>
      </c>
      <c r="AT88" s="24"/>
      <c r="AU88" s="24"/>
      <c r="AV88" s="24"/>
      <c r="AX88" s="29"/>
      <c r="BE88" s="24">
        <v>2000</v>
      </c>
    </row>
    <row r="89" spans="1:57">
      <c r="A89" s="18" t="s">
        <v>145</v>
      </c>
      <c r="B89" s="19">
        <v>27196957</v>
      </c>
      <c r="C89" s="20">
        <v>46044</v>
      </c>
      <c r="D89" s="18" t="s">
        <v>58</v>
      </c>
      <c r="E89" s="18" t="s">
        <v>59</v>
      </c>
      <c r="F89" s="18" t="s">
        <v>60</v>
      </c>
      <c r="G89" s="18" t="s">
        <v>146</v>
      </c>
      <c r="H89" s="18">
        <f>_xlfn.XLOOKUP(L89,'[1]2026 Mapping v3'!A:A,'[1]2026 Mapping v3'!F:F,0,0)</f>
        <v>129</v>
      </c>
      <c r="I89" s="18" t="b">
        <v>0</v>
      </c>
      <c r="J89" s="18" t="s">
        <v>365</v>
      </c>
      <c r="K89" s="21" t="s">
        <v>1112</v>
      </c>
      <c r="L89" s="18" t="s">
        <v>145</v>
      </c>
      <c r="M89" s="18" t="s">
        <v>63</v>
      </c>
      <c r="N89" s="18" t="s">
        <v>64</v>
      </c>
      <c r="Q89" s="23" t="s">
        <v>80</v>
      </c>
      <c r="R89" s="23">
        <v>10</v>
      </c>
      <c r="S89" s="24">
        <v>1782530</v>
      </c>
      <c r="T89" s="28">
        <v>150000</v>
      </c>
      <c r="U89" s="18" t="s">
        <v>67</v>
      </c>
      <c r="V89" s="18" t="s">
        <v>68</v>
      </c>
      <c r="W89" s="18" t="s">
        <v>69</v>
      </c>
      <c r="X89" s="20">
        <v>46063</v>
      </c>
      <c r="Y89" s="18" t="s">
        <v>148</v>
      </c>
      <c r="Z89" s="18" t="str">
        <f>_xlfn.XLOOKUP(Y89,'[1]Data Source'!A:A,'[1]Data Source'!E:E,"N/A",0)</f>
        <v>WENDRA</v>
      </c>
      <c r="AA89" s="18" t="s">
        <v>149</v>
      </c>
      <c r="AB89" s="18" t="s">
        <v>145</v>
      </c>
      <c r="AC89" s="18" t="str">
        <f>_xlfn.XLOOKUP(L89,'[1]2026 Mapping v3'!A:A,'[1]2026 Mapping v3'!B:B,"Error",0)</f>
        <v>Alternative Channels</v>
      </c>
      <c r="AD89" s="18" t="str">
        <f>_xlfn.XLOOKUP(L89,'[1]2026 Mapping v3'!A:A,'[1]2026 Mapping v3'!C:C,"Error",0)</f>
        <v>Selestine Magayu</v>
      </c>
      <c r="AE89" s="18" t="str">
        <f>_xlfn.XLOOKUP(L89,'[1]2026 Mapping v3'!A:A,'[1]2026 Mapping v3'!D:D,"Error",0)</f>
        <v>Joel Mbogo</v>
      </c>
      <c r="AF89" s="18" t="str">
        <f>_xlfn.XLOOKUP(L89,'[1]2026 Mapping v3'!A:A,'[1]2026 Mapping v3'!E:E,"Error",0)</f>
        <v>Eric Njiru</v>
      </c>
      <c r="AS89" s="24">
        <v>150000</v>
      </c>
      <c r="AT89" s="24"/>
      <c r="AU89" s="24"/>
      <c r="AV89" s="24"/>
      <c r="AX89" s="29"/>
      <c r="BE89" s="24">
        <v>150000</v>
      </c>
    </row>
    <row r="90" spans="1:57">
      <c r="A90" s="18" t="s">
        <v>128</v>
      </c>
      <c r="B90" s="19">
        <v>27196957</v>
      </c>
      <c r="C90" s="20">
        <v>46044</v>
      </c>
      <c r="D90" s="18" t="s">
        <v>58</v>
      </c>
      <c r="E90" s="18" t="s">
        <v>59</v>
      </c>
      <c r="F90" s="18" t="s">
        <v>60</v>
      </c>
      <c r="G90" s="18">
        <v>4975</v>
      </c>
      <c r="H90" s="18">
        <f>_xlfn.XLOOKUP(L90,'[1]2026 Mapping v3'!A:A,'[1]2026 Mapping v3'!F:F,0,0)</f>
        <v>12</v>
      </c>
      <c r="I90" s="18" t="b">
        <v>0</v>
      </c>
      <c r="J90" s="18" t="s">
        <v>233</v>
      </c>
      <c r="K90" s="21" t="s">
        <v>1113</v>
      </c>
      <c r="L90" s="18" t="str">
        <f>Y90</f>
        <v>HISA0002</v>
      </c>
      <c r="M90" s="18" t="s">
        <v>98</v>
      </c>
      <c r="N90" s="18" t="s">
        <v>64</v>
      </c>
      <c r="O90" s="18" t="s">
        <v>366</v>
      </c>
      <c r="Q90" s="23" t="s">
        <v>80</v>
      </c>
      <c r="R90" s="23">
        <v>10</v>
      </c>
      <c r="S90" s="24">
        <v>13292385</v>
      </c>
      <c r="T90" s="28">
        <v>100222</v>
      </c>
      <c r="U90" s="18" t="s">
        <v>67</v>
      </c>
      <c r="V90" s="18" t="s">
        <v>110</v>
      </c>
      <c r="W90" s="18" t="s">
        <v>69</v>
      </c>
      <c r="X90" s="20">
        <v>46052</v>
      </c>
      <c r="Y90" s="18" t="s">
        <v>202</v>
      </c>
      <c r="Z90" s="18" t="str">
        <f>_xlfn.XLOOKUP(Y90,'[1]Data Source'!A:A,'[1]Data Source'!E:E,"N/A",0)</f>
        <v>ALAK</v>
      </c>
      <c r="AA90" s="18" t="s">
        <v>203</v>
      </c>
      <c r="AB90" s="18" t="str">
        <f>Y90</f>
        <v>HISA0002</v>
      </c>
      <c r="AC90" s="18" t="str">
        <f>_xlfn.XLOOKUP(L90,'[1]2026 Mapping v3'!A:A,'[1]2026 Mapping v3'!B:B,"Error",0)</f>
        <v>Alternative Channels</v>
      </c>
      <c r="AD90" s="18" t="str">
        <f>_xlfn.XLOOKUP(L90,'[1]2026 Mapping v3'!A:A,'[1]2026 Mapping v3'!C:C,"Error",0)</f>
        <v>Joel Mbogo</v>
      </c>
      <c r="AE90" s="18" t="str">
        <f>_xlfn.XLOOKUP(L90,'[1]2026 Mapping v3'!A:A,'[1]2026 Mapping v3'!D:D,"Error",0)</f>
        <v>Eric Njiru</v>
      </c>
      <c r="AF90" s="18" t="str">
        <f>_xlfn.XLOOKUP(L90,'[1]2026 Mapping v3'!A:A,'[1]2026 Mapping v3'!E:E,"Error",0)</f>
        <v>Eric Njiru</v>
      </c>
      <c r="AS90" s="24">
        <v>100222</v>
      </c>
      <c r="AT90" s="24"/>
      <c r="AU90" s="24"/>
      <c r="AV90" s="24"/>
      <c r="AX90" s="29"/>
      <c r="BE90" s="24">
        <v>100222</v>
      </c>
    </row>
    <row r="91" spans="1:57">
      <c r="A91" s="18" t="s">
        <v>57</v>
      </c>
      <c r="B91" s="19">
        <v>27196957</v>
      </c>
      <c r="C91" s="20">
        <v>46045</v>
      </c>
      <c r="D91" s="18" t="s">
        <v>58</v>
      </c>
      <c r="E91" s="18" t="s">
        <v>59</v>
      </c>
      <c r="F91" s="18" t="s">
        <v>60</v>
      </c>
      <c r="G91" s="18">
        <v>13706</v>
      </c>
      <c r="H91" s="18">
        <f>_xlfn.XLOOKUP(L91,'[1]2026 Mapping v3'!A:A,'[1]2026 Mapping v3'!F:F,0,0)</f>
        <v>17</v>
      </c>
      <c r="I91" s="18" t="b">
        <v>0</v>
      </c>
      <c r="J91" s="18" t="s">
        <v>367</v>
      </c>
      <c r="K91" s="21" t="s">
        <v>1114</v>
      </c>
      <c r="L91" s="18" t="s">
        <v>325</v>
      </c>
      <c r="M91" s="18" t="s">
        <v>63</v>
      </c>
      <c r="N91" s="18" t="s">
        <v>64</v>
      </c>
      <c r="O91" s="18" t="s">
        <v>368</v>
      </c>
      <c r="Q91" s="23" t="s">
        <v>80</v>
      </c>
      <c r="R91" s="23">
        <v>16</v>
      </c>
      <c r="S91" s="24">
        <v>1010100</v>
      </c>
      <c r="T91" s="28">
        <v>50000</v>
      </c>
      <c r="U91" s="18" t="s">
        <v>67</v>
      </c>
      <c r="V91" s="18" t="s">
        <v>68</v>
      </c>
      <c r="W91" s="18" t="s">
        <v>69</v>
      </c>
      <c r="X91" s="20">
        <v>46386</v>
      </c>
      <c r="Y91" s="18" t="s">
        <v>369</v>
      </c>
      <c r="Z91" s="18" t="str">
        <f>_xlfn.XLOOKUP(Y91,'[1]Data Source'!A:A,'[1]Data Source'!E:E,"N/A",0)</f>
        <v>N/A</v>
      </c>
      <c r="AA91" s="18" t="s">
        <v>101</v>
      </c>
      <c r="AB91" s="18" t="s">
        <v>325</v>
      </c>
      <c r="AC91" s="18" t="str">
        <f>_xlfn.XLOOKUP(L91,'[1]2026 Mapping v3'!A:A,'[1]2026 Mapping v3'!B:B,"Error",0)</f>
        <v>Nairobi Central</v>
      </c>
      <c r="AD91" s="18" t="str">
        <f>_xlfn.XLOOKUP(L91,'[1]2026 Mapping v3'!A:A,'[1]2026 Mapping v3'!C:C,"Error",0)</f>
        <v>Zedekiah Mburu</v>
      </c>
      <c r="AE91" s="18" t="str">
        <f>_xlfn.XLOOKUP(L91,'[1]2026 Mapping v3'!A:A,'[1]2026 Mapping v3'!D:D,"Error",0)</f>
        <v>Zedekiah Mburu</v>
      </c>
      <c r="AF91" s="18" t="str">
        <f>_xlfn.XLOOKUP(L91,'[1]2026 Mapping v3'!A:A,'[1]2026 Mapping v3'!E:E,"Error",0)</f>
        <v>Bilha Wachira</v>
      </c>
      <c r="AS91" s="24">
        <v>50000</v>
      </c>
      <c r="AT91" s="24"/>
      <c r="AU91" s="24"/>
      <c r="AV91" s="24"/>
      <c r="AX91" s="29"/>
      <c r="BE91" s="24">
        <v>50000</v>
      </c>
    </row>
    <row r="92" spans="1:57">
      <c r="A92" s="18" t="s">
        <v>57</v>
      </c>
      <c r="B92" s="19">
        <v>27196957</v>
      </c>
      <c r="C92" s="20">
        <v>46045</v>
      </c>
      <c r="D92" s="18" t="s">
        <v>58</v>
      </c>
      <c r="E92" s="18" t="s">
        <v>59</v>
      </c>
      <c r="F92" s="18" t="s">
        <v>60</v>
      </c>
      <c r="G92" s="18">
        <v>15299</v>
      </c>
      <c r="H92" s="18">
        <f>_xlfn.XLOOKUP(L92,'[1]2026 Mapping v3'!A:A,'[1]2026 Mapping v3'!F:F,0,0)</f>
        <v>71</v>
      </c>
      <c r="I92" s="18" t="b">
        <v>0</v>
      </c>
      <c r="J92" s="18" t="s">
        <v>370</v>
      </c>
      <c r="K92" s="21" t="s">
        <v>1115</v>
      </c>
      <c r="L92" s="18" t="s">
        <v>89</v>
      </c>
      <c r="M92" s="18" t="s">
        <v>98</v>
      </c>
      <c r="N92" s="18" t="s">
        <v>64</v>
      </c>
      <c r="O92" s="18" t="s">
        <v>371</v>
      </c>
      <c r="Q92" s="23" t="s">
        <v>80</v>
      </c>
      <c r="R92" s="23">
        <v>5</v>
      </c>
      <c r="S92" s="24">
        <v>10000000</v>
      </c>
      <c r="T92" s="28">
        <v>1587146</v>
      </c>
      <c r="U92" s="18" t="s">
        <v>67</v>
      </c>
      <c r="V92" s="18" t="s">
        <v>68</v>
      </c>
      <c r="W92" s="18" t="s">
        <v>69</v>
      </c>
      <c r="X92" s="20">
        <v>46037</v>
      </c>
      <c r="Y92" s="18" t="s">
        <v>372</v>
      </c>
      <c r="Z92" s="18">
        <f>_xlfn.XLOOKUP(Y92,'[1]Data Source'!A:A,'[1]Data Source'!E:E,"N/A",0)</f>
        <v>0</v>
      </c>
      <c r="AA92" s="18" t="s">
        <v>373</v>
      </c>
      <c r="AB92" s="18" t="s">
        <v>89</v>
      </c>
      <c r="AC92" s="18" t="str">
        <f>_xlfn.XLOOKUP(L92,'[1]2026 Mapping v3'!A:A,'[1]2026 Mapping v3'!B:B,"Error",0)</f>
        <v>Queensway</v>
      </c>
      <c r="AD92" s="18" t="str">
        <f>_xlfn.XLOOKUP(L92,'[1]2026 Mapping v3'!A:A,'[1]2026 Mapping v3'!C:C,"Error",0)</f>
        <v>Nina Kifani</v>
      </c>
      <c r="AE92" s="18" t="str">
        <f>_xlfn.XLOOKUP(L92,'[1]2026 Mapping v3'!A:A,'[1]2026 Mapping v3'!D:D,"Error",0)</f>
        <v>Nina Kifani</v>
      </c>
      <c r="AF92" s="18" t="str">
        <f>_xlfn.XLOOKUP(L92,'[1]2026 Mapping v3'!A:A,'[1]2026 Mapping v3'!E:E,"Error",0)</f>
        <v>Bilha Wachira</v>
      </c>
      <c r="AS92" s="24">
        <v>1587146</v>
      </c>
      <c r="AT92" s="24"/>
      <c r="AU92" s="24"/>
      <c r="AV92" s="24"/>
      <c r="AX92" s="29"/>
      <c r="BE92" s="24">
        <v>1587146</v>
      </c>
    </row>
    <row r="93" spans="1:57">
      <c r="A93" s="18" t="s">
        <v>145</v>
      </c>
      <c r="B93" s="19">
        <v>27196957</v>
      </c>
      <c r="C93" s="20">
        <v>46045</v>
      </c>
      <c r="D93" s="18" t="s">
        <v>58</v>
      </c>
      <c r="E93" s="18" t="s">
        <v>59</v>
      </c>
      <c r="F93" s="18" t="s">
        <v>60</v>
      </c>
      <c r="G93" s="18" t="s">
        <v>146</v>
      </c>
      <c r="H93" s="18">
        <f>_xlfn.XLOOKUP(L93,'[1]2026 Mapping v3'!A:A,'[1]2026 Mapping v3'!F:F,0,0)</f>
        <v>129</v>
      </c>
      <c r="I93" s="18" t="b">
        <v>0</v>
      </c>
      <c r="J93" s="18" t="s">
        <v>365</v>
      </c>
      <c r="K93" s="21" t="s">
        <v>1116</v>
      </c>
      <c r="L93" s="18" t="s">
        <v>145</v>
      </c>
      <c r="M93" s="18" t="s">
        <v>63</v>
      </c>
      <c r="N93" s="18" t="s">
        <v>64</v>
      </c>
      <c r="Q93" s="23" t="s">
        <v>80</v>
      </c>
      <c r="R93" s="23">
        <v>10</v>
      </c>
      <c r="S93" s="24">
        <v>1782530</v>
      </c>
      <c r="T93" s="28">
        <v>150000.4</v>
      </c>
      <c r="U93" s="18" t="s">
        <v>67</v>
      </c>
      <c r="V93" s="18" t="s">
        <v>68</v>
      </c>
      <c r="W93" s="18" t="s">
        <v>69</v>
      </c>
      <c r="X93" s="20">
        <v>46063</v>
      </c>
      <c r="Y93" s="18" t="s">
        <v>148</v>
      </c>
      <c r="Z93" s="18" t="str">
        <f>_xlfn.XLOOKUP(Y93,'[1]Data Source'!A:A,'[1]Data Source'!E:E,"N/A",0)</f>
        <v>WENDRA</v>
      </c>
      <c r="AA93" s="18" t="s">
        <v>149</v>
      </c>
      <c r="AB93" s="18" t="s">
        <v>145</v>
      </c>
      <c r="AC93" s="18" t="str">
        <f>_xlfn.XLOOKUP(L93,'[1]2026 Mapping v3'!A:A,'[1]2026 Mapping v3'!B:B,"Error",0)</f>
        <v>Alternative Channels</v>
      </c>
      <c r="AD93" s="18" t="str">
        <f>_xlfn.XLOOKUP(L93,'[1]2026 Mapping v3'!A:A,'[1]2026 Mapping v3'!C:C,"Error",0)</f>
        <v>Selestine Magayu</v>
      </c>
      <c r="AE93" s="18" t="str">
        <f>_xlfn.XLOOKUP(L93,'[1]2026 Mapping v3'!A:A,'[1]2026 Mapping v3'!D:D,"Error",0)</f>
        <v>Joel Mbogo</v>
      </c>
      <c r="AF93" s="18" t="str">
        <f>_xlfn.XLOOKUP(L93,'[1]2026 Mapping v3'!A:A,'[1]2026 Mapping v3'!E:E,"Error",0)</f>
        <v>Eric Njiru</v>
      </c>
      <c r="AS93" s="24">
        <v>150000.4</v>
      </c>
      <c r="AT93" s="24"/>
      <c r="AU93" s="24"/>
      <c r="AV93" s="24"/>
      <c r="AX93" s="29"/>
      <c r="BE93" s="24">
        <v>150000.4</v>
      </c>
    </row>
    <row r="94" spans="1:57">
      <c r="A94" s="18" t="s">
        <v>128</v>
      </c>
      <c r="B94" s="19">
        <v>27196957</v>
      </c>
      <c r="C94" s="20">
        <v>46045</v>
      </c>
      <c r="D94" s="18" t="s">
        <v>58</v>
      </c>
      <c r="E94" s="18" t="s">
        <v>59</v>
      </c>
      <c r="F94" s="18" t="s">
        <v>60</v>
      </c>
      <c r="G94" s="18">
        <v>4788</v>
      </c>
      <c r="H94" s="18">
        <f>_xlfn.XLOOKUP(L94,'[1]2026 Mapping v3'!A:A,'[1]2026 Mapping v3'!F:F,0,0)</f>
        <v>12</v>
      </c>
      <c r="I94" s="18" t="b">
        <v>0</v>
      </c>
      <c r="J94" s="18" t="s">
        <v>314</v>
      </c>
      <c r="K94" s="21" t="s">
        <v>1117</v>
      </c>
      <c r="L94" s="18" t="str">
        <f t="shared" ref="L94:L95" si="10">Y94</f>
        <v>HISA001</v>
      </c>
      <c r="M94" s="18" t="s">
        <v>98</v>
      </c>
      <c r="N94" s="18" t="s">
        <v>64</v>
      </c>
      <c r="O94" s="18" t="s">
        <v>374</v>
      </c>
      <c r="Q94" s="23" t="s">
        <v>80</v>
      </c>
      <c r="R94" s="23">
        <v>10</v>
      </c>
      <c r="S94" s="24">
        <v>6646192</v>
      </c>
      <c r="T94" s="28">
        <v>50111</v>
      </c>
      <c r="U94" s="18" t="s">
        <v>67</v>
      </c>
      <c r="V94" s="18" t="s">
        <v>110</v>
      </c>
      <c r="W94" s="18" t="s">
        <v>69</v>
      </c>
      <c r="X94" s="20">
        <v>46037</v>
      </c>
      <c r="Y94" s="18" t="s">
        <v>131</v>
      </c>
      <c r="Z94" s="18" t="str">
        <f>_xlfn.XLOOKUP(Y94,'[1]Data Source'!A:A,'[1]Data Source'!E:E,"N/A",0)</f>
        <v>ALAK</v>
      </c>
      <c r="AA94" s="18" t="s">
        <v>132</v>
      </c>
      <c r="AB94" s="18" t="str">
        <f t="shared" ref="AB94:AB95" si="11">Y94</f>
        <v>HISA001</v>
      </c>
      <c r="AC94" s="18" t="str">
        <f>_xlfn.XLOOKUP(L94,'[1]2026 Mapping v3'!A:A,'[1]2026 Mapping v3'!B:B,"Error",0)</f>
        <v>Alternative Channels</v>
      </c>
      <c r="AD94" s="18" t="str">
        <f>_xlfn.XLOOKUP(L94,'[1]2026 Mapping v3'!A:A,'[1]2026 Mapping v3'!C:C,"Error",0)</f>
        <v>Eric Njiru</v>
      </c>
      <c r="AE94" s="18" t="str">
        <f>_xlfn.XLOOKUP(L94,'[1]2026 Mapping v3'!A:A,'[1]2026 Mapping v3'!D:D,"Error",0)</f>
        <v>Eric Njiru</v>
      </c>
      <c r="AF94" s="18" t="str">
        <f>_xlfn.XLOOKUP(L94,'[1]2026 Mapping v3'!A:A,'[1]2026 Mapping v3'!E:E,"Error",0)</f>
        <v>Eric Njiru</v>
      </c>
      <c r="AS94" s="24">
        <v>50111</v>
      </c>
      <c r="AT94" s="24"/>
      <c r="AU94" s="24"/>
      <c r="AV94" s="24"/>
      <c r="AX94" s="29"/>
      <c r="BE94" s="24">
        <v>50111</v>
      </c>
    </row>
    <row r="95" spans="1:57">
      <c r="A95" s="18" t="s">
        <v>128</v>
      </c>
      <c r="B95" s="19">
        <v>27196957</v>
      </c>
      <c r="C95" s="20">
        <v>46045</v>
      </c>
      <c r="D95" s="18" t="s">
        <v>58</v>
      </c>
      <c r="E95" s="18" t="s">
        <v>59</v>
      </c>
      <c r="F95" s="18" t="s">
        <v>60</v>
      </c>
      <c r="H95" s="18">
        <f>_xlfn.XLOOKUP(L95,'[1]2026 Mapping v3'!A:A,'[1]2026 Mapping v3'!F:F,0,0)</f>
        <v>12</v>
      </c>
      <c r="I95" s="18" t="b">
        <v>0</v>
      </c>
      <c r="J95" s="18" t="s">
        <v>375</v>
      </c>
      <c r="K95" s="21" t="s">
        <v>1118</v>
      </c>
      <c r="L95" s="18" t="str">
        <f t="shared" si="10"/>
        <v>HISA001</v>
      </c>
      <c r="M95" s="18" t="s">
        <v>98</v>
      </c>
      <c r="N95" s="18" t="s">
        <v>64</v>
      </c>
      <c r="O95" s="18" t="s">
        <v>376</v>
      </c>
      <c r="Q95" s="23" t="s">
        <v>80</v>
      </c>
      <c r="R95" s="23">
        <v>10</v>
      </c>
      <c r="S95" s="24">
        <v>1993857</v>
      </c>
      <c r="T95" s="28">
        <v>15034</v>
      </c>
      <c r="U95" s="18" t="s">
        <v>67</v>
      </c>
      <c r="V95" s="18" t="s">
        <v>110</v>
      </c>
      <c r="W95" s="18" t="s">
        <v>69</v>
      </c>
      <c r="X95" s="20">
        <v>46027</v>
      </c>
      <c r="Y95" s="18" t="s">
        <v>131</v>
      </c>
      <c r="Z95" s="18" t="str">
        <f>_xlfn.XLOOKUP(Y95,'[1]Data Source'!A:A,'[1]Data Source'!E:E,"N/A",0)</f>
        <v>ALAK</v>
      </c>
      <c r="AA95" s="18" t="s">
        <v>132</v>
      </c>
      <c r="AB95" s="18" t="str">
        <f t="shared" si="11"/>
        <v>HISA001</v>
      </c>
      <c r="AC95" s="18" t="str">
        <f>_xlfn.XLOOKUP(L95,'[1]2026 Mapping v3'!A:A,'[1]2026 Mapping v3'!B:B,"Error",0)</f>
        <v>Alternative Channels</v>
      </c>
      <c r="AD95" s="18" t="str">
        <f>_xlfn.XLOOKUP(L95,'[1]2026 Mapping v3'!A:A,'[1]2026 Mapping v3'!C:C,"Error",0)</f>
        <v>Eric Njiru</v>
      </c>
      <c r="AE95" s="18" t="str">
        <f>_xlfn.XLOOKUP(L95,'[1]2026 Mapping v3'!A:A,'[1]2026 Mapping v3'!D:D,"Error",0)</f>
        <v>Eric Njiru</v>
      </c>
      <c r="AF95" s="18" t="str">
        <f>_xlfn.XLOOKUP(L95,'[1]2026 Mapping v3'!A:A,'[1]2026 Mapping v3'!E:E,"Error",0)</f>
        <v>Eric Njiru</v>
      </c>
      <c r="AS95" s="24">
        <v>93</v>
      </c>
      <c r="AT95" s="24"/>
      <c r="AU95" s="24"/>
      <c r="AV95" s="24"/>
      <c r="AX95" s="29"/>
      <c r="BE95" s="24">
        <v>93</v>
      </c>
    </row>
    <row r="96" spans="1:57">
      <c r="A96" s="18" t="s">
        <v>57</v>
      </c>
      <c r="B96" s="19">
        <v>27196957</v>
      </c>
      <c r="C96" s="20">
        <v>46048</v>
      </c>
      <c r="D96" s="18" t="s">
        <v>58</v>
      </c>
      <c r="E96" s="18" t="s">
        <v>59</v>
      </c>
      <c r="F96" s="18" t="s">
        <v>60</v>
      </c>
      <c r="G96" s="18">
        <v>16566</v>
      </c>
      <c r="H96" s="18">
        <f>_xlfn.XLOOKUP(L96,'[1]2026 Mapping v3'!A:A,'[1]2026 Mapping v3'!F:F,0,0)</f>
        <v>2</v>
      </c>
      <c r="I96" s="18" t="b">
        <v>0</v>
      </c>
      <c r="J96" s="18" t="s">
        <v>114</v>
      </c>
      <c r="K96" s="21" t="s">
        <v>1119</v>
      </c>
      <c r="L96" s="18" t="s">
        <v>377</v>
      </c>
      <c r="M96" s="18" t="s">
        <v>98</v>
      </c>
      <c r="N96" s="18" t="s">
        <v>64</v>
      </c>
      <c r="O96" s="18" t="s">
        <v>378</v>
      </c>
      <c r="Q96" s="23" t="s">
        <v>80</v>
      </c>
      <c r="R96" s="23">
        <v>5</v>
      </c>
      <c r="S96" s="24">
        <v>2000000</v>
      </c>
      <c r="T96" s="28">
        <v>317438</v>
      </c>
      <c r="U96" s="18" t="s">
        <v>67</v>
      </c>
      <c r="V96" s="18" t="s">
        <v>68</v>
      </c>
      <c r="W96" s="18" t="s">
        <v>69</v>
      </c>
      <c r="X96" s="20">
        <v>46046</v>
      </c>
      <c r="Y96" s="18" t="s">
        <v>379</v>
      </c>
      <c r="Z96" s="18" t="str">
        <f>_xlfn.XLOOKUP(Y96,'[1]Data Source'!A:A,'[1]Data Source'!E:E,"N/A",0)</f>
        <v>LG</v>
      </c>
      <c r="AA96" s="18" t="s">
        <v>380</v>
      </c>
      <c r="AB96" s="18" t="s">
        <v>377</v>
      </c>
      <c r="AC96" s="18" t="str">
        <f>_xlfn.XLOOKUP(L96,'[1]2026 Mapping v3'!A:A,'[1]2026 Mapping v3'!B:B,"Error",0)</f>
        <v>TMU</v>
      </c>
      <c r="AD96" s="18" t="str">
        <f>_xlfn.XLOOKUP(L96,'[1]2026 Mapping v3'!A:A,'[1]2026 Mapping v3'!C:C,"Error",0)</f>
        <v>Simon Wambua</v>
      </c>
      <c r="AE96" s="18" t="str">
        <f>_xlfn.XLOOKUP(L96,'[1]2026 Mapping v3'!A:A,'[1]2026 Mapping v3'!D:D,"Error",0)</f>
        <v>Joseph Kairu</v>
      </c>
      <c r="AF96" s="18" t="str">
        <f>_xlfn.XLOOKUP(L96,'[1]2026 Mapping v3'!A:A,'[1]2026 Mapping v3'!E:E,"Error",0)</f>
        <v>Debrah Rashid</v>
      </c>
      <c r="AS96" s="24">
        <v>317438</v>
      </c>
      <c r="AT96" s="24"/>
      <c r="AU96" s="24"/>
      <c r="AV96" s="24"/>
      <c r="AX96" s="29"/>
      <c r="BE96" s="24">
        <v>317438</v>
      </c>
    </row>
    <row r="97" spans="1:57">
      <c r="A97" s="18" t="s">
        <v>57</v>
      </c>
      <c r="B97" s="19">
        <v>27196957</v>
      </c>
      <c r="C97" s="20">
        <v>46048</v>
      </c>
      <c r="D97" s="18" t="s">
        <v>58</v>
      </c>
      <c r="E97" s="18" t="s">
        <v>59</v>
      </c>
      <c r="F97" s="18" t="s">
        <v>60</v>
      </c>
      <c r="G97" s="18">
        <v>18545</v>
      </c>
      <c r="H97" s="18">
        <f>_xlfn.XLOOKUP(L97,'[1]2026 Mapping v3'!A:A,'[1]2026 Mapping v3'!F:F,0,0)</f>
        <v>10</v>
      </c>
      <c r="I97" s="18" t="b">
        <v>0</v>
      </c>
      <c r="J97" s="18" t="s">
        <v>360</v>
      </c>
      <c r="K97" s="21" t="s">
        <v>1120</v>
      </c>
      <c r="L97" s="18" t="s">
        <v>288</v>
      </c>
      <c r="M97" s="18" t="s">
        <v>98</v>
      </c>
      <c r="N97" s="18" t="s">
        <v>64</v>
      </c>
      <c r="O97" s="18" t="s">
        <v>381</v>
      </c>
      <c r="Q97" s="23" t="s">
        <v>80</v>
      </c>
      <c r="R97" s="23">
        <v>8</v>
      </c>
      <c r="S97" s="24">
        <v>1732652</v>
      </c>
      <c r="T97" s="28">
        <v>1002166</v>
      </c>
      <c r="U97" s="18" t="s">
        <v>67</v>
      </c>
      <c r="V97" s="18" t="s">
        <v>68</v>
      </c>
      <c r="W97" s="18" t="s">
        <v>69</v>
      </c>
      <c r="X97" s="20">
        <v>46041</v>
      </c>
      <c r="Y97" s="18" t="s">
        <v>382</v>
      </c>
      <c r="Z97" s="18" t="str">
        <f>_xlfn.XLOOKUP(Y97,'[1]Data Source'!A:A,'[1]Data Source'!E:E,"N/A",0)</f>
        <v>LG</v>
      </c>
      <c r="AA97" s="18" t="s">
        <v>383</v>
      </c>
      <c r="AB97" s="18" t="s">
        <v>288</v>
      </c>
      <c r="AC97" s="18" t="str">
        <f>_xlfn.XLOOKUP(L97,'[1]2026 Mapping v3'!A:A,'[1]2026 Mapping v3'!B:B,"Error",0)</f>
        <v>Coast</v>
      </c>
      <c r="AD97" s="18" t="str">
        <f>_xlfn.XLOOKUP(L97,'[1]2026 Mapping v3'!A:A,'[1]2026 Mapping v3'!C:C,"Error",0)</f>
        <v>Nancy Logose</v>
      </c>
      <c r="AE97" s="18" t="str">
        <f>_xlfn.XLOOKUP(L97,'[1]2026 Mapping v3'!A:A,'[1]2026 Mapping v3'!D:D,"Error",0)</f>
        <v>Brian Khamadi</v>
      </c>
      <c r="AF97" s="18" t="str">
        <f>_xlfn.XLOOKUP(L97,'[1]2026 Mapping v3'!A:A,'[1]2026 Mapping v3'!E:E,"Error",0)</f>
        <v>Eric Njiru</v>
      </c>
      <c r="AS97" s="24">
        <v>1002166</v>
      </c>
      <c r="AT97" s="24"/>
      <c r="AU97" s="24"/>
      <c r="AV97" s="24"/>
      <c r="AX97" s="29"/>
      <c r="BE97" s="24">
        <v>1002166</v>
      </c>
    </row>
    <row r="98" spans="1:57">
      <c r="A98" s="18" t="s">
        <v>57</v>
      </c>
      <c r="B98" s="19">
        <v>27196957</v>
      </c>
      <c r="C98" s="20">
        <v>46048</v>
      </c>
      <c r="D98" s="18" t="s">
        <v>58</v>
      </c>
      <c r="E98" s="18" t="s">
        <v>59</v>
      </c>
      <c r="F98" s="18" t="s">
        <v>60</v>
      </c>
      <c r="G98" s="18">
        <v>12696</v>
      </c>
      <c r="H98" s="18">
        <f>_xlfn.XLOOKUP(L98,'[1]2026 Mapping v3'!A:A,'[1]2026 Mapping v3'!F:F,0,0)</f>
        <v>71</v>
      </c>
      <c r="I98" s="18" t="b">
        <v>0</v>
      </c>
      <c r="J98" s="18" t="s">
        <v>276</v>
      </c>
      <c r="K98" s="21" t="s">
        <v>1121</v>
      </c>
      <c r="L98" s="18" t="s">
        <v>89</v>
      </c>
      <c r="M98" s="18" t="s">
        <v>98</v>
      </c>
      <c r="N98" s="18" t="s">
        <v>64</v>
      </c>
      <c r="O98" s="18" t="s">
        <v>384</v>
      </c>
      <c r="Q98" s="23" t="s">
        <v>80</v>
      </c>
      <c r="R98" s="23">
        <v>5</v>
      </c>
      <c r="S98" s="24">
        <v>1260126</v>
      </c>
      <c r="T98" s="28">
        <v>200234</v>
      </c>
      <c r="U98" s="18" t="s">
        <v>67</v>
      </c>
      <c r="V98" s="18" t="s">
        <v>68</v>
      </c>
      <c r="W98" s="18" t="s">
        <v>69</v>
      </c>
      <c r="X98" s="20">
        <v>46042</v>
      </c>
      <c r="Y98" s="18" t="s">
        <v>91</v>
      </c>
      <c r="Z98" s="18" t="str">
        <f>_xlfn.XLOOKUP(Y98,'[1]Data Source'!A:A,'[1]Data Source'!E:E,"N/A",0)</f>
        <v>LG</v>
      </c>
      <c r="AA98" s="18" t="s">
        <v>92</v>
      </c>
      <c r="AB98" s="18" t="s">
        <v>89</v>
      </c>
      <c r="AC98" s="18" t="str">
        <f>_xlfn.XLOOKUP(L98,'[1]2026 Mapping v3'!A:A,'[1]2026 Mapping v3'!B:B,"Error",0)</f>
        <v>Queensway</v>
      </c>
      <c r="AD98" s="18" t="str">
        <f>_xlfn.XLOOKUP(L98,'[1]2026 Mapping v3'!A:A,'[1]2026 Mapping v3'!C:C,"Error",0)</f>
        <v>Nina Kifani</v>
      </c>
      <c r="AE98" s="18" t="str">
        <f>_xlfn.XLOOKUP(L98,'[1]2026 Mapping v3'!A:A,'[1]2026 Mapping v3'!D:D,"Error",0)</f>
        <v>Nina Kifani</v>
      </c>
      <c r="AF98" s="18" t="str">
        <f>_xlfn.XLOOKUP(L98,'[1]2026 Mapping v3'!A:A,'[1]2026 Mapping v3'!E:E,"Error",0)</f>
        <v>Bilha Wachira</v>
      </c>
      <c r="AS98" s="24">
        <v>200234</v>
      </c>
      <c r="AT98" s="24"/>
      <c r="AU98" s="24"/>
      <c r="AV98" s="24"/>
      <c r="AX98" s="29"/>
      <c r="BE98" s="24">
        <v>200234</v>
      </c>
    </row>
    <row r="99" spans="1:57">
      <c r="A99" s="18" t="s">
        <v>57</v>
      </c>
      <c r="B99" s="19">
        <v>27196957</v>
      </c>
      <c r="C99" s="20">
        <v>46048</v>
      </c>
      <c r="D99" s="18" t="s">
        <v>58</v>
      </c>
      <c r="E99" s="18" t="s">
        <v>59</v>
      </c>
      <c r="F99" s="18" t="s">
        <v>60</v>
      </c>
      <c r="G99" s="18">
        <v>18710</v>
      </c>
      <c r="H99" s="18">
        <f>_xlfn.XLOOKUP(L99,'[1]2026 Mapping v3'!A:A,'[1]2026 Mapping v3'!F:F,0,0)</f>
        <v>39</v>
      </c>
      <c r="I99" s="18" t="b">
        <v>0</v>
      </c>
      <c r="J99" s="18" t="s">
        <v>385</v>
      </c>
      <c r="K99" s="21" t="s">
        <v>1122</v>
      </c>
      <c r="L99" s="18" t="s">
        <v>211</v>
      </c>
      <c r="M99" s="18" t="s">
        <v>98</v>
      </c>
      <c r="N99" s="18" t="s">
        <v>64</v>
      </c>
      <c r="O99" s="18" t="s">
        <v>386</v>
      </c>
      <c r="Q99" s="23" t="s">
        <v>80</v>
      </c>
      <c r="R99" s="23">
        <v>10</v>
      </c>
      <c r="S99" s="24">
        <v>2416723</v>
      </c>
      <c r="T99" s="28">
        <v>200002</v>
      </c>
      <c r="U99" s="18" t="s">
        <v>67</v>
      </c>
      <c r="V99" s="18" t="s">
        <v>68</v>
      </c>
      <c r="W99" s="18" t="s">
        <v>69</v>
      </c>
      <c r="X99" s="20">
        <v>46023</v>
      </c>
      <c r="Y99" s="18" t="s">
        <v>387</v>
      </c>
      <c r="Z99" s="18" t="str">
        <f>_xlfn.XLOOKUP(Y99,'[1]Data Source'!A:A,'[1]Data Source'!E:E,"N/A",0)</f>
        <v>LG</v>
      </c>
      <c r="AA99" s="18" t="s">
        <v>388</v>
      </c>
      <c r="AB99" s="18" t="s">
        <v>214</v>
      </c>
      <c r="AC99" s="18" t="str">
        <f>_xlfn.XLOOKUP(L99,'[1]2026 Mapping v3'!A:A,'[1]2026 Mapping v3'!B:B,"Error",0)</f>
        <v>Western</v>
      </c>
      <c r="AD99" s="18" t="str">
        <f>_xlfn.XLOOKUP(L99,'[1]2026 Mapping v3'!A:A,'[1]2026 Mapping v3'!C:C,"Error",0)</f>
        <v>Sheila Adhiambo</v>
      </c>
      <c r="AE99" s="18" t="str">
        <f>_xlfn.XLOOKUP(L99,'[1]2026 Mapping v3'!A:A,'[1]2026 Mapping v3'!D:D,"Error",0)</f>
        <v>Sheila Adhiambo</v>
      </c>
      <c r="AF99" s="18" t="str">
        <f>_xlfn.XLOOKUP(L99,'[1]2026 Mapping v3'!A:A,'[1]2026 Mapping v3'!E:E,"Error",0)</f>
        <v>Eric Njiru</v>
      </c>
      <c r="AS99" s="24">
        <v>200002</v>
      </c>
      <c r="AT99" s="24"/>
      <c r="AU99" s="24"/>
      <c r="AV99" s="24"/>
      <c r="AX99" s="29"/>
      <c r="BE99" s="24">
        <v>200002</v>
      </c>
    </row>
    <row r="100" spans="1:57">
      <c r="A100" s="18" t="s">
        <v>57</v>
      </c>
      <c r="B100" s="19">
        <v>27196957</v>
      </c>
      <c r="C100" s="20">
        <v>46048</v>
      </c>
      <c r="D100" s="18" t="s">
        <v>58</v>
      </c>
      <c r="E100" s="18" t="s">
        <v>59</v>
      </c>
      <c r="F100" s="18" t="s">
        <v>60</v>
      </c>
      <c r="G100" s="18">
        <v>16538</v>
      </c>
      <c r="H100" s="18">
        <f>_xlfn.XLOOKUP(L100,'[1]2026 Mapping v3'!A:A,'[1]2026 Mapping v3'!F:F,0,0)</f>
        <v>2</v>
      </c>
      <c r="I100" s="18" t="b">
        <v>0</v>
      </c>
      <c r="J100" s="18" t="s">
        <v>389</v>
      </c>
      <c r="K100" s="21" t="s">
        <v>1123</v>
      </c>
      <c r="L100" s="18" t="s">
        <v>377</v>
      </c>
      <c r="M100" s="18" t="s">
        <v>98</v>
      </c>
      <c r="N100" s="18" t="s">
        <v>64</v>
      </c>
      <c r="O100" s="18" t="s">
        <v>390</v>
      </c>
      <c r="Q100" s="23" t="s">
        <v>80</v>
      </c>
      <c r="R100" s="23">
        <v>5</v>
      </c>
      <c r="S100" s="24">
        <v>5000000</v>
      </c>
      <c r="T100" s="28">
        <v>793573</v>
      </c>
      <c r="U100" s="18" t="s">
        <v>67</v>
      </c>
      <c r="V100" s="18" t="s">
        <v>68</v>
      </c>
      <c r="W100" s="18" t="s">
        <v>69</v>
      </c>
      <c r="X100" s="20">
        <v>46042</v>
      </c>
      <c r="Y100" s="18" t="s">
        <v>391</v>
      </c>
      <c r="Z100" s="18" t="str">
        <f>_xlfn.XLOOKUP(Y100,'[1]Data Source'!A:A,'[1]Data Source'!E:E,"N/A",0)</f>
        <v>LG</v>
      </c>
      <c r="AA100" s="18" t="s">
        <v>392</v>
      </c>
      <c r="AB100" s="18" t="s">
        <v>377</v>
      </c>
      <c r="AC100" s="18" t="str">
        <f>_xlfn.XLOOKUP(L100,'[1]2026 Mapping v3'!A:A,'[1]2026 Mapping v3'!B:B,"Error",0)</f>
        <v>TMU</v>
      </c>
      <c r="AD100" s="18" t="str">
        <f>_xlfn.XLOOKUP(L100,'[1]2026 Mapping v3'!A:A,'[1]2026 Mapping v3'!C:C,"Error",0)</f>
        <v>Simon Wambua</v>
      </c>
      <c r="AE100" s="18" t="str">
        <f>_xlfn.XLOOKUP(L100,'[1]2026 Mapping v3'!A:A,'[1]2026 Mapping v3'!D:D,"Error",0)</f>
        <v>Joseph Kairu</v>
      </c>
      <c r="AF100" s="18" t="str">
        <f>_xlfn.XLOOKUP(L100,'[1]2026 Mapping v3'!A:A,'[1]2026 Mapping v3'!E:E,"Error",0)</f>
        <v>Debrah Rashid</v>
      </c>
      <c r="AS100" s="24">
        <v>793573</v>
      </c>
      <c r="AT100" s="24"/>
      <c r="AU100" s="24"/>
      <c r="AV100" s="24"/>
      <c r="AX100" s="29"/>
      <c r="BE100" s="24">
        <v>793573</v>
      </c>
    </row>
    <row r="101" spans="1:57">
      <c r="A101" s="18" t="s">
        <v>57</v>
      </c>
      <c r="B101" s="19">
        <v>27196957</v>
      </c>
      <c r="C101" s="20">
        <v>46048</v>
      </c>
      <c r="D101" s="18" t="s">
        <v>58</v>
      </c>
      <c r="E101" s="18" t="s">
        <v>59</v>
      </c>
      <c r="F101" s="18" t="s">
        <v>60</v>
      </c>
      <c r="G101" s="18">
        <v>19970</v>
      </c>
      <c r="H101" s="18">
        <f>_xlfn.XLOOKUP(L101,'[1]2026 Mapping v3'!A:A,'[1]2026 Mapping v3'!F:F,0,0)</f>
        <v>92</v>
      </c>
      <c r="I101" s="18" t="b">
        <v>0</v>
      </c>
      <c r="J101" s="18" t="s">
        <v>375</v>
      </c>
      <c r="K101" s="21" t="s">
        <v>1124</v>
      </c>
      <c r="L101" s="18" t="s">
        <v>393</v>
      </c>
      <c r="M101" s="18" t="s">
        <v>98</v>
      </c>
      <c r="N101" s="18" t="s">
        <v>64</v>
      </c>
      <c r="O101" s="18" t="s">
        <v>394</v>
      </c>
      <c r="Q101" s="23" t="s">
        <v>80</v>
      </c>
      <c r="R101" s="23">
        <v>5</v>
      </c>
      <c r="S101" s="24">
        <v>6300630</v>
      </c>
      <c r="T101" s="28">
        <v>1001166</v>
      </c>
      <c r="U101" s="18" t="s">
        <v>67</v>
      </c>
      <c r="V101" s="18" t="s">
        <v>68</v>
      </c>
      <c r="W101" s="18" t="s">
        <v>69</v>
      </c>
      <c r="X101" s="20">
        <v>46042</v>
      </c>
      <c r="Y101" s="18" t="s">
        <v>395</v>
      </c>
      <c r="Z101" s="18" t="str">
        <f>_xlfn.XLOOKUP(Y101,'[1]Data Source'!A:A,'[1]Data Source'!E:E,"N/A",0)</f>
        <v>LG</v>
      </c>
      <c r="AA101" s="18" t="s">
        <v>396</v>
      </c>
      <c r="AB101" s="18" t="s">
        <v>397</v>
      </c>
      <c r="AC101" s="18" t="str">
        <f>_xlfn.XLOOKUP(L101,'[1]2026 Mapping v3'!A:A,'[1]2026 Mapping v3'!B:B,"Error",0)</f>
        <v>Premier</v>
      </c>
      <c r="AD101" s="18" t="str">
        <f>_xlfn.XLOOKUP(L101,'[1]2026 Mapping v3'!A:A,'[1]2026 Mapping v3'!C:C,"Error",0)</f>
        <v>Joseph Kairu</v>
      </c>
      <c r="AE101" s="18" t="str">
        <f>_xlfn.XLOOKUP(L101,'[1]2026 Mapping v3'!A:A,'[1]2026 Mapping v3'!D:D,"Error",0)</f>
        <v>Joseph Kairu</v>
      </c>
      <c r="AF101" s="18" t="str">
        <f>_xlfn.XLOOKUP(L101,'[1]2026 Mapping v3'!A:A,'[1]2026 Mapping v3'!E:E,"Error",0)</f>
        <v>Debrah Rashid</v>
      </c>
      <c r="AS101" s="24">
        <v>1001166</v>
      </c>
      <c r="AT101" s="24"/>
      <c r="AU101" s="24"/>
      <c r="AV101" s="24"/>
      <c r="AX101" s="29"/>
      <c r="BE101" s="24">
        <v>1001166</v>
      </c>
    </row>
    <row r="102" spans="1:57">
      <c r="A102" s="18" t="s">
        <v>57</v>
      </c>
      <c r="B102" s="19">
        <v>27196957</v>
      </c>
      <c r="C102" s="20">
        <v>46048</v>
      </c>
      <c r="D102" s="18" t="s">
        <v>58</v>
      </c>
      <c r="E102" s="18" t="s">
        <v>59</v>
      </c>
      <c r="F102" s="18" t="s">
        <v>60</v>
      </c>
      <c r="G102" s="18">
        <v>14027</v>
      </c>
      <c r="H102" s="18">
        <f>_xlfn.XLOOKUP(L102,'[1]2026 Mapping v3'!A:A,'[1]2026 Mapping v3'!F:F,0,0)</f>
        <v>60</v>
      </c>
      <c r="I102" s="18" t="b">
        <v>0</v>
      </c>
      <c r="J102" s="18" t="s">
        <v>370</v>
      </c>
      <c r="K102" s="21" t="s">
        <v>1125</v>
      </c>
      <c r="L102" s="18" t="s">
        <v>62</v>
      </c>
      <c r="M102" s="18" t="s">
        <v>98</v>
      </c>
      <c r="N102" s="18" t="s">
        <v>64</v>
      </c>
      <c r="O102" s="18" t="s">
        <v>398</v>
      </c>
      <c r="Q102" s="23" t="s">
        <v>80</v>
      </c>
      <c r="R102" s="23">
        <v>5</v>
      </c>
      <c r="S102" s="24">
        <v>31503153</v>
      </c>
      <c r="T102" s="28">
        <v>5000006</v>
      </c>
      <c r="U102" s="18" t="s">
        <v>67</v>
      </c>
      <c r="V102" s="18" t="s">
        <v>68</v>
      </c>
      <c r="W102" s="18" t="s">
        <v>69</v>
      </c>
      <c r="X102" s="20">
        <v>45930</v>
      </c>
      <c r="Y102" s="18" t="s">
        <v>399</v>
      </c>
      <c r="Z102" s="18" t="str">
        <f>_xlfn.XLOOKUP(Y102,'[1]Data Source'!A:A,'[1]Data Source'!E:E,"N/A",0)</f>
        <v>N/A</v>
      </c>
      <c r="AA102" s="18" t="s">
        <v>101</v>
      </c>
      <c r="AB102" s="18" t="s">
        <v>62</v>
      </c>
      <c r="AC102" s="18" t="str">
        <f>_xlfn.XLOOKUP(L102,'[1]2026 Mapping v3'!A:A,'[1]2026 Mapping v3'!B:B,"Error",0)</f>
        <v>Rift Valley</v>
      </c>
      <c r="AD102" s="18" t="str">
        <f>_xlfn.XLOOKUP(L102,'[1]2026 Mapping v3'!A:A,'[1]2026 Mapping v3'!C:C,"Error",0)</f>
        <v>Hillary Muganda</v>
      </c>
      <c r="AE102" s="18" t="str">
        <f>_xlfn.XLOOKUP(L102,'[1]2026 Mapping v3'!A:A,'[1]2026 Mapping v3'!D:D,"Error",0)</f>
        <v>Emily Jepchirchir</v>
      </c>
      <c r="AF102" s="18" t="str">
        <f>_xlfn.XLOOKUP(L102,'[1]2026 Mapping v3'!A:A,'[1]2026 Mapping v3'!E:E,"Error",0)</f>
        <v>Emily Jepchirchir</v>
      </c>
      <c r="AS102" s="24">
        <v>5000006</v>
      </c>
      <c r="AT102" s="24"/>
      <c r="AU102" s="24"/>
      <c r="AV102" s="24"/>
      <c r="AX102" s="29"/>
      <c r="BE102" s="24">
        <v>5000006</v>
      </c>
    </row>
    <row r="103" spans="1:57">
      <c r="A103" s="18" t="s">
        <v>128</v>
      </c>
      <c r="B103" s="19">
        <v>27196957</v>
      </c>
      <c r="C103" s="20">
        <v>46048</v>
      </c>
      <c r="D103" s="18" t="s">
        <v>58</v>
      </c>
      <c r="E103" s="18" t="s">
        <v>59</v>
      </c>
      <c r="F103" s="18" t="s">
        <v>60</v>
      </c>
      <c r="G103" s="18">
        <v>4997</v>
      </c>
      <c r="H103" s="18">
        <f>_xlfn.XLOOKUP(L103,'[1]2026 Mapping v3'!A:A,'[1]2026 Mapping v3'!F:F,0,0)</f>
        <v>12</v>
      </c>
      <c r="I103" s="18" t="b">
        <v>0</v>
      </c>
      <c r="J103" s="18" t="s">
        <v>400</v>
      </c>
      <c r="K103" s="21" t="s">
        <v>1126</v>
      </c>
      <c r="L103" s="18" t="str">
        <f>Y103</f>
        <v>HISA0047</v>
      </c>
      <c r="M103" s="18" t="s">
        <v>98</v>
      </c>
      <c r="N103" s="18" t="s">
        <v>64</v>
      </c>
      <c r="O103" s="18" t="s">
        <v>401</v>
      </c>
      <c r="Q103" s="23" t="s">
        <v>80</v>
      </c>
      <c r="R103" s="23">
        <v>6</v>
      </c>
      <c r="S103" s="24">
        <v>8524551</v>
      </c>
      <c r="T103" s="28">
        <v>100000</v>
      </c>
      <c r="U103" s="18" t="s">
        <v>67</v>
      </c>
      <c r="V103" s="18" t="s">
        <v>110</v>
      </c>
      <c r="W103" s="18" t="s">
        <v>69</v>
      </c>
      <c r="X103" s="20">
        <v>46044</v>
      </c>
      <c r="Y103" s="18" t="s">
        <v>402</v>
      </c>
      <c r="Z103" s="18" t="str">
        <f>_xlfn.XLOOKUP(Y103,'[1]Data Source'!A:A,'[1]Data Source'!E:E,"N/A",0)</f>
        <v>ALAK</v>
      </c>
      <c r="AA103" s="18" t="s">
        <v>101</v>
      </c>
      <c r="AB103" s="18" t="str">
        <f>Y103</f>
        <v>HISA0047</v>
      </c>
      <c r="AC103" s="18" t="str">
        <f>_xlfn.XLOOKUP(L103,'[1]2026 Mapping v3'!A:A,'[1]2026 Mapping v3'!B:B,"Error",0)</f>
        <v>Alternative Channels</v>
      </c>
      <c r="AD103" s="18" t="str">
        <f>_xlfn.XLOOKUP(L103,'[1]2026 Mapping v3'!A:A,'[1]2026 Mapping v3'!C:C,"Error",0)</f>
        <v>Selestine Magayu</v>
      </c>
      <c r="AE103" s="18" t="str">
        <f>_xlfn.XLOOKUP(L103,'[1]2026 Mapping v3'!A:A,'[1]2026 Mapping v3'!D:D,"Error",0)</f>
        <v>Eric Njiru</v>
      </c>
      <c r="AF103" s="18" t="str">
        <f>_xlfn.XLOOKUP(L103,'[1]2026 Mapping v3'!A:A,'[1]2026 Mapping v3'!E:E,"Error",0)</f>
        <v>Eric Njiru</v>
      </c>
      <c r="AS103" s="24">
        <v>100000</v>
      </c>
      <c r="AT103" s="24"/>
      <c r="AU103" s="24"/>
      <c r="AV103" s="24"/>
      <c r="AX103" s="29"/>
      <c r="BE103" s="24">
        <v>100000</v>
      </c>
    </row>
    <row r="104" spans="1:57">
      <c r="A104" s="18" t="s">
        <v>57</v>
      </c>
      <c r="B104" s="19">
        <v>27196957</v>
      </c>
      <c r="C104" s="20">
        <v>46048</v>
      </c>
      <c r="D104" s="18" t="s">
        <v>58</v>
      </c>
      <c r="E104" s="18" t="s">
        <v>59</v>
      </c>
      <c r="F104" s="18" t="s">
        <v>60</v>
      </c>
      <c r="G104" s="18">
        <v>15293</v>
      </c>
      <c r="H104" s="18">
        <f>_xlfn.XLOOKUP(L104,'[1]2026 Mapping v3'!A:A,'[1]2026 Mapping v3'!F:F,0,0)</f>
        <v>71</v>
      </c>
      <c r="I104" s="18" t="b">
        <v>0</v>
      </c>
      <c r="J104" s="18" t="s">
        <v>403</v>
      </c>
      <c r="K104" s="21" t="s">
        <v>1127</v>
      </c>
      <c r="L104" s="18" t="s">
        <v>89</v>
      </c>
      <c r="M104" s="18" t="s">
        <v>98</v>
      </c>
      <c r="N104" s="18" t="s">
        <v>64</v>
      </c>
      <c r="O104" s="18" t="s">
        <v>404</v>
      </c>
      <c r="Q104" s="23" t="s">
        <v>80</v>
      </c>
      <c r="R104" s="23">
        <v>5</v>
      </c>
      <c r="S104" s="24">
        <v>11341135</v>
      </c>
      <c r="T104" s="28">
        <v>1800007</v>
      </c>
      <c r="U104" s="18" t="s">
        <v>67</v>
      </c>
      <c r="V104" s="18" t="s">
        <v>68</v>
      </c>
      <c r="W104" s="18" t="s">
        <v>69</v>
      </c>
      <c r="X104" s="20">
        <v>46050</v>
      </c>
      <c r="Y104" s="18" t="s">
        <v>405</v>
      </c>
      <c r="Z104" s="18" t="str">
        <f>_xlfn.XLOOKUP(Y104,'[1]Data Source'!A:A,'[1]Data Source'!E:E,"N/A",0)</f>
        <v>LG</v>
      </c>
      <c r="AA104" s="18" t="s">
        <v>396</v>
      </c>
      <c r="AB104" s="18" t="s">
        <v>89</v>
      </c>
      <c r="AC104" s="18" t="str">
        <f>_xlfn.XLOOKUP(L104,'[1]2026 Mapping v3'!A:A,'[1]2026 Mapping v3'!B:B,"Error",0)</f>
        <v>Queensway</v>
      </c>
      <c r="AD104" s="18" t="str">
        <f>_xlfn.XLOOKUP(L104,'[1]2026 Mapping v3'!A:A,'[1]2026 Mapping v3'!C:C,"Error",0)</f>
        <v>Nina Kifani</v>
      </c>
      <c r="AE104" s="18" t="str">
        <f>_xlfn.XLOOKUP(L104,'[1]2026 Mapping v3'!A:A,'[1]2026 Mapping v3'!D:D,"Error",0)</f>
        <v>Nina Kifani</v>
      </c>
      <c r="AF104" s="18" t="str">
        <f>_xlfn.XLOOKUP(L104,'[1]2026 Mapping v3'!A:A,'[1]2026 Mapping v3'!E:E,"Error",0)</f>
        <v>Bilha Wachira</v>
      </c>
      <c r="AS104" s="24">
        <v>1800007</v>
      </c>
      <c r="AT104" s="24"/>
      <c r="AU104" s="24"/>
      <c r="AV104" s="24"/>
      <c r="AX104" s="29"/>
      <c r="BE104" s="24">
        <v>1800007</v>
      </c>
    </row>
    <row r="105" spans="1:57">
      <c r="A105" s="18" t="s">
        <v>128</v>
      </c>
      <c r="B105" s="19">
        <v>27196957</v>
      </c>
      <c r="C105" s="20">
        <v>46048</v>
      </c>
      <c r="D105" s="18" t="s">
        <v>58</v>
      </c>
      <c r="E105" s="18" t="s">
        <v>59</v>
      </c>
      <c r="F105" s="18" t="s">
        <v>60</v>
      </c>
      <c r="G105" s="18">
        <v>4824</v>
      </c>
      <c r="H105" s="18">
        <f>_xlfn.XLOOKUP(L105,'[1]2026 Mapping v3'!A:A,'[1]2026 Mapping v3'!F:F,0,0)</f>
        <v>12</v>
      </c>
      <c r="I105" s="18" t="b">
        <v>0</v>
      </c>
      <c r="J105" s="18" t="s">
        <v>406</v>
      </c>
      <c r="K105" s="21" t="s">
        <v>1128</v>
      </c>
      <c r="L105" s="18" t="str">
        <f>Y105</f>
        <v>HISA001</v>
      </c>
      <c r="M105" s="18" t="s">
        <v>98</v>
      </c>
      <c r="N105" s="18" t="s">
        <v>64</v>
      </c>
      <c r="O105" s="18" t="s">
        <v>407</v>
      </c>
      <c r="Q105" s="23" t="s">
        <v>80</v>
      </c>
      <c r="R105" s="23">
        <v>10</v>
      </c>
      <c r="S105" s="24">
        <v>1329238</v>
      </c>
      <c r="T105" s="28">
        <v>10023</v>
      </c>
      <c r="U105" s="18" t="s">
        <v>67</v>
      </c>
      <c r="V105" s="18" t="s">
        <v>110</v>
      </c>
      <c r="W105" s="18" t="s">
        <v>69</v>
      </c>
      <c r="X105" s="20">
        <v>46050</v>
      </c>
      <c r="Y105" s="18" t="s">
        <v>131</v>
      </c>
      <c r="Z105" s="18" t="str">
        <f>_xlfn.XLOOKUP(Y105,'[1]Data Source'!A:A,'[1]Data Source'!E:E,"N/A",0)</f>
        <v>ALAK</v>
      </c>
      <c r="AA105" s="18" t="s">
        <v>132</v>
      </c>
      <c r="AB105" s="18" t="str">
        <f>Y105</f>
        <v>HISA001</v>
      </c>
      <c r="AC105" s="18" t="str">
        <f>_xlfn.XLOOKUP(L105,'[1]2026 Mapping v3'!A:A,'[1]2026 Mapping v3'!B:B,"Error",0)</f>
        <v>Alternative Channels</v>
      </c>
      <c r="AD105" s="18" t="str">
        <f>_xlfn.XLOOKUP(L105,'[1]2026 Mapping v3'!A:A,'[1]2026 Mapping v3'!C:C,"Error",0)</f>
        <v>Eric Njiru</v>
      </c>
      <c r="AE105" s="18" t="str">
        <f>_xlfn.XLOOKUP(L105,'[1]2026 Mapping v3'!A:A,'[1]2026 Mapping v3'!D:D,"Error",0)</f>
        <v>Eric Njiru</v>
      </c>
      <c r="AF105" s="18" t="str">
        <f>_xlfn.XLOOKUP(L105,'[1]2026 Mapping v3'!A:A,'[1]2026 Mapping v3'!E:E,"Error",0)</f>
        <v>Eric Njiru</v>
      </c>
      <c r="AS105" s="24">
        <v>10023</v>
      </c>
      <c r="AT105" s="24"/>
      <c r="AU105" s="24"/>
      <c r="AV105" s="24"/>
      <c r="AX105" s="29"/>
      <c r="BE105" s="24">
        <v>10023</v>
      </c>
    </row>
    <row r="106" spans="1:57">
      <c r="A106" s="18" t="s">
        <v>349</v>
      </c>
      <c r="B106" s="19">
        <v>27196957</v>
      </c>
      <c r="C106" s="20">
        <v>46048</v>
      </c>
      <c r="D106" s="18" t="s">
        <v>58</v>
      </c>
      <c r="E106" s="18" t="s">
        <v>59</v>
      </c>
      <c r="F106" s="18" t="s">
        <v>60</v>
      </c>
      <c r="G106" s="18">
        <v>15282</v>
      </c>
      <c r="H106" s="18">
        <v>21</v>
      </c>
      <c r="I106" s="18" t="b">
        <v>0</v>
      </c>
      <c r="J106" s="18" t="s">
        <v>408</v>
      </c>
      <c r="K106" s="21" t="s">
        <v>1129</v>
      </c>
      <c r="L106" s="18" t="s">
        <v>351</v>
      </c>
      <c r="M106" s="18" t="s">
        <v>98</v>
      </c>
      <c r="N106" s="18" t="s">
        <v>64</v>
      </c>
      <c r="O106" s="18" t="s">
        <v>101</v>
      </c>
      <c r="Q106" s="23" t="s">
        <v>80</v>
      </c>
      <c r="R106" s="23">
        <v>5</v>
      </c>
      <c r="S106" s="24">
        <v>1000000</v>
      </c>
      <c r="T106" s="28">
        <v>194892</v>
      </c>
      <c r="U106" s="18" t="s">
        <v>67</v>
      </c>
      <c r="V106" s="18" t="s">
        <v>68</v>
      </c>
      <c r="W106" s="18" t="s">
        <v>69</v>
      </c>
      <c r="X106" s="20">
        <v>46052</v>
      </c>
      <c r="Y106" s="18" t="s">
        <v>409</v>
      </c>
      <c r="Z106" s="18" t="str">
        <f>_xlfn.XLOOKUP(Y106,'[1]Data Source'!A:A,'[1]Data Source'!E:E,"N/A",0)</f>
        <v>N/A</v>
      </c>
      <c r="AA106" s="18" t="s">
        <v>101</v>
      </c>
      <c r="AB106" s="18" t="str">
        <f>L106</f>
        <v>Fortis Branch</v>
      </c>
      <c r="AC106" s="18" t="str">
        <f>_xlfn.XLOOKUP(L106,'[1]2026 Mapping v3'!A:A,'[1]2026 Mapping v3'!B:B,"Error",0)</f>
        <v>Alternative Channels</v>
      </c>
      <c r="AD106" s="18" t="str">
        <f>_xlfn.XLOOKUP(L106,'[1]2026 Mapping v3'!A:A,'[1]2026 Mapping v3'!C:C,"Error",0)</f>
        <v>Selestine Magayu</v>
      </c>
      <c r="AE106" s="18" t="str">
        <f>_xlfn.XLOOKUP(L106,'[1]2026 Mapping v3'!A:A,'[1]2026 Mapping v3'!D:D,"Error",0)</f>
        <v>Eric Njiru</v>
      </c>
      <c r="AF106" s="18" t="str">
        <f>_xlfn.XLOOKUP(L106,'[1]2026 Mapping v3'!A:A,'[1]2026 Mapping v3'!E:E,"Error",0)</f>
        <v>Eric Njiru</v>
      </c>
      <c r="AS106" s="24">
        <v>194892</v>
      </c>
      <c r="AT106" s="24"/>
      <c r="AU106" s="24"/>
      <c r="AV106" s="24"/>
      <c r="AX106" s="29"/>
      <c r="BE106" s="24">
        <v>194892</v>
      </c>
    </row>
    <row r="107" spans="1:57">
      <c r="A107" s="18" t="s">
        <v>57</v>
      </c>
      <c r="B107" s="19">
        <v>27196957</v>
      </c>
      <c r="C107" s="20">
        <v>46048</v>
      </c>
      <c r="D107" s="18" t="s">
        <v>58</v>
      </c>
      <c r="E107" s="18" t="s">
        <v>59</v>
      </c>
      <c r="F107" s="18" t="s">
        <v>60</v>
      </c>
      <c r="G107" s="18">
        <v>13521</v>
      </c>
      <c r="H107" s="18">
        <f>_xlfn.XLOOKUP(L107,'[1]2026 Mapping v3'!A:A,'[1]2026 Mapping v3'!F:F,0,0)</f>
        <v>6</v>
      </c>
      <c r="I107" s="18" t="b">
        <v>0</v>
      </c>
      <c r="J107" s="18" t="s">
        <v>410</v>
      </c>
      <c r="K107" s="21" t="s">
        <v>1130</v>
      </c>
      <c r="L107" s="18" t="s">
        <v>411</v>
      </c>
      <c r="M107" s="18" t="s">
        <v>98</v>
      </c>
      <c r="N107" s="18" t="s">
        <v>64</v>
      </c>
      <c r="O107" s="18" t="s">
        <v>412</v>
      </c>
      <c r="Q107" s="23" t="s">
        <v>80</v>
      </c>
      <c r="R107" s="23">
        <v>5</v>
      </c>
      <c r="S107" s="24">
        <v>2936734</v>
      </c>
      <c r="T107" s="28">
        <v>12500</v>
      </c>
      <c r="U107" s="18" t="s">
        <v>67</v>
      </c>
      <c r="V107" s="18" t="s">
        <v>413</v>
      </c>
      <c r="W107" s="18" t="s">
        <v>69</v>
      </c>
      <c r="X107" s="20">
        <v>46053</v>
      </c>
      <c r="Y107" s="18" t="s">
        <v>414</v>
      </c>
      <c r="Z107" s="18" t="s">
        <v>71</v>
      </c>
      <c r="AA107" s="18" t="s">
        <v>101</v>
      </c>
      <c r="AB107" s="18" t="s">
        <v>411</v>
      </c>
      <c r="AC107" s="18" t="str">
        <f>_xlfn.XLOOKUP(L107,'[1]2026 Mapping v3'!A:A,'[1]2026 Mapping v3'!B:B,"Error",0)</f>
        <v>Western</v>
      </c>
      <c r="AD107" s="18" t="str">
        <f>_xlfn.XLOOKUP(L107,'[1]2026 Mapping v3'!A:A,'[1]2026 Mapping v3'!C:C,"Error",0)</f>
        <v>Sheila Adhiambo</v>
      </c>
      <c r="AE107" s="18" t="str">
        <f>_xlfn.XLOOKUP(L107,'[1]2026 Mapping v3'!A:A,'[1]2026 Mapping v3'!D:D,"Error",0)</f>
        <v>Sheila Adhiambo</v>
      </c>
      <c r="AF107" s="18" t="str">
        <f>_xlfn.XLOOKUP(L107,'[1]2026 Mapping v3'!A:A,'[1]2026 Mapping v3'!E:E,"Error",0)</f>
        <v>Eric Njiru</v>
      </c>
      <c r="AS107" s="24">
        <v>12500</v>
      </c>
      <c r="AT107" s="24"/>
      <c r="AU107" s="24"/>
      <c r="AV107" s="24"/>
      <c r="AX107" s="29"/>
      <c r="BE107" s="24">
        <v>12500</v>
      </c>
    </row>
    <row r="108" spans="1:57">
      <c r="A108" s="18" t="s">
        <v>57</v>
      </c>
      <c r="B108" s="19">
        <v>27196957</v>
      </c>
      <c r="C108" s="20">
        <v>46048</v>
      </c>
      <c r="D108" s="18" t="s">
        <v>58</v>
      </c>
      <c r="E108" s="18" t="s">
        <v>59</v>
      </c>
      <c r="F108" s="18" t="s">
        <v>60</v>
      </c>
      <c r="G108" s="18">
        <v>11706</v>
      </c>
      <c r="H108" s="18">
        <f>_xlfn.XLOOKUP(L108,'[1]2026 Mapping v3'!A:A,'[1]2026 Mapping v3'!F:F,0,0)</f>
        <v>64</v>
      </c>
      <c r="I108" s="18" t="b">
        <v>0</v>
      </c>
      <c r="J108" s="18" t="s">
        <v>415</v>
      </c>
      <c r="K108" s="21" t="s">
        <v>1131</v>
      </c>
      <c r="L108" s="18" t="s">
        <v>416</v>
      </c>
      <c r="M108" s="18" t="s">
        <v>98</v>
      </c>
      <c r="N108" s="18" t="s">
        <v>64</v>
      </c>
      <c r="O108" s="18" t="s">
        <v>417</v>
      </c>
      <c r="Q108" s="23" t="s">
        <v>80</v>
      </c>
      <c r="R108" s="23">
        <v>5</v>
      </c>
      <c r="S108" s="24">
        <v>17326518</v>
      </c>
      <c r="T108" s="28">
        <v>10021659</v>
      </c>
      <c r="U108" s="18" t="s">
        <v>67</v>
      </c>
      <c r="V108" s="18" t="s">
        <v>158</v>
      </c>
      <c r="W108" s="18" t="s">
        <v>69</v>
      </c>
      <c r="X108" s="20">
        <v>46053</v>
      </c>
      <c r="Y108" s="18" t="s">
        <v>418</v>
      </c>
      <c r="Z108" s="18" t="s">
        <v>71</v>
      </c>
      <c r="AA108" s="18" t="s">
        <v>101</v>
      </c>
      <c r="AB108" s="18" t="s">
        <v>416</v>
      </c>
      <c r="AC108" s="18" t="str">
        <f>_xlfn.XLOOKUP(L108,'[1]2026 Mapping v3'!A:A,'[1]2026 Mapping v3'!B:B,"Error",0)</f>
        <v>Coast</v>
      </c>
      <c r="AD108" s="18" t="str">
        <f>_xlfn.XLOOKUP(L108,'[1]2026 Mapping v3'!A:A,'[1]2026 Mapping v3'!C:C,"Error",0)</f>
        <v>Nancy Logose</v>
      </c>
      <c r="AE108" s="18" t="str">
        <f>_xlfn.XLOOKUP(L108,'[1]2026 Mapping v3'!A:A,'[1]2026 Mapping v3'!D:D,"Error",0)</f>
        <v>Brian Khamadi</v>
      </c>
      <c r="AF108" s="18" t="str">
        <f>_xlfn.XLOOKUP(L108,'[1]2026 Mapping v3'!A:A,'[1]2026 Mapping v3'!E:E,"Error",0)</f>
        <v>Eric Njiru</v>
      </c>
      <c r="AS108" s="24">
        <v>10021659</v>
      </c>
      <c r="AT108" s="24"/>
      <c r="AU108" s="24"/>
      <c r="AV108" s="24"/>
      <c r="AX108" s="29"/>
      <c r="BE108" s="24">
        <v>10021659</v>
      </c>
    </row>
    <row r="109" spans="1:57">
      <c r="A109" s="18" t="s">
        <v>57</v>
      </c>
      <c r="B109" s="19">
        <v>27196957</v>
      </c>
      <c r="C109" s="20">
        <v>46048</v>
      </c>
      <c r="D109" s="18" t="s">
        <v>58</v>
      </c>
      <c r="E109" s="18" t="s">
        <v>59</v>
      </c>
      <c r="F109" s="18" t="s">
        <v>60</v>
      </c>
      <c r="G109" s="18">
        <v>12763</v>
      </c>
      <c r="H109" s="18">
        <f>_xlfn.XLOOKUP(L109,'[1]2026 Mapping v3'!A:A,'[1]2026 Mapping v3'!F:F,0,0)</f>
        <v>18</v>
      </c>
      <c r="I109" s="18" t="b">
        <v>0</v>
      </c>
      <c r="J109" s="18" t="s">
        <v>114</v>
      </c>
      <c r="K109" s="21" t="s">
        <v>1132</v>
      </c>
      <c r="L109" s="18" t="s">
        <v>419</v>
      </c>
      <c r="M109" s="18" t="s">
        <v>98</v>
      </c>
      <c r="N109" s="18" t="s">
        <v>64</v>
      </c>
      <c r="O109" s="18" t="s">
        <v>420</v>
      </c>
      <c r="Q109" s="23" t="s">
        <v>80</v>
      </c>
      <c r="R109" s="23">
        <v>5</v>
      </c>
      <c r="S109" s="24">
        <v>1400100</v>
      </c>
      <c r="T109" s="28">
        <v>200002</v>
      </c>
      <c r="U109" s="18" t="s">
        <v>67</v>
      </c>
      <c r="V109" s="18" t="s">
        <v>68</v>
      </c>
      <c r="W109" s="18" t="s">
        <v>69</v>
      </c>
      <c r="X109" s="20">
        <v>46052</v>
      </c>
      <c r="Y109" s="18" t="s">
        <v>421</v>
      </c>
      <c r="Z109" s="18" t="s">
        <v>71</v>
      </c>
      <c r="AA109" s="18" t="s">
        <v>101</v>
      </c>
      <c r="AB109" s="18" t="s">
        <v>419</v>
      </c>
      <c r="AC109" s="18" t="str">
        <f>_xlfn.XLOOKUP(L109,'[1]2026 Mapping v3'!A:A,'[1]2026 Mapping v3'!B:B,"Error",0)</f>
        <v>Rift Valley</v>
      </c>
      <c r="AD109" s="18" t="str">
        <f>_xlfn.XLOOKUP(L109,'[1]2026 Mapping v3'!A:A,'[1]2026 Mapping v3'!C:C,"Error",0)</f>
        <v>Jane Nduta</v>
      </c>
      <c r="AE109" s="18" t="str">
        <f>_xlfn.XLOOKUP(L109,'[1]2026 Mapping v3'!A:A,'[1]2026 Mapping v3'!D:D,"Error",0)</f>
        <v>Emily Jepchirchir</v>
      </c>
      <c r="AF109" s="18" t="str">
        <f>_xlfn.XLOOKUP(L109,'[1]2026 Mapping v3'!A:A,'[1]2026 Mapping v3'!E:E,"Error",0)</f>
        <v>Emily Jepchirchir</v>
      </c>
      <c r="AS109" s="24">
        <v>200002</v>
      </c>
      <c r="AT109" s="24"/>
      <c r="AU109" s="24"/>
      <c r="AV109" s="24"/>
      <c r="AX109" s="29"/>
      <c r="BE109" s="24">
        <v>200002</v>
      </c>
    </row>
    <row r="110" spans="1:57">
      <c r="A110" s="18" t="s">
        <v>57</v>
      </c>
      <c r="B110" s="19">
        <v>27196957</v>
      </c>
      <c r="C110" s="20">
        <v>46048</v>
      </c>
      <c r="D110" s="18" t="s">
        <v>58</v>
      </c>
      <c r="E110" s="18" t="s">
        <v>59</v>
      </c>
      <c r="F110" s="18" t="s">
        <v>60</v>
      </c>
      <c r="G110" s="18">
        <v>15924</v>
      </c>
      <c r="H110" s="18">
        <f>_xlfn.XLOOKUP(L110,'[1]2026 Mapping v3'!A:A,'[1]2026 Mapping v3'!F:F,0,0)</f>
        <v>71</v>
      </c>
      <c r="I110" s="18" t="b">
        <v>0</v>
      </c>
      <c r="J110" s="18" t="s">
        <v>151</v>
      </c>
      <c r="K110" s="21" t="s">
        <v>1133</v>
      </c>
      <c r="L110" s="18" t="s">
        <v>89</v>
      </c>
      <c r="M110" s="18" t="s">
        <v>98</v>
      </c>
      <c r="N110" s="18" t="s">
        <v>64</v>
      </c>
      <c r="O110" s="18" t="s">
        <v>422</v>
      </c>
      <c r="Q110" s="23" t="s">
        <v>80</v>
      </c>
      <c r="R110" s="23">
        <v>5</v>
      </c>
      <c r="S110" s="24">
        <v>1000000</v>
      </c>
      <c r="T110" s="28">
        <v>14429</v>
      </c>
      <c r="U110" s="18" t="s">
        <v>67</v>
      </c>
      <c r="V110" s="18" t="s">
        <v>110</v>
      </c>
      <c r="W110" s="18" t="s">
        <v>69</v>
      </c>
      <c r="X110" s="20">
        <v>46081</v>
      </c>
      <c r="Y110" s="18" t="s">
        <v>168</v>
      </c>
      <c r="Z110" s="18" t="s">
        <v>71</v>
      </c>
      <c r="AA110" s="18" t="s">
        <v>101</v>
      </c>
      <c r="AB110" s="18" t="s">
        <v>89</v>
      </c>
      <c r="AC110" s="18" t="str">
        <f>_xlfn.XLOOKUP(L110,'[1]2026 Mapping v3'!A:A,'[1]2026 Mapping v3'!B:B,"Error",0)</f>
        <v>Queensway</v>
      </c>
      <c r="AD110" s="18" t="str">
        <f>_xlfn.XLOOKUP(L110,'[1]2026 Mapping v3'!A:A,'[1]2026 Mapping v3'!C:C,"Error",0)</f>
        <v>Nina Kifani</v>
      </c>
      <c r="AE110" s="18" t="str">
        <f>_xlfn.XLOOKUP(L110,'[1]2026 Mapping v3'!A:A,'[1]2026 Mapping v3'!D:D,"Error",0)</f>
        <v>Nina Kifani</v>
      </c>
      <c r="AF110" s="18" t="str">
        <f>_xlfn.XLOOKUP(L110,'[1]2026 Mapping v3'!A:A,'[1]2026 Mapping v3'!E:E,"Error",0)</f>
        <v>Bilha Wachira</v>
      </c>
      <c r="AS110" s="24">
        <v>14429</v>
      </c>
      <c r="AT110" s="24"/>
      <c r="AU110" s="24"/>
      <c r="AV110" s="24"/>
      <c r="AX110" s="29"/>
      <c r="BE110" s="24">
        <v>14429</v>
      </c>
    </row>
    <row r="111" spans="1:57">
      <c r="A111" s="18" t="s">
        <v>57</v>
      </c>
      <c r="B111" s="19">
        <v>27196957</v>
      </c>
      <c r="C111" s="20">
        <v>46048</v>
      </c>
      <c r="D111" s="18" t="s">
        <v>58</v>
      </c>
      <c r="E111" s="18" t="s">
        <v>59</v>
      </c>
      <c r="F111" s="18" t="s">
        <v>60</v>
      </c>
      <c r="G111" s="18">
        <v>11584</v>
      </c>
      <c r="H111" s="18">
        <f>_xlfn.XLOOKUP(L111,'[1]2026 Mapping v3'!A:A,'[1]2026 Mapping v3'!F:F,0,0)</f>
        <v>41</v>
      </c>
      <c r="I111" s="18" t="b">
        <v>0</v>
      </c>
      <c r="J111" s="18" t="s">
        <v>198</v>
      </c>
      <c r="K111" s="21" t="s">
        <v>1134</v>
      </c>
      <c r="L111" s="18" t="s">
        <v>221</v>
      </c>
      <c r="M111" s="18" t="s">
        <v>63</v>
      </c>
      <c r="N111" s="18" t="s">
        <v>64</v>
      </c>
      <c r="O111" s="18" t="s">
        <v>423</v>
      </c>
      <c r="Q111" s="23" t="s">
        <v>80</v>
      </c>
      <c r="R111" s="23">
        <v>18</v>
      </c>
      <c r="S111" s="24">
        <v>2525250</v>
      </c>
      <c r="T111" s="28">
        <v>100000</v>
      </c>
      <c r="U111" s="18" t="s">
        <v>67</v>
      </c>
      <c r="V111" s="18" t="s">
        <v>68</v>
      </c>
      <c r="W111" s="18" t="s">
        <v>69</v>
      </c>
      <c r="X111" s="20">
        <v>46027</v>
      </c>
      <c r="Y111" s="18" t="s">
        <v>223</v>
      </c>
      <c r="Z111" s="18" t="str">
        <f>_xlfn.XLOOKUP(Y111,'[1]Data Source'!A:A,'[1]Data Source'!E:E,"N/A",0)</f>
        <v>LG</v>
      </c>
      <c r="AA111" s="18" t="s">
        <v>224</v>
      </c>
      <c r="AB111" s="18" t="s">
        <v>221</v>
      </c>
      <c r="AC111" s="18" t="str">
        <f>_xlfn.XLOOKUP(L111,'[1]2026 Mapping v3'!A:A,'[1]2026 Mapping v3'!B:B,"Error",0)</f>
        <v>Nairobi West</v>
      </c>
      <c r="AD111" s="18" t="str">
        <f>_xlfn.XLOOKUP(L111,'[1]2026 Mapping v3'!A:A,'[1]2026 Mapping v3'!C:C,"Error",0)</f>
        <v>Ancetar Mulili</v>
      </c>
      <c r="AE111" s="18" t="str">
        <f>_xlfn.XLOOKUP(L111,'[1]2026 Mapping v3'!A:A,'[1]2026 Mapping v3'!D:D,"Error",0)</f>
        <v>Ancetar Mulili</v>
      </c>
      <c r="AF111" s="18" t="str">
        <f>_xlfn.XLOOKUP(L111,'[1]2026 Mapping v3'!A:A,'[1]2026 Mapping v3'!E:E,"Error",0)</f>
        <v>Bilha Wachira</v>
      </c>
      <c r="AS111" s="24">
        <v>100000</v>
      </c>
      <c r="AT111" s="24"/>
      <c r="AU111" s="24"/>
      <c r="AV111" s="24"/>
      <c r="AX111" s="29"/>
      <c r="BE111" s="24">
        <v>100000</v>
      </c>
    </row>
    <row r="112" spans="1:57">
      <c r="A112" s="18" t="s">
        <v>424</v>
      </c>
      <c r="B112" s="19">
        <v>27196957</v>
      </c>
      <c r="C112" s="20">
        <v>46048</v>
      </c>
      <c r="D112" s="18" t="s">
        <v>58</v>
      </c>
      <c r="E112" s="18" t="s">
        <v>59</v>
      </c>
      <c r="F112" s="18" t="s">
        <v>60</v>
      </c>
      <c r="G112" s="18">
        <v>4142</v>
      </c>
      <c r="H112" s="18">
        <f>_xlfn.XLOOKUP(L112,'[1]2026 Mapping v3'!A:A,'[1]2026 Mapping v3'!F:F,0,0)</f>
        <v>21</v>
      </c>
      <c r="I112" s="18" t="b">
        <v>0</v>
      </c>
      <c r="J112" s="18" t="s">
        <v>301</v>
      </c>
      <c r="K112" s="21" t="s">
        <v>1135</v>
      </c>
      <c r="L112" s="18" t="s">
        <v>424</v>
      </c>
      <c r="M112" s="18" t="s">
        <v>63</v>
      </c>
      <c r="N112" s="18" t="s">
        <v>64</v>
      </c>
      <c r="Q112" s="23" t="s">
        <v>80</v>
      </c>
      <c r="R112" s="23">
        <v>17</v>
      </c>
      <c r="S112" s="24">
        <v>15005612</v>
      </c>
      <c r="T112" s="28">
        <v>668500</v>
      </c>
      <c r="U112" s="18" t="s">
        <v>67</v>
      </c>
      <c r="V112" s="18" t="s">
        <v>68</v>
      </c>
      <c r="W112" s="18" t="s">
        <v>69</v>
      </c>
      <c r="X112" s="20">
        <v>46052</v>
      </c>
      <c r="Y112" s="18" t="s">
        <v>425</v>
      </c>
      <c r="Z112" s="18" t="str">
        <f>_xlfn.XLOOKUP(Y112,'[1]Data Source'!A:A,'[1]Data Source'!E:E,"N/A",0)</f>
        <v>N/A</v>
      </c>
      <c r="AA112" s="18" t="s">
        <v>101</v>
      </c>
      <c r="AB112" s="18" t="s">
        <v>424</v>
      </c>
      <c r="AC112" s="18" t="str">
        <f>_xlfn.XLOOKUP(L112,'[1]2026 Mapping v3'!A:A,'[1]2026 Mapping v3'!B:B,"Error",0)</f>
        <v>Alternative Channels</v>
      </c>
      <c r="AD112" s="18" t="str">
        <f>_xlfn.XLOOKUP(L112,'[1]2026 Mapping v3'!A:A,'[1]2026 Mapping v3'!C:C,"Error",0)</f>
        <v>Joel Mbogo</v>
      </c>
      <c r="AE112" s="18" t="str">
        <f>_xlfn.XLOOKUP(L112,'[1]2026 Mapping v3'!A:A,'[1]2026 Mapping v3'!D:D,"Error",0)</f>
        <v>Joel Mbogo</v>
      </c>
      <c r="AF112" s="18" t="str">
        <f>_xlfn.XLOOKUP(L112,'[1]2026 Mapping v3'!A:A,'[1]2026 Mapping v3'!E:E,"Error",0)</f>
        <v>Eric Njiru</v>
      </c>
      <c r="AS112" s="24">
        <v>668500</v>
      </c>
      <c r="AT112" s="24"/>
      <c r="AU112" s="24"/>
      <c r="AV112" s="24"/>
      <c r="AX112" s="29"/>
      <c r="BE112" s="24">
        <v>668500</v>
      </c>
    </row>
    <row r="113" spans="1:57">
      <c r="A113" s="18" t="s">
        <v>57</v>
      </c>
      <c r="B113" s="19">
        <v>27196957</v>
      </c>
      <c r="C113" s="20">
        <v>46049</v>
      </c>
      <c r="D113" s="18" t="s">
        <v>58</v>
      </c>
      <c r="E113" s="18" t="s">
        <v>59</v>
      </c>
      <c r="F113" s="18" t="s">
        <v>60</v>
      </c>
      <c r="G113" s="18">
        <v>17254</v>
      </c>
      <c r="H113" s="18">
        <f>_xlfn.XLOOKUP(L113,'[1]2026 Mapping v3'!A:A,'[1]2026 Mapping v3'!F:F,0,0)</f>
        <v>105</v>
      </c>
      <c r="I113" s="18" t="b">
        <v>0</v>
      </c>
      <c r="J113" s="18" t="s">
        <v>426</v>
      </c>
      <c r="K113" s="21" t="s">
        <v>1136</v>
      </c>
      <c r="L113" s="18" t="s">
        <v>427</v>
      </c>
      <c r="M113" s="18" t="s">
        <v>98</v>
      </c>
      <c r="N113" s="18" t="s">
        <v>64</v>
      </c>
      <c r="O113" s="18" t="s">
        <v>428</v>
      </c>
      <c r="Q113" s="23" t="s">
        <v>80</v>
      </c>
      <c r="R113" s="23">
        <v>5</v>
      </c>
      <c r="S113" s="24">
        <v>10000000</v>
      </c>
      <c r="T113" s="28">
        <v>1588980</v>
      </c>
      <c r="U113" s="18" t="s">
        <v>67</v>
      </c>
      <c r="V113" s="18" t="s">
        <v>68</v>
      </c>
      <c r="W113" s="18" t="s">
        <v>69</v>
      </c>
      <c r="X113" s="20">
        <v>46023</v>
      </c>
      <c r="Y113" s="18" t="s">
        <v>429</v>
      </c>
      <c r="Z113" s="18" t="str">
        <f>_xlfn.XLOOKUP(Y113,'[1]Data Source'!A:A,'[1]Data Source'!E:E,"N/A",0)</f>
        <v>RM</v>
      </c>
      <c r="AA113" s="18" t="s">
        <v>430</v>
      </c>
      <c r="AB113" s="18" t="s">
        <v>427</v>
      </c>
      <c r="AC113" s="18" t="str">
        <f>_xlfn.XLOOKUP(L113,'[1]2026 Mapping v3'!A:A,'[1]2026 Mapping v3'!B:B,"Error",0)</f>
        <v>Premier</v>
      </c>
      <c r="AD113" s="18" t="str">
        <f>_xlfn.XLOOKUP(L113,'[1]2026 Mapping v3'!A:A,'[1]2026 Mapping v3'!C:C,"Error",0)</f>
        <v>Joseph Kairu</v>
      </c>
      <c r="AE113" s="18" t="str">
        <f>_xlfn.XLOOKUP(L113,'[1]2026 Mapping v3'!A:A,'[1]2026 Mapping v3'!D:D,"Error",0)</f>
        <v>Joseph Kairu</v>
      </c>
      <c r="AF113" s="18" t="str">
        <f>_xlfn.XLOOKUP(L113,'[1]2026 Mapping v3'!A:A,'[1]2026 Mapping v3'!E:E,"Error",0)</f>
        <v>Debrah Rashid</v>
      </c>
      <c r="AS113" s="24">
        <v>1588980</v>
      </c>
      <c r="AT113" s="24"/>
      <c r="AU113" s="24"/>
      <c r="AV113" s="24"/>
      <c r="AX113" s="29"/>
      <c r="BE113" s="24">
        <v>1588980</v>
      </c>
    </row>
    <row r="114" spans="1:57">
      <c r="A114" s="18" t="s">
        <v>57</v>
      </c>
      <c r="B114" s="19">
        <v>27196957</v>
      </c>
      <c r="C114" s="20">
        <v>46049</v>
      </c>
      <c r="D114" s="18" t="s">
        <v>58</v>
      </c>
      <c r="E114" s="18" t="s">
        <v>59</v>
      </c>
      <c r="F114" s="18" t="s">
        <v>60</v>
      </c>
      <c r="G114" s="18">
        <v>13278</v>
      </c>
      <c r="H114" s="18">
        <f>_xlfn.XLOOKUP(L114,'[1]2026 Mapping v3'!A:A,'[1]2026 Mapping v3'!F:F,0,0)</f>
        <v>68</v>
      </c>
      <c r="I114" s="18" t="b">
        <v>0</v>
      </c>
      <c r="J114" s="18" t="s">
        <v>406</v>
      </c>
      <c r="K114" s="21" t="s">
        <v>1137</v>
      </c>
      <c r="L114" s="18" t="s">
        <v>431</v>
      </c>
      <c r="M114" s="18" t="s">
        <v>98</v>
      </c>
      <c r="N114" s="18" t="s">
        <v>64</v>
      </c>
      <c r="O114" s="18" t="s">
        <v>432</v>
      </c>
      <c r="Q114" s="23" t="s">
        <v>80</v>
      </c>
      <c r="R114" s="23">
        <v>5</v>
      </c>
      <c r="S114" s="24">
        <v>1000000</v>
      </c>
      <c r="T114" s="28">
        <v>16224</v>
      </c>
      <c r="U114" s="18" t="s">
        <v>67</v>
      </c>
      <c r="V114" s="18" t="s">
        <v>110</v>
      </c>
      <c r="W114" s="18" t="s">
        <v>69</v>
      </c>
      <c r="X114" s="20">
        <v>46032</v>
      </c>
      <c r="Y114" s="18" t="s">
        <v>433</v>
      </c>
      <c r="Z114" s="18" t="str">
        <f>_xlfn.XLOOKUP(Y114,'[1]Data Source'!A:A,'[1]Data Source'!E:E,"N/A",0)</f>
        <v>N/A</v>
      </c>
      <c r="AA114" s="18" t="s">
        <v>101</v>
      </c>
      <c r="AB114" s="18" t="s">
        <v>431</v>
      </c>
      <c r="AC114" s="18" t="str">
        <f>_xlfn.XLOOKUP(L114,'[1]2026 Mapping v3'!A:A,'[1]2026 Mapping v3'!B:B,"Error",0)</f>
        <v>Nairobi Central</v>
      </c>
      <c r="AD114" s="18" t="str">
        <f>_xlfn.XLOOKUP(L114,'[1]2026 Mapping v3'!A:A,'[1]2026 Mapping v3'!C:C,"Error",0)</f>
        <v>Zedekiah Mburu</v>
      </c>
      <c r="AE114" s="18" t="str">
        <f>_xlfn.XLOOKUP(L114,'[1]2026 Mapping v3'!A:A,'[1]2026 Mapping v3'!D:D,"Error",0)</f>
        <v>Zedekiah Mburu</v>
      </c>
      <c r="AF114" s="18" t="str">
        <f>_xlfn.XLOOKUP(L114,'[1]2026 Mapping v3'!A:A,'[1]2026 Mapping v3'!E:E,"Error",0)</f>
        <v>Bilha Wachira</v>
      </c>
      <c r="AS114" s="24">
        <v>16224</v>
      </c>
      <c r="AT114" s="24"/>
      <c r="AU114" s="24"/>
      <c r="AV114" s="24"/>
      <c r="AX114" s="29"/>
      <c r="BE114" s="24">
        <v>16224</v>
      </c>
    </row>
    <row r="115" spans="1:57">
      <c r="A115" s="18" t="s">
        <v>57</v>
      </c>
      <c r="B115" s="19">
        <v>27196957</v>
      </c>
      <c r="C115" s="20">
        <v>46049</v>
      </c>
      <c r="D115" s="18" t="s">
        <v>58</v>
      </c>
      <c r="E115" s="18" t="s">
        <v>59</v>
      </c>
      <c r="F115" s="18" t="s">
        <v>60</v>
      </c>
      <c r="G115" s="18">
        <v>15015</v>
      </c>
      <c r="H115" s="18">
        <f>_xlfn.XLOOKUP(L115,'[1]2026 Mapping v3'!A:A,'[1]2026 Mapping v3'!F:F,0,0)</f>
        <v>38</v>
      </c>
      <c r="I115" s="18" t="b">
        <v>0</v>
      </c>
      <c r="J115" s="18" t="s">
        <v>355</v>
      </c>
      <c r="K115" s="21" t="s">
        <v>1138</v>
      </c>
      <c r="L115" s="18" t="s">
        <v>78</v>
      </c>
      <c r="M115" s="18" t="s">
        <v>98</v>
      </c>
      <c r="N115" s="18" t="s">
        <v>64</v>
      </c>
      <c r="O115" s="18" t="s">
        <v>434</v>
      </c>
      <c r="Q115" s="23" t="s">
        <v>80</v>
      </c>
      <c r="R115" s="23">
        <v>5</v>
      </c>
      <c r="S115" s="24">
        <v>1260126</v>
      </c>
      <c r="T115" s="28">
        <v>200002</v>
      </c>
      <c r="U115" s="18" t="s">
        <v>67</v>
      </c>
      <c r="V115" s="18" t="s">
        <v>68</v>
      </c>
      <c r="W115" s="18" t="s">
        <v>69</v>
      </c>
      <c r="X115" s="20">
        <v>46042</v>
      </c>
      <c r="Y115" s="18" t="s">
        <v>435</v>
      </c>
      <c r="Z115" s="18" t="str">
        <f>_xlfn.XLOOKUP(Y115,'[1]Data Source'!A:A,'[1]Data Source'!E:E,"N/A",0)</f>
        <v>UB</v>
      </c>
      <c r="AA115" s="18" t="s">
        <v>436</v>
      </c>
      <c r="AB115" s="18" t="s">
        <v>83</v>
      </c>
      <c r="AC115" s="18" t="str">
        <f>_xlfn.XLOOKUP(L115,'[1]2026 Mapping v3'!A:A,'[1]2026 Mapping v3'!B:B,"Error",0)</f>
        <v>Western</v>
      </c>
      <c r="AD115" s="18" t="str">
        <f>_xlfn.XLOOKUP(L115,'[1]2026 Mapping v3'!A:A,'[1]2026 Mapping v3'!C:C,"Error",0)</f>
        <v>Wycliffe Oginga</v>
      </c>
      <c r="AE115" s="18" t="str">
        <f>_xlfn.XLOOKUP(L115,'[1]2026 Mapping v3'!A:A,'[1]2026 Mapping v3'!D:D,"Error",0)</f>
        <v>Sheila Adhiambo</v>
      </c>
      <c r="AF115" s="18" t="str">
        <f>_xlfn.XLOOKUP(L115,'[1]2026 Mapping v3'!A:A,'[1]2026 Mapping v3'!E:E,"Error",0)</f>
        <v>Eric Njiru</v>
      </c>
      <c r="AS115" s="24">
        <v>200002</v>
      </c>
      <c r="AT115" s="24"/>
      <c r="AU115" s="24"/>
      <c r="AV115" s="24"/>
      <c r="AX115" s="29"/>
      <c r="BE115" s="24">
        <v>200002</v>
      </c>
    </row>
    <row r="116" spans="1:57">
      <c r="A116" s="18" t="s">
        <v>57</v>
      </c>
      <c r="B116" s="19">
        <v>27196957</v>
      </c>
      <c r="C116" s="20">
        <v>46049</v>
      </c>
      <c r="D116" s="18" t="s">
        <v>58</v>
      </c>
      <c r="E116" s="18" t="s">
        <v>59</v>
      </c>
      <c r="F116" s="18" t="s">
        <v>60</v>
      </c>
      <c r="G116" s="18">
        <v>14666</v>
      </c>
      <c r="H116" s="18">
        <f>_xlfn.XLOOKUP(L116,'[1]2026 Mapping v3'!A:A,'[1]2026 Mapping v3'!F:F,0,0)</f>
        <v>61</v>
      </c>
      <c r="I116" s="18" t="b">
        <v>0</v>
      </c>
      <c r="J116" s="18" t="s">
        <v>437</v>
      </c>
      <c r="K116" s="21" t="s">
        <v>1139</v>
      </c>
      <c r="L116" s="18" t="s">
        <v>438</v>
      </c>
      <c r="M116" s="18" t="s">
        <v>98</v>
      </c>
      <c r="N116" s="18" t="s">
        <v>64</v>
      </c>
      <c r="O116" s="18" t="s">
        <v>439</v>
      </c>
      <c r="Q116" s="23" t="s">
        <v>80</v>
      </c>
      <c r="R116" s="23">
        <v>10</v>
      </c>
      <c r="S116" s="24">
        <v>2550000</v>
      </c>
      <c r="T116" s="28">
        <v>211023</v>
      </c>
      <c r="U116" s="18" t="s">
        <v>67</v>
      </c>
      <c r="V116" s="18" t="s">
        <v>68</v>
      </c>
      <c r="W116" s="18" t="s">
        <v>69</v>
      </c>
      <c r="X116" s="20">
        <v>46032</v>
      </c>
      <c r="Y116" s="18" t="s">
        <v>440</v>
      </c>
      <c r="Z116" s="18" t="str">
        <f>_xlfn.XLOOKUP(Y116,'[1]Data Source'!A:A,'[1]Data Source'!E:E,"N/A",0)</f>
        <v>UB</v>
      </c>
      <c r="AA116" s="18" t="s">
        <v>441</v>
      </c>
      <c r="AB116" s="18" t="s">
        <v>438</v>
      </c>
      <c r="AC116" s="18" t="str">
        <f>_xlfn.XLOOKUP(L116,'[1]2026 Mapping v3'!A:A,'[1]2026 Mapping v3'!B:B,"Error",0)</f>
        <v>Mt. Kenya</v>
      </c>
      <c r="AD116" s="18" t="str">
        <f>_xlfn.XLOOKUP(L116,'[1]2026 Mapping v3'!A:A,'[1]2026 Mapping v3'!C:C,"Error",0)</f>
        <v>Morgan Mwangi</v>
      </c>
      <c r="AE116" s="18" t="str">
        <f>_xlfn.XLOOKUP(L116,'[1]2026 Mapping v3'!A:A,'[1]2026 Mapping v3'!D:D,"Error",0)</f>
        <v>Paul Kithuka</v>
      </c>
      <c r="AF116" s="18" t="str">
        <f>_xlfn.XLOOKUP(L116,'[1]2026 Mapping v3'!A:A,'[1]2026 Mapping v3'!E:E,"Error",0)</f>
        <v>Simon Maingi</v>
      </c>
      <c r="AS116" s="24">
        <v>211023</v>
      </c>
      <c r="AT116" s="24"/>
      <c r="AU116" s="24"/>
      <c r="AV116" s="24"/>
      <c r="AX116" s="29"/>
      <c r="BE116" s="24">
        <v>211023</v>
      </c>
    </row>
    <row r="117" spans="1:57">
      <c r="A117" s="18" t="s">
        <v>57</v>
      </c>
      <c r="B117" s="19">
        <v>27196957</v>
      </c>
      <c r="C117" s="20">
        <v>46049</v>
      </c>
      <c r="D117" s="18" t="s">
        <v>58</v>
      </c>
      <c r="E117" s="18" t="s">
        <v>59</v>
      </c>
      <c r="F117" s="18" t="s">
        <v>60</v>
      </c>
      <c r="G117" s="18">
        <v>19241</v>
      </c>
      <c r="H117" s="18">
        <f>_xlfn.XLOOKUP(L117,'[1]2026 Mapping v3'!A:A,'[1]2026 Mapping v3'!F:F,0,0)</f>
        <v>105</v>
      </c>
      <c r="I117" s="18" t="b">
        <v>0</v>
      </c>
      <c r="J117" s="18" t="s">
        <v>442</v>
      </c>
      <c r="K117" s="21" t="s">
        <v>1140</v>
      </c>
      <c r="L117" s="18" t="s">
        <v>427</v>
      </c>
      <c r="M117" s="18" t="s">
        <v>98</v>
      </c>
      <c r="N117" s="18" t="s">
        <v>64</v>
      </c>
      <c r="O117" s="18" t="s">
        <v>443</v>
      </c>
      <c r="Q117" s="23" t="s">
        <v>80</v>
      </c>
      <c r="R117" s="23">
        <v>5</v>
      </c>
      <c r="S117" s="24">
        <v>10000000</v>
      </c>
      <c r="T117" s="28">
        <v>1588980</v>
      </c>
      <c r="U117" s="18" t="s">
        <v>67</v>
      </c>
      <c r="V117" s="18" t="s">
        <v>68</v>
      </c>
      <c r="W117" s="18" t="s">
        <v>69</v>
      </c>
      <c r="X117" s="20">
        <v>46050</v>
      </c>
      <c r="Y117" s="18" t="s">
        <v>429</v>
      </c>
      <c r="Z117" s="18" t="str">
        <f>_xlfn.XLOOKUP(Y117,'[1]Data Source'!A:A,'[1]Data Source'!E:E,"N/A",0)</f>
        <v>RM</v>
      </c>
      <c r="AA117" s="18" t="s">
        <v>430</v>
      </c>
      <c r="AB117" s="18" t="s">
        <v>427</v>
      </c>
      <c r="AC117" s="18" t="str">
        <f>_xlfn.XLOOKUP(L117,'[1]2026 Mapping v3'!A:A,'[1]2026 Mapping v3'!B:B,"Error",0)</f>
        <v>Premier</v>
      </c>
      <c r="AD117" s="18" t="str">
        <f>_xlfn.XLOOKUP(L117,'[1]2026 Mapping v3'!A:A,'[1]2026 Mapping v3'!C:C,"Error",0)</f>
        <v>Joseph Kairu</v>
      </c>
      <c r="AE117" s="18" t="str">
        <f>_xlfn.XLOOKUP(L117,'[1]2026 Mapping v3'!A:A,'[1]2026 Mapping v3'!D:D,"Error",0)</f>
        <v>Joseph Kairu</v>
      </c>
      <c r="AF117" s="18" t="str">
        <f>_xlfn.XLOOKUP(L117,'[1]2026 Mapping v3'!A:A,'[1]2026 Mapping v3'!E:E,"Error",0)</f>
        <v>Debrah Rashid</v>
      </c>
      <c r="AS117" s="24">
        <v>1588980</v>
      </c>
      <c r="AT117" s="24"/>
      <c r="AU117" s="24"/>
      <c r="AV117" s="24"/>
      <c r="AX117" s="29"/>
      <c r="BE117" s="24">
        <v>1588980</v>
      </c>
    </row>
    <row r="118" spans="1:57">
      <c r="A118" s="18" t="s">
        <v>57</v>
      </c>
      <c r="B118" s="19">
        <v>27196957</v>
      </c>
      <c r="C118" s="20">
        <v>46049</v>
      </c>
      <c r="D118" s="18" t="s">
        <v>58</v>
      </c>
      <c r="E118" s="18" t="s">
        <v>59</v>
      </c>
      <c r="F118" s="18" t="s">
        <v>60</v>
      </c>
      <c r="G118" s="18">
        <v>19243</v>
      </c>
      <c r="H118" s="18">
        <f>_xlfn.XLOOKUP(L118,'[1]2026 Mapping v3'!A:A,'[1]2026 Mapping v3'!F:F,0,0)</f>
        <v>105</v>
      </c>
      <c r="I118" s="18" t="b">
        <v>0</v>
      </c>
      <c r="J118" s="18" t="s">
        <v>444</v>
      </c>
      <c r="K118" s="21" t="s">
        <v>1141</v>
      </c>
      <c r="L118" s="18" t="s">
        <v>427</v>
      </c>
      <c r="M118" s="18" t="s">
        <v>98</v>
      </c>
      <c r="N118" s="18" t="s">
        <v>64</v>
      </c>
      <c r="O118" s="18" t="s">
        <v>445</v>
      </c>
      <c r="Q118" s="23" t="s">
        <v>80</v>
      </c>
      <c r="R118" s="23">
        <v>10</v>
      </c>
      <c r="S118" s="24">
        <v>15000000</v>
      </c>
      <c r="T118" s="28">
        <v>1244068</v>
      </c>
      <c r="U118" s="18" t="s">
        <v>67</v>
      </c>
      <c r="V118" s="18" t="s">
        <v>68</v>
      </c>
      <c r="W118" s="18" t="s">
        <v>69</v>
      </c>
      <c r="X118" s="20">
        <v>46050</v>
      </c>
      <c r="Y118" s="18" t="s">
        <v>429</v>
      </c>
      <c r="Z118" s="18" t="str">
        <f>_xlfn.XLOOKUP(Y118,'[1]Data Source'!A:A,'[1]Data Source'!E:E,"N/A",0)</f>
        <v>RM</v>
      </c>
      <c r="AA118" s="18" t="s">
        <v>430</v>
      </c>
      <c r="AB118" s="18" t="s">
        <v>427</v>
      </c>
      <c r="AC118" s="18" t="str">
        <f>_xlfn.XLOOKUP(L118,'[1]2026 Mapping v3'!A:A,'[1]2026 Mapping v3'!B:B,"Error",0)</f>
        <v>Premier</v>
      </c>
      <c r="AD118" s="18" t="str">
        <f>_xlfn.XLOOKUP(L118,'[1]2026 Mapping v3'!A:A,'[1]2026 Mapping v3'!C:C,"Error",0)</f>
        <v>Joseph Kairu</v>
      </c>
      <c r="AE118" s="18" t="str">
        <f>_xlfn.XLOOKUP(L118,'[1]2026 Mapping v3'!A:A,'[1]2026 Mapping v3'!D:D,"Error",0)</f>
        <v>Joseph Kairu</v>
      </c>
      <c r="AF118" s="18" t="str">
        <f>_xlfn.XLOOKUP(L118,'[1]2026 Mapping v3'!A:A,'[1]2026 Mapping v3'!E:E,"Error",0)</f>
        <v>Debrah Rashid</v>
      </c>
      <c r="AS118" s="24">
        <v>1244068</v>
      </c>
      <c r="AT118" s="24"/>
      <c r="AU118" s="24"/>
      <c r="AV118" s="24"/>
      <c r="AX118" s="29"/>
      <c r="BE118" s="24">
        <v>1244068</v>
      </c>
    </row>
    <row r="119" spans="1:57">
      <c r="A119" s="18" t="s">
        <v>57</v>
      </c>
      <c r="B119" s="19">
        <v>27196957</v>
      </c>
      <c r="C119" s="20">
        <v>46049</v>
      </c>
      <c r="D119" s="18" t="s">
        <v>58</v>
      </c>
      <c r="E119" s="18" t="s">
        <v>59</v>
      </c>
      <c r="F119" s="18" t="s">
        <v>60</v>
      </c>
      <c r="G119" s="18">
        <v>19222</v>
      </c>
      <c r="H119" s="18">
        <f>_xlfn.XLOOKUP(L119,'[1]2026 Mapping v3'!A:A,'[1]2026 Mapping v3'!F:F,0,0)</f>
        <v>3</v>
      </c>
      <c r="I119" s="18" t="b">
        <v>0</v>
      </c>
      <c r="J119" s="18" t="s">
        <v>446</v>
      </c>
      <c r="K119" s="21" t="s">
        <v>1142</v>
      </c>
      <c r="L119" s="18" t="s">
        <v>447</v>
      </c>
      <c r="M119" s="18" t="s">
        <v>98</v>
      </c>
      <c r="N119" s="18" t="s">
        <v>64</v>
      </c>
      <c r="O119" s="18" t="s">
        <v>448</v>
      </c>
      <c r="Q119" s="23" t="s">
        <v>80</v>
      </c>
      <c r="R119" s="23">
        <v>5</v>
      </c>
      <c r="S119" s="24">
        <v>1000000</v>
      </c>
      <c r="T119" s="28">
        <v>158903</v>
      </c>
      <c r="U119" s="18" t="s">
        <v>67</v>
      </c>
      <c r="V119" s="18" t="s">
        <v>68</v>
      </c>
      <c r="W119" s="18" t="s">
        <v>69</v>
      </c>
      <c r="X119" s="20">
        <v>46046</v>
      </c>
      <c r="Y119" s="18" t="s">
        <v>449</v>
      </c>
      <c r="Z119" s="18" t="str">
        <f>_xlfn.XLOOKUP(Y119,'[1]Data Source'!A:A,'[1]Data Source'!E:E,"N/A",0)</f>
        <v>LG</v>
      </c>
      <c r="AA119" s="18" t="s">
        <v>450</v>
      </c>
      <c r="AB119" s="18" t="s">
        <v>447</v>
      </c>
      <c r="AC119" s="18" t="str">
        <f>_xlfn.XLOOKUP(L119,'[1]2026 Mapping v3'!A:A,'[1]2026 Mapping v3'!B:B,"Error",0)</f>
        <v>Nairobi West</v>
      </c>
      <c r="AD119" s="18" t="str">
        <f>_xlfn.XLOOKUP(L119,'[1]2026 Mapping v3'!A:A,'[1]2026 Mapping v3'!C:C,"Error",0)</f>
        <v>Valentine Musyoka</v>
      </c>
      <c r="AE119" s="18" t="str">
        <f>_xlfn.XLOOKUP(L119,'[1]2026 Mapping v3'!A:A,'[1]2026 Mapping v3'!D:D,"Error",0)</f>
        <v>Ancetar Mulili</v>
      </c>
      <c r="AF119" s="18" t="str">
        <f>_xlfn.XLOOKUP(L119,'[1]2026 Mapping v3'!A:A,'[1]2026 Mapping v3'!E:E,"Error",0)</f>
        <v>Bilha Wachira</v>
      </c>
      <c r="AS119" s="24">
        <v>158903</v>
      </c>
      <c r="AT119" s="24"/>
      <c r="AU119" s="24"/>
      <c r="AV119" s="24"/>
      <c r="AX119" s="29"/>
      <c r="BE119" s="24">
        <v>158903</v>
      </c>
    </row>
    <row r="120" spans="1:57">
      <c r="A120" s="18" t="s">
        <v>128</v>
      </c>
      <c r="B120" s="19">
        <v>27196957</v>
      </c>
      <c r="C120" s="20">
        <v>46049</v>
      </c>
      <c r="D120" s="18" t="s">
        <v>58</v>
      </c>
      <c r="E120" s="18" t="s">
        <v>59</v>
      </c>
      <c r="F120" s="18" t="s">
        <v>60</v>
      </c>
      <c r="G120" s="18">
        <v>4958</v>
      </c>
      <c r="H120" s="18">
        <f>_xlfn.XLOOKUP(L120,'[1]2026 Mapping v3'!A:A,'[1]2026 Mapping v3'!F:F,0,0)</f>
        <v>12</v>
      </c>
      <c r="I120" s="18" t="b">
        <v>0</v>
      </c>
      <c r="J120" s="18" t="s">
        <v>276</v>
      </c>
      <c r="K120" s="21" t="s">
        <v>1143</v>
      </c>
      <c r="L120" s="18" t="str">
        <f>Y120</f>
        <v>HISA001</v>
      </c>
      <c r="M120" s="18" t="s">
        <v>98</v>
      </c>
      <c r="N120" s="18" t="s">
        <v>64</v>
      </c>
      <c r="O120" s="18" t="s">
        <v>451</v>
      </c>
      <c r="Q120" s="23" t="s">
        <v>80</v>
      </c>
      <c r="R120" s="23">
        <v>6</v>
      </c>
      <c r="S120" s="24">
        <v>6158410</v>
      </c>
      <c r="T120" s="28">
        <v>80103</v>
      </c>
      <c r="U120" s="18" t="s">
        <v>67</v>
      </c>
      <c r="V120" s="18" t="s">
        <v>110</v>
      </c>
      <c r="W120" s="18" t="s">
        <v>69</v>
      </c>
      <c r="X120" s="20">
        <v>46073</v>
      </c>
      <c r="Y120" s="18" t="s">
        <v>131</v>
      </c>
      <c r="Z120" s="18" t="str">
        <f>_xlfn.XLOOKUP(Y120,'[1]Data Source'!A:A,'[1]Data Source'!E:E,"N/A",0)</f>
        <v>ALAK</v>
      </c>
      <c r="AA120" s="18" t="s">
        <v>132</v>
      </c>
      <c r="AB120" s="18" t="str">
        <f>Y120</f>
        <v>HISA001</v>
      </c>
      <c r="AC120" s="18" t="str">
        <f>_xlfn.XLOOKUP(L120,'[1]2026 Mapping v3'!A:A,'[1]2026 Mapping v3'!B:B,"Error",0)</f>
        <v>Alternative Channels</v>
      </c>
      <c r="AD120" s="18" t="str">
        <f>_xlfn.XLOOKUP(L120,'[1]2026 Mapping v3'!A:A,'[1]2026 Mapping v3'!C:C,"Error",0)</f>
        <v>Eric Njiru</v>
      </c>
      <c r="AE120" s="18" t="str">
        <f>_xlfn.XLOOKUP(L120,'[1]2026 Mapping v3'!A:A,'[1]2026 Mapping v3'!D:D,"Error",0)</f>
        <v>Eric Njiru</v>
      </c>
      <c r="AF120" s="18" t="str">
        <f>_xlfn.XLOOKUP(L120,'[1]2026 Mapping v3'!A:A,'[1]2026 Mapping v3'!E:E,"Error",0)</f>
        <v>Eric Njiru</v>
      </c>
      <c r="AS120" s="24">
        <v>80103</v>
      </c>
      <c r="AT120" s="24"/>
      <c r="AU120" s="24"/>
      <c r="AV120" s="24"/>
      <c r="AX120" s="29"/>
      <c r="BE120" s="24">
        <v>80103</v>
      </c>
    </row>
    <row r="121" spans="1:57">
      <c r="A121" s="18" t="s">
        <v>57</v>
      </c>
      <c r="B121" s="19">
        <v>27196957</v>
      </c>
      <c r="C121" s="20">
        <v>46049</v>
      </c>
      <c r="D121" s="18" t="s">
        <v>58</v>
      </c>
      <c r="E121" s="18" t="s">
        <v>59</v>
      </c>
      <c r="F121" s="18" t="s">
        <v>60</v>
      </c>
      <c r="G121" s="18">
        <v>10246</v>
      </c>
      <c r="H121" s="18">
        <f>_xlfn.XLOOKUP(L121,'[1]2026 Mapping v3'!A:A,'[1]2026 Mapping v3'!F:F,0,0)</f>
        <v>64</v>
      </c>
      <c r="I121" s="18" t="b">
        <v>0</v>
      </c>
      <c r="J121" s="18" t="s">
        <v>452</v>
      </c>
      <c r="K121" s="21" t="s">
        <v>1144</v>
      </c>
      <c r="L121" s="18" t="s">
        <v>416</v>
      </c>
      <c r="M121" s="18" t="s">
        <v>63</v>
      </c>
      <c r="N121" s="18" t="s">
        <v>64</v>
      </c>
      <c r="O121" s="18" t="s">
        <v>453</v>
      </c>
      <c r="Q121" s="23" t="s">
        <v>80</v>
      </c>
      <c r="R121" s="23">
        <v>11</v>
      </c>
      <c r="S121" s="24">
        <v>416670</v>
      </c>
      <c r="T121" s="28">
        <v>3000</v>
      </c>
      <c r="U121" s="18" t="s">
        <v>67</v>
      </c>
      <c r="V121" s="18" t="s">
        <v>110</v>
      </c>
      <c r="W121" s="18" t="s">
        <v>69</v>
      </c>
      <c r="X121" s="20">
        <v>46058</v>
      </c>
      <c r="Y121" s="18" t="s">
        <v>418</v>
      </c>
      <c r="Z121" s="18" t="str">
        <f>_xlfn.XLOOKUP(Y121,'[1]Data Source'!A:A,'[1]Data Source'!E:E,"N/A",0)</f>
        <v>N/A</v>
      </c>
      <c r="AA121" s="18" t="s">
        <v>101</v>
      </c>
      <c r="AB121" s="18" t="s">
        <v>416</v>
      </c>
      <c r="AC121" s="18" t="str">
        <f>_xlfn.XLOOKUP(L121,'[1]2026 Mapping v3'!A:A,'[1]2026 Mapping v3'!B:B,"Error",0)</f>
        <v>Coast</v>
      </c>
      <c r="AD121" s="18" t="str">
        <f>_xlfn.XLOOKUP(L121,'[1]2026 Mapping v3'!A:A,'[1]2026 Mapping v3'!C:C,"Error",0)</f>
        <v>Nancy Logose</v>
      </c>
      <c r="AE121" s="18" t="str">
        <f>_xlfn.XLOOKUP(L121,'[1]2026 Mapping v3'!A:A,'[1]2026 Mapping v3'!D:D,"Error",0)</f>
        <v>Brian Khamadi</v>
      </c>
      <c r="AF121" s="18" t="str">
        <f>_xlfn.XLOOKUP(L121,'[1]2026 Mapping v3'!A:A,'[1]2026 Mapping v3'!E:E,"Error",0)</f>
        <v>Eric Njiru</v>
      </c>
      <c r="AS121" s="24">
        <v>3000</v>
      </c>
      <c r="AT121" s="24"/>
      <c r="AU121" s="24"/>
      <c r="AV121" s="24"/>
      <c r="AX121" s="29"/>
      <c r="BE121" s="24">
        <v>3000</v>
      </c>
    </row>
    <row r="122" spans="1:57">
      <c r="A122" s="18" t="s">
        <v>57</v>
      </c>
      <c r="B122" s="19">
        <v>27196957</v>
      </c>
      <c r="C122" s="20">
        <v>46049</v>
      </c>
      <c r="D122" s="18" t="s">
        <v>58</v>
      </c>
      <c r="E122" s="18" t="s">
        <v>59</v>
      </c>
      <c r="F122" s="18" t="s">
        <v>60</v>
      </c>
      <c r="G122" s="18">
        <v>7205</v>
      </c>
      <c r="H122" s="18">
        <f>_xlfn.XLOOKUP(L122,'[1]2026 Mapping v3'!A:A,'[1]2026 Mapping v3'!F:F,0,0)</f>
        <v>66</v>
      </c>
      <c r="I122" s="18" t="b">
        <v>0</v>
      </c>
      <c r="J122" s="18" t="s">
        <v>454</v>
      </c>
      <c r="K122" s="21" t="s">
        <v>1145</v>
      </c>
      <c r="L122" s="18" t="s">
        <v>455</v>
      </c>
      <c r="M122" s="18" t="s">
        <v>63</v>
      </c>
      <c r="N122" s="18" t="s">
        <v>64</v>
      </c>
      <c r="O122" s="18" t="s">
        <v>456</v>
      </c>
      <c r="Q122" s="23" t="s">
        <v>80</v>
      </c>
      <c r="R122" s="23">
        <v>6</v>
      </c>
      <c r="S122" s="24">
        <v>1118068</v>
      </c>
      <c r="T122" s="28">
        <v>700000</v>
      </c>
      <c r="U122" s="18" t="s">
        <v>67</v>
      </c>
      <c r="V122" s="18" t="s">
        <v>158</v>
      </c>
      <c r="W122" s="18" t="s">
        <v>69</v>
      </c>
      <c r="X122" s="20">
        <v>46077</v>
      </c>
      <c r="Y122" s="18" t="s">
        <v>457</v>
      </c>
      <c r="Z122" s="18" t="str">
        <f>_xlfn.XLOOKUP(Y122,'[1]Data Source'!A:A,'[1]Data Source'!E:E,"N/A",0)</f>
        <v>UB</v>
      </c>
      <c r="AA122" s="18" t="s">
        <v>458</v>
      </c>
      <c r="AB122" s="18" t="s">
        <v>455</v>
      </c>
      <c r="AC122" s="18" t="str">
        <f>_xlfn.XLOOKUP(L122,'[1]2026 Mapping v3'!A:A,'[1]2026 Mapping v3'!B:B,"Error",0)</f>
        <v>Coast</v>
      </c>
      <c r="AD122" s="18" t="str">
        <f>_xlfn.XLOOKUP(L122,'[1]2026 Mapping v3'!A:A,'[1]2026 Mapping v3'!C:C,"Error",0)</f>
        <v>Brian Khamadi</v>
      </c>
      <c r="AE122" s="18" t="str">
        <f>_xlfn.XLOOKUP(L122,'[1]2026 Mapping v3'!A:A,'[1]2026 Mapping v3'!D:D,"Error",0)</f>
        <v>Brian Khamadi</v>
      </c>
      <c r="AF122" s="18" t="str">
        <f>_xlfn.XLOOKUP(L122,'[1]2026 Mapping v3'!A:A,'[1]2026 Mapping v3'!E:E,"Error",0)</f>
        <v>Eric Njiru</v>
      </c>
      <c r="AS122" s="24">
        <v>700000</v>
      </c>
      <c r="AT122" s="24"/>
      <c r="AU122" s="24"/>
      <c r="AV122" s="24"/>
      <c r="AX122" s="29"/>
      <c r="BE122" s="24">
        <v>700000</v>
      </c>
    </row>
    <row r="123" spans="1:57">
      <c r="A123" s="18" t="s">
        <v>57</v>
      </c>
      <c r="B123" s="19">
        <v>27196957</v>
      </c>
      <c r="C123" s="20">
        <v>46049</v>
      </c>
      <c r="D123" s="18" t="s">
        <v>58</v>
      </c>
      <c r="E123" s="18" t="s">
        <v>59</v>
      </c>
      <c r="F123" s="18" t="s">
        <v>60</v>
      </c>
      <c r="G123" s="18">
        <v>10695</v>
      </c>
      <c r="H123" s="18">
        <f>_xlfn.XLOOKUP(L123,'[1]2026 Mapping v3'!A:A,'[1]2026 Mapping v3'!F:F,0,0)</f>
        <v>71</v>
      </c>
      <c r="I123" s="18" t="b">
        <v>0</v>
      </c>
      <c r="J123" s="18" t="s">
        <v>459</v>
      </c>
      <c r="K123" s="21" t="s">
        <v>1146</v>
      </c>
      <c r="L123" s="18" t="s">
        <v>89</v>
      </c>
      <c r="M123" s="18" t="s">
        <v>63</v>
      </c>
      <c r="N123" s="18" t="s">
        <v>64</v>
      </c>
      <c r="O123" s="18" t="s">
        <v>460</v>
      </c>
      <c r="Q123" s="23" t="s">
        <v>80</v>
      </c>
      <c r="R123" s="23">
        <v>10</v>
      </c>
      <c r="S123" s="24">
        <v>392164</v>
      </c>
      <c r="T123" s="28">
        <v>3000</v>
      </c>
      <c r="U123" s="18" t="s">
        <v>67</v>
      </c>
      <c r="V123" s="18" t="s">
        <v>110</v>
      </c>
      <c r="W123" s="18" t="s">
        <v>69</v>
      </c>
      <c r="X123" s="20">
        <v>46050</v>
      </c>
      <c r="Y123" s="18" t="s">
        <v>461</v>
      </c>
      <c r="Z123" s="18" t="str">
        <f>_xlfn.XLOOKUP(Y123,'[1]Data Source'!A:A,'[1]Data Source'!E:E,"N/A",0)</f>
        <v>N/A</v>
      </c>
      <c r="AA123" s="18" t="s">
        <v>101</v>
      </c>
      <c r="AB123" s="18" t="s">
        <v>89</v>
      </c>
      <c r="AC123" s="18" t="str">
        <f>_xlfn.XLOOKUP(L123,'[1]2026 Mapping v3'!A:A,'[1]2026 Mapping v3'!B:B,"Error",0)</f>
        <v>Queensway</v>
      </c>
      <c r="AD123" s="18" t="str">
        <f>_xlfn.XLOOKUP(L123,'[1]2026 Mapping v3'!A:A,'[1]2026 Mapping v3'!C:C,"Error",0)</f>
        <v>Nina Kifani</v>
      </c>
      <c r="AE123" s="18" t="str">
        <f>_xlfn.XLOOKUP(L123,'[1]2026 Mapping v3'!A:A,'[1]2026 Mapping v3'!D:D,"Error",0)</f>
        <v>Nina Kifani</v>
      </c>
      <c r="AF123" s="18" t="str">
        <f>_xlfn.XLOOKUP(L123,'[1]2026 Mapping v3'!A:A,'[1]2026 Mapping v3'!E:E,"Error",0)</f>
        <v>Bilha Wachira</v>
      </c>
      <c r="AS123" s="24">
        <v>3000</v>
      </c>
      <c r="AT123" s="24"/>
      <c r="AU123" s="24"/>
      <c r="AV123" s="24"/>
      <c r="AX123" s="29"/>
      <c r="BE123" s="24">
        <v>3000</v>
      </c>
    </row>
    <row r="124" spans="1:57">
      <c r="A124" s="18" t="s">
        <v>150</v>
      </c>
      <c r="B124" s="19">
        <v>27196957</v>
      </c>
      <c r="C124" s="20">
        <v>46049</v>
      </c>
      <c r="D124" s="18" t="s">
        <v>58</v>
      </c>
      <c r="E124" s="18" t="s">
        <v>59</v>
      </c>
      <c r="F124" s="18" t="s">
        <v>60</v>
      </c>
      <c r="G124" s="18">
        <v>4565</v>
      </c>
      <c r="H124" s="18">
        <f>_xlfn.XLOOKUP(L124,'[1]2026 Mapping v3'!A:A,'[1]2026 Mapping v3'!F:F,0,0)</f>
        <v>107</v>
      </c>
      <c r="I124" s="18" t="b">
        <v>0</v>
      </c>
      <c r="J124" s="18" t="s">
        <v>338</v>
      </c>
      <c r="K124" s="21" t="s">
        <v>1147</v>
      </c>
      <c r="L124" s="18" t="s">
        <v>152</v>
      </c>
      <c r="M124" s="18" t="s">
        <v>63</v>
      </c>
      <c r="N124" s="18" t="s">
        <v>64</v>
      </c>
      <c r="Q124" s="23" t="s">
        <v>80</v>
      </c>
      <c r="R124" s="23">
        <v>10</v>
      </c>
      <c r="S124" s="24">
        <v>392156</v>
      </c>
      <c r="T124" s="28">
        <v>3000</v>
      </c>
      <c r="U124" s="18" t="s">
        <v>67</v>
      </c>
      <c r="V124" s="18" t="s">
        <v>110</v>
      </c>
      <c r="W124" s="18" t="s">
        <v>69</v>
      </c>
      <c r="X124" s="20">
        <v>46028</v>
      </c>
      <c r="Y124" s="18" t="s">
        <v>462</v>
      </c>
      <c r="Z124" s="18" t="str">
        <f>_xlfn.XLOOKUP(Y124,'[1]Data Source'!A:A,'[1]Data Source'!E:E,"N/A",0)</f>
        <v>N/A</v>
      </c>
      <c r="AA124" s="18" t="s">
        <v>101</v>
      </c>
      <c r="AB124" s="18" t="s">
        <v>154</v>
      </c>
      <c r="AC124" s="18" t="str">
        <f>_xlfn.XLOOKUP(L124,'[1]2026 Mapping v3'!A:A,'[1]2026 Mapping v3'!B:B,"Error",0)</f>
        <v>Alternative Channels</v>
      </c>
      <c r="AD124" s="18" t="str">
        <f>_xlfn.XLOOKUP(L124,'[1]2026 Mapping v3'!A:A,'[1]2026 Mapping v3'!C:C,"Error",0)</f>
        <v>Selestine Magayu</v>
      </c>
      <c r="AE124" s="18" t="str">
        <f>_xlfn.XLOOKUP(L124,'[1]2026 Mapping v3'!A:A,'[1]2026 Mapping v3'!D:D,"Error",0)</f>
        <v>Joel Mbogo</v>
      </c>
      <c r="AF124" s="18" t="str">
        <f>_xlfn.XLOOKUP(L124,'[1]2026 Mapping v3'!A:A,'[1]2026 Mapping v3'!E:E,"Error",0)</f>
        <v>Eric Njiru</v>
      </c>
      <c r="AS124" s="24">
        <v>3000</v>
      </c>
      <c r="AT124" s="24"/>
      <c r="AU124" s="24"/>
      <c r="AV124" s="24"/>
      <c r="AX124" s="29"/>
      <c r="BE124" s="24">
        <v>3000</v>
      </c>
    </row>
    <row r="125" spans="1:57">
      <c r="A125" s="18" t="s">
        <v>57</v>
      </c>
      <c r="B125" s="19">
        <v>27196957</v>
      </c>
      <c r="C125" s="20">
        <v>46049</v>
      </c>
      <c r="D125" s="18" t="s">
        <v>58</v>
      </c>
      <c r="E125" s="18" t="s">
        <v>59</v>
      </c>
      <c r="F125" s="18" t="s">
        <v>60</v>
      </c>
      <c r="G125" s="18">
        <v>10747</v>
      </c>
      <c r="H125" s="18">
        <f>_xlfn.XLOOKUP(L125,'[1]2026 Mapping v3'!A:A,'[1]2026 Mapping v3'!F:F,0,0)</f>
        <v>125</v>
      </c>
      <c r="I125" s="18" t="b">
        <v>0</v>
      </c>
      <c r="J125" s="18" t="s">
        <v>463</v>
      </c>
      <c r="K125" s="21" t="s">
        <v>1148</v>
      </c>
      <c r="L125" s="18" t="s">
        <v>162</v>
      </c>
      <c r="M125" s="18" t="s">
        <v>98</v>
      </c>
      <c r="N125" s="18" t="s">
        <v>64</v>
      </c>
      <c r="O125" s="18" t="s">
        <v>464</v>
      </c>
      <c r="Q125" s="23" t="s">
        <v>80</v>
      </c>
      <c r="R125" s="23">
        <v>10</v>
      </c>
      <c r="S125" s="24">
        <v>2685330</v>
      </c>
      <c r="T125" s="28">
        <v>200002</v>
      </c>
      <c r="U125" s="18" t="s">
        <v>67</v>
      </c>
      <c r="V125" s="18" t="s">
        <v>68</v>
      </c>
      <c r="W125" s="18" t="s">
        <v>69</v>
      </c>
      <c r="X125" s="20">
        <v>46052</v>
      </c>
      <c r="Y125" s="18" t="s">
        <v>465</v>
      </c>
      <c r="Z125" s="18" t="str">
        <f>_xlfn.XLOOKUP(Y125,'[1]Data Source'!A:A,'[1]Data Source'!E:E,"N/A",0)</f>
        <v>N/A</v>
      </c>
      <c r="AA125" s="18" t="s">
        <v>101</v>
      </c>
      <c r="AB125" s="18" t="s">
        <v>162</v>
      </c>
      <c r="AC125" s="18" t="str">
        <f>_xlfn.XLOOKUP(L125,'[1]2026 Mapping v3'!A:A,'[1]2026 Mapping v3'!B:B,"Error",0)</f>
        <v>Rift Valley</v>
      </c>
      <c r="AD125" s="18" t="str">
        <f>_xlfn.XLOOKUP(L125,'[1]2026 Mapping v3'!A:A,'[1]2026 Mapping v3'!C:C,"Error",0)</f>
        <v>Emily Jepchirchir</v>
      </c>
      <c r="AE125" s="18" t="str">
        <f>_xlfn.XLOOKUP(L125,'[1]2026 Mapping v3'!A:A,'[1]2026 Mapping v3'!D:D,"Error",0)</f>
        <v>Emily Jepchirchir</v>
      </c>
      <c r="AF125" s="18" t="str">
        <f>_xlfn.XLOOKUP(L125,'[1]2026 Mapping v3'!A:A,'[1]2026 Mapping v3'!E:E,"Error",0)</f>
        <v>Emily Jepchirchir</v>
      </c>
      <c r="AS125" s="24">
        <v>200002</v>
      </c>
      <c r="AT125" s="24"/>
      <c r="AU125" s="24"/>
      <c r="AV125" s="24"/>
      <c r="AX125" s="29"/>
      <c r="BE125" s="24">
        <v>200002</v>
      </c>
    </row>
    <row r="126" spans="1:57">
      <c r="A126" s="18" t="s">
        <v>113</v>
      </c>
      <c r="B126" s="19">
        <v>27196957</v>
      </c>
      <c r="C126" s="20">
        <v>46049</v>
      </c>
      <c r="D126" s="18" t="s">
        <v>58</v>
      </c>
      <c r="E126" s="18" t="s">
        <v>59</v>
      </c>
      <c r="F126" s="18" t="s">
        <v>60</v>
      </c>
      <c r="G126" s="18" t="s">
        <v>146</v>
      </c>
      <c r="H126" s="18">
        <f>_xlfn.XLOOKUP(L126,'[1]2026 Mapping v3'!A:A,'[1]2026 Mapping v3'!F:F,0,0)</f>
        <v>94</v>
      </c>
      <c r="I126" s="18" t="b">
        <v>0</v>
      </c>
      <c r="J126" s="18" t="s">
        <v>466</v>
      </c>
      <c r="K126" s="21" t="s">
        <v>1149</v>
      </c>
      <c r="L126" s="18" t="s">
        <v>467</v>
      </c>
      <c r="M126" s="18" t="s">
        <v>63</v>
      </c>
      <c r="N126" s="18" t="s">
        <v>64</v>
      </c>
      <c r="Q126" s="23" t="s">
        <v>80</v>
      </c>
      <c r="R126" s="23">
        <v>10</v>
      </c>
      <c r="S126" s="24">
        <v>130720</v>
      </c>
      <c r="T126" s="28">
        <v>1000.05</v>
      </c>
      <c r="U126" s="18" t="s">
        <v>67</v>
      </c>
      <c r="V126" s="18" t="s">
        <v>110</v>
      </c>
      <c r="W126" s="18" t="s">
        <v>69</v>
      </c>
      <c r="X126" s="20">
        <v>46052</v>
      </c>
      <c r="Y126" s="18" t="s">
        <v>468</v>
      </c>
      <c r="Z126" s="18" t="str">
        <f>_xlfn.XLOOKUP(Y126,'[1]Data Source'!A:A,'[1]Data Source'!E:E,"N/A",0)</f>
        <v>UB</v>
      </c>
      <c r="AA126" s="18" t="s">
        <v>469</v>
      </c>
      <c r="AB126" s="18" t="s">
        <v>467</v>
      </c>
      <c r="AC126" s="18" t="str">
        <f>_xlfn.XLOOKUP(L126,'[1]2026 Mapping v3'!A:A,'[1]2026 Mapping v3'!B:B,"Error",0)</f>
        <v>Western</v>
      </c>
      <c r="AD126" s="18" t="str">
        <f>_xlfn.XLOOKUP(L126,'[1]2026 Mapping v3'!A:A,'[1]2026 Mapping v3'!C:C,"Error",0)</f>
        <v>Sheila Adhiambo</v>
      </c>
      <c r="AE126" s="18" t="str">
        <f>_xlfn.XLOOKUP(L126,'[1]2026 Mapping v3'!A:A,'[1]2026 Mapping v3'!D:D,"Error",0)</f>
        <v>Sheila Adhiambo</v>
      </c>
      <c r="AF126" s="18" t="str">
        <f>_xlfn.XLOOKUP(L126,'[1]2026 Mapping v3'!A:A,'[1]2026 Mapping v3'!E:E,"Error",0)</f>
        <v>Eric Njiru</v>
      </c>
      <c r="AS126" s="24">
        <v>1000.05</v>
      </c>
      <c r="AT126" s="24"/>
      <c r="AU126" s="24"/>
      <c r="AV126" s="24"/>
      <c r="AX126" s="29"/>
      <c r="BE126" s="24">
        <v>1000.05</v>
      </c>
    </row>
    <row r="127" spans="1:57">
      <c r="A127" s="18" t="s">
        <v>128</v>
      </c>
      <c r="B127" s="19">
        <v>27196957</v>
      </c>
      <c r="C127" s="20">
        <v>46049</v>
      </c>
      <c r="D127" s="18" t="s">
        <v>58</v>
      </c>
      <c r="E127" s="18" t="s">
        <v>59</v>
      </c>
      <c r="F127" s="18" t="s">
        <v>60</v>
      </c>
      <c r="G127" s="18">
        <v>4706</v>
      </c>
      <c r="H127" s="18">
        <f>_xlfn.XLOOKUP(L127,'[1]2026 Mapping v3'!A:A,'[1]2026 Mapping v3'!F:F,0,0)</f>
        <v>12</v>
      </c>
      <c r="I127" s="18" t="b">
        <v>0</v>
      </c>
      <c r="J127" s="18" t="s">
        <v>470</v>
      </c>
      <c r="K127" s="21" t="s">
        <v>1150</v>
      </c>
      <c r="L127" s="18" t="str">
        <f>Y127</f>
        <v>HISA0096</v>
      </c>
      <c r="M127" s="18" t="s">
        <v>98</v>
      </c>
      <c r="N127" s="18" t="s">
        <v>64</v>
      </c>
      <c r="O127" s="18" t="s">
        <v>471</v>
      </c>
      <c r="Q127" s="23" t="s">
        <v>80</v>
      </c>
      <c r="R127" s="23">
        <v>12</v>
      </c>
      <c r="S127" s="24">
        <v>1640341</v>
      </c>
      <c r="T127" s="28">
        <v>10028</v>
      </c>
      <c r="U127" s="18" t="s">
        <v>67</v>
      </c>
      <c r="V127" s="18" t="s">
        <v>110</v>
      </c>
      <c r="W127" s="18" t="s">
        <v>69</v>
      </c>
      <c r="X127" s="20">
        <v>46032</v>
      </c>
      <c r="Y127" s="18" t="s">
        <v>472</v>
      </c>
      <c r="Z127" s="18" t="str">
        <f>_xlfn.XLOOKUP(Y127,'[1]Data Source'!A:A,'[1]Data Source'!E:E,"N/A",0)</f>
        <v>ALAK</v>
      </c>
      <c r="AA127" s="18" t="s">
        <v>101</v>
      </c>
      <c r="AB127" s="18" t="str">
        <f>Y127</f>
        <v>HISA0096</v>
      </c>
      <c r="AC127" s="18" t="str">
        <f>_xlfn.XLOOKUP(L127,'[1]2026 Mapping v3'!A:A,'[1]2026 Mapping v3'!B:B,"Error",0)</f>
        <v>Alternative Channels</v>
      </c>
      <c r="AD127" s="18" t="str">
        <f>_xlfn.XLOOKUP(L127,'[1]2026 Mapping v3'!A:A,'[1]2026 Mapping v3'!C:C,"Error",0)</f>
        <v>Selestine Magayu</v>
      </c>
      <c r="AE127" s="18" t="str">
        <f>_xlfn.XLOOKUP(L127,'[1]2026 Mapping v3'!A:A,'[1]2026 Mapping v3'!D:D,"Error",0)</f>
        <v>Eric Njiru</v>
      </c>
      <c r="AF127" s="18" t="str">
        <f>_xlfn.XLOOKUP(L127,'[1]2026 Mapping v3'!A:A,'[1]2026 Mapping v3'!E:E,"Error",0)</f>
        <v>Eric Njiru</v>
      </c>
      <c r="AS127" s="24">
        <v>10028</v>
      </c>
      <c r="AT127" s="24"/>
      <c r="AU127" s="24"/>
      <c r="AV127" s="24"/>
      <c r="AX127" s="29"/>
      <c r="BE127" s="24">
        <v>10028</v>
      </c>
    </row>
    <row r="128" spans="1:57">
      <c r="A128" s="18" t="s">
        <v>57</v>
      </c>
      <c r="B128" s="19">
        <v>27196957</v>
      </c>
      <c r="C128" s="20">
        <v>46050</v>
      </c>
      <c r="D128" s="18" t="s">
        <v>58</v>
      </c>
      <c r="E128" s="18" t="s">
        <v>59</v>
      </c>
      <c r="F128" s="18" t="s">
        <v>60</v>
      </c>
      <c r="G128" s="18">
        <v>16565</v>
      </c>
      <c r="H128" s="18">
        <f>_xlfn.XLOOKUP(L128,'[1]2026 Mapping v3'!A:A,'[1]2026 Mapping v3'!F:F,0,0)</f>
        <v>2</v>
      </c>
      <c r="I128" s="18" t="b">
        <v>0</v>
      </c>
      <c r="J128" s="18" t="s">
        <v>140</v>
      </c>
      <c r="K128" s="21" t="s">
        <v>1151</v>
      </c>
      <c r="L128" s="18" t="s">
        <v>377</v>
      </c>
      <c r="M128" s="18" t="s">
        <v>98</v>
      </c>
      <c r="N128" s="18" t="s">
        <v>64</v>
      </c>
      <c r="O128" s="18" t="s">
        <v>473</v>
      </c>
      <c r="Q128" s="23" t="s">
        <v>80</v>
      </c>
      <c r="R128" s="23">
        <v>5</v>
      </c>
      <c r="S128" s="24">
        <v>2000000</v>
      </c>
      <c r="T128" s="28">
        <v>317438</v>
      </c>
      <c r="U128" s="18" t="s">
        <v>67</v>
      </c>
      <c r="V128" s="18" t="s">
        <v>68</v>
      </c>
      <c r="W128" s="18" t="s">
        <v>69</v>
      </c>
      <c r="X128" s="20">
        <v>46050</v>
      </c>
      <c r="Y128" s="18" t="s">
        <v>391</v>
      </c>
      <c r="Z128" s="18" t="str">
        <f>_xlfn.XLOOKUP(Y128,'[1]Data Source'!A:A,'[1]Data Source'!E:E,"N/A",0)</f>
        <v>LG</v>
      </c>
      <c r="AA128" s="18" t="s">
        <v>392</v>
      </c>
      <c r="AB128" s="18" t="s">
        <v>377</v>
      </c>
      <c r="AC128" s="18" t="str">
        <f>_xlfn.XLOOKUP(L128,'[1]2026 Mapping v3'!A:A,'[1]2026 Mapping v3'!B:B,"Error",0)</f>
        <v>TMU</v>
      </c>
      <c r="AD128" s="18" t="str">
        <f>_xlfn.XLOOKUP(L128,'[1]2026 Mapping v3'!A:A,'[1]2026 Mapping v3'!C:C,"Error",0)</f>
        <v>Simon Wambua</v>
      </c>
      <c r="AE128" s="18" t="str">
        <f>_xlfn.XLOOKUP(L128,'[1]2026 Mapping v3'!A:A,'[1]2026 Mapping v3'!D:D,"Error",0)</f>
        <v>Joseph Kairu</v>
      </c>
      <c r="AF128" s="18" t="str">
        <f>_xlfn.XLOOKUP(L128,'[1]2026 Mapping v3'!A:A,'[1]2026 Mapping v3'!E:E,"Error",0)</f>
        <v>Debrah Rashid</v>
      </c>
      <c r="AS128" s="24">
        <v>317438</v>
      </c>
      <c r="AT128" s="24"/>
      <c r="AU128" s="24"/>
      <c r="AV128" s="24"/>
      <c r="AX128" s="29"/>
      <c r="BE128" s="24">
        <v>317438</v>
      </c>
    </row>
    <row r="129" spans="1:57">
      <c r="A129" s="18" t="s">
        <v>57</v>
      </c>
      <c r="B129" s="19">
        <v>27196957</v>
      </c>
      <c r="C129" s="20">
        <v>46050</v>
      </c>
      <c r="D129" s="18" t="s">
        <v>58</v>
      </c>
      <c r="E129" s="18" t="s">
        <v>59</v>
      </c>
      <c r="F129" s="18" t="s">
        <v>60</v>
      </c>
      <c r="G129" s="18">
        <v>216331</v>
      </c>
      <c r="H129" s="18">
        <f>_xlfn.XLOOKUP(L129,'[1]2026 Mapping v3'!A:A,'[1]2026 Mapping v3'!F:F,0,0)</f>
        <v>67</v>
      </c>
      <c r="I129" s="18" t="b">
        <v>0</v>
      </c>
      <c r="J129" s="18" t="s">
        <v>474</v>
      </c>
      <c r="K129" s="21" t="s">
        <v>1152</v>
      </c>
      <c r="L129" s="18" t="s">
        <v>475</v>
      </c>
      <c r="M129" s="18" t="s">
        <v>98</v>
      </c>
      <c r="N129" s="18" t="s">
        <v>64</v>
      </c>
      <c r="O129" s="18" t="s">
        <v>476</v>
      </c>
      <c r="Q129" s="23" t="s">
        <v>80</v>
      </c>
      <c r="R129" s="23">
        <v>5</v>
      </c>
      <c r="S129" s="24">
        <v>5014464</v>
      </c>
      <c r="T129" s="28">
        <v>240000</v>
      </c>
      <c r="U129" s="18" t="s">
        <v>67</v>
      </c>
      <c r="V129" s="18" t="s">
        <v>68</v>
      </c>
      <c r="W129" s="18" t="s">
        <v>69</v>
      </c>
      <c r="X129" s="20">
        <v>46046</v>
      </c>
      <c r="Y129" s="18" t="s">
        <v>477</v>
      </c>
      <c r="Z129" s="18" t="str">
        <f>_xlfn.XLOOKUP(Y129,'[1]Data Source'!A:A,'[1]Data Source'!E:E,"N/A",0)</f>
        <v>UB</v>
      </c>
      <c r="AA129" s="18" t="s">
        <v>478</v>
      </c>
      <c r="AB129" s="18" t="s">
        <v>475</v>
      </c>
      <c r="AC129" s="18" t="str">
        <f>_xlfn.XLOOKUP(L129,'[1]2026 Mapping v3'!A:A,'[1]2026 Mapping v3'!B:B,"Error",0)</f>
        <v>Mt. Kenya</v>
      </c>
      <c r="AD129" s="18" t="str">
        <f>_xlfn.XLOOKUP(L129,'[1]2026 Mapping v3'!A:A,'[1]2026 Mapping v3'!C:C,"Error",0)</f>
        <v>Morgan Mwangi</v>
      </c>
      <c r="AE129" s="18" t="str">
        <f>_xlfn.XLOOKUP(L129,'[1]2026 Mapping v3'!A:A,'[1]2026 Mapping v3'!D:D,"Error",0)</f>
        <v>Paul Kithuka</v>
      </c>
      <c r="AF129" s="18" t="str">
        <f>_xlfn.XLOOKUP(L129,'[1]2026 Mapping v3'!A:A,'[1]2026 Mapping v3'!E:E,"Error",0)</f>
        <v>Simon Maingi</v>
      </c>
      <c r="AS129" s="24">
        <v>240000</v>
      </c>
      <c r="AT129" s="24"/>
      <c r="AU129" s="24"/>
      <c r="AV129" s="24"/>
      <c r="AX129" s="29"/>
      <c r="BE129" s="24">
        <v>240000</v>
      </c>
    </row>
    <row r="130" spans="1:57">
      <c r="A130" s="18" t="s">
        <v>57</v>
      </c>
      <c r="B130" s="19">
        <v>27196957</v>
      </c>
      <c r="C130" s="20">
        <v>46050</v>
      </c>
      <c r="D130" s="18" t="s">
        <v>58</v>
      </c>
      <c r="E130" s="18" t="s">
        <v>59</v>
      </c>
      <c r="F130" s="18" t="s">
        <v>60</v>
      </c>
      <c r="G130" s="18">
        <v>16416</v>
      </c>
      <c r="H130" s="18">
        <f>_xlfn.XLOOKUP(L130,'[1]2026 Mapping v3'!A:A,'[1]2026 Mapping v3'!F:F,0,0)</f>
        <v>125</v>
      </c>
      <c r="I130" s="18" t="b">
        <v>0</v>
      </c>
      <c r="J130" s="18" t="s">
        <v>479</v>
      </c>
      <c r="K130" s="21" t="s">
        <v>1153</v>
      </c>
      <c r="L130" s="18" t="s">
        <v>162</v>
      </c>
      <c r="M130" s="18" t="s">
        <v>98</v>
      </c>
      <c r="N130" s="18" t="s">
        <v>64</v>
      </c>
      <c r="O130" s="18" t="s">
        <v>480</v>
      </c>
      <c r="Q130" s="23" t="s">
        <v>80</v>
      </c>
      <c r="R130" s="23">
        <v>5</v>
      </c>
      <c r="S130" s="24">
        <v>1575157</v>
      </c>
      <c r="T130" s="28">
        <v>250008</v>
      </c>
      <c r="U130" s="18" t="s">
        <v>67</v>
      </c>
      <c r="V130" s="18" t="s">
        <v>68</v>
      </c>
      <c r="W130" s="18" t="s">
        <v>69</v>
      </c>
      <c r="X130" s="20">
        <v>46052</v>
      </c>
      <c r="Y130" s="18" t="s">
        <v>178</v>
      </c>
      <c r="Z130" s="18" t="str">
        <f>_xlfn.XLOOKUP(Y130,'[1]Data Source'!A:A,'[1]Data Source'!E:E,"N/A",0)</f>
        <v>UB</v>
      </c>
      <c r="AA130" s="18" t="s">
        <v>179</v>
      </c>
      <c r="AB130" s="18" t="s">
        <v>162</v>
      </c>
      <c r="AC130" s="18" t="str">
        <f>_xlfn.XLOOKUP(L130,'[1]2026 Mapping v3'!A:A,'[1]2026 Mapping v3'!B:B,"Error",0)</f>
        <v>Rift Valley</v>
      </c>
      <c r="AD130" s="18" t="str">
        <f>_xlfn.XLOOKUP(L130,'[1]2026 Mapping v3'!A:A,'[1]2026 Mapping v3'!C:C,"Error",0)</f>
        <v>Emily Jepchirchir</v>
      </c>
      <c r="AE130" s="18" t="str">
        <f>_xlfn.XLOOKUP(L130,'[1]2026 Mapping v3'!A:A,'[1]2026 Mapping v3'!D:D,"Error",0)</f>
        <v>Emily Jepchirchir</v>
      </c>
      <c r="AF130" s="18" t="str">
        <f>_xlfn.XLOOKUP(L130,'[1]2026 Mapping v3'!A:A,'[1]2026 Mapping v3'!E:E,"Error",0)</f>
        <v>Emily Jepchirchir</v>
      </c>
      <c r="AS130" s="24">
        <v>250008</v>
      </c>
      <c r="AT130" s="24"/>
      <c r="AU130" s="24"/>
      <c r="AV130" s="24"/>
      <c r="AX130" s="29"/>
      <c r="BE130" s="24">
        <v>250008</v>
      </c>
    </row>
    <row r="131" spans="1:57">
      <c r="A131" s="18" t="s">
        <v>57</v>
      </c>
      <c r="B131" s="19">
        <v>27196957</v>
      </c>
      <c r="C131" s="20">
        <v>46050</v>
      </c>
      <c r="D131" s="18" t="s">
        <v>58</v>
      </c>
      <c r="E131" s="18" t="s">
        <v>59</v>
      </c>
      <c r="F131" s="18" t="s">
        <v>60</v>
      </c>
      <c r="G131" s="18">
        <v>16420</v>
      </c>
      <c r="H131" s="18">
        <f>_xlfn.XLOOKUP(L131,'[1]2026 Mapping v3'!A:A,'[1]2026 Mapping v3'!F:F,0,0)</f>
        <v>125</v>
      </c>
      <c r="I131" s="18" t="b">
        <v>0</v>
      </c>
      <c r="J131" s="18" t="s">
        <v>481</v>
      </c>
      <c r="K131" s="21" t="s">
        <v>1154</v>
      </c>
      <c r="L131" s="18" t="s">
        <v>162</v>
      </c>
      <c r="M131" s="18" t="s">
        <v>98</v>
      </c>
      <c r="N131" s="18" t="s">
        <v>64</v>
      </c>
      <c r="O131" s="18" t="s">
        <v>482</v>
      </c>
      <c r="Q131" s="23" t="s">
        <v>80</v>
      </c>
      <c r="R131" s="23">
        <v>5</v>
      </c>
      <c r="S131" s="24">
        <v>3150315</v>
      </c>
      <c r="T131" s="28">
        <v>500005</v>
      </c>
      <c r="U131" s="18" t="s">
        <v>67</v>
      </c>
      <c r="V131" s="18" t="s">
        <v>68</v>
      </c>
      <c r="W131" s="18" t="s">
        <v>69</v>
      </c>
      <c r="X131" s="20">
        <v>46052</v>
      </c>
      <c r="Y131" s="18" t="s">
        <v>178</v>
      </c>
      <c r="Z131" s="18" t="str">
        <f>_xlfn.XLOOKUP(Y131,'[1]Data Source'!A:A,'[1]Data Source'!E:E,"N/A",0)</f>
        <v>UB</v>
      </c>
      <c r="AA131" s="18" t="s">
        <v>179</v>
      </c>
      <c r="AB131" s="18" t="s">
        <v>162</v>
      </c>
      <c r="AC131" s="18" t="str">
        <f>_xlfn.XLOOKUP(L131,'[1]2026 Mapping v3'!A:A,'[1]2026 Mapping v3'!B:B,"Error",0)</f>
        <v>Rift Valley</v>
      </c>
      <c r="AD131" s="18" t="str">
        <f>_xlfn.XLOOKUP(L131,'[1]2026 Mapping v3'!A:A,'[1]2026 Mapping v3'!C:C,"Error",0)</f>
        <v>Emily Jepchirchir</v>
      </c>
      <c r="AE131" s="18" t="str">
        <f>_xlfn.XLOOKUP(L131,'[1]2026 Mapping v3'!A:A,'[1]2026 Mapping v3'!D:D,"Error",0)</f>
        <v>Emily Jepchirchir</v>
      </c>
      <c r="AF131" s="18" t="str">
        <f>_xlfn.XLOOKUP(L131,'[1]2026 Mapping v3'!A:A,'[1]2026 Mapping v3'!E:E,"Error",0)</f>
        <v>Emily Jepchirchir</v>
      </c>
      <c r="AS131" s="24">
        <v>500005</v>
      </c>
      <c r="AT131" s="24"/>
      <c r="AU131" s="24"/>
      <c r="AV131" s="24"/>
      <c r="AX131" s="29"/>
      <c r="BE131" s="24">
        <v>500005</v>
      </c>
    </row>
    <row r="132" spans="1:57">
      <c r="A132" s="18" t="s">
        <v>57</v>
      </c>
      <c r="B132" s="19">
        <v>27196957</v>
      </c>
      <c r="C132" s="20">
        <v>46050</v>
      </c>
      <c r="D132" s="18" t="s">
        <v>58</v>
      </c>
      <c r="E132" s="18" t="s">
        <v>59</v>
      </c>
      <c r="F132" s="18" t="s">
        <v>60</v>
      </c>
      <c r="G132" s="18">
        <v>14085</v>
      </c>
      <c r="H132" s="18">
        <f>_xlfn.XLOOKUP(L132,'[1]2026 Mapping v3'!A:A,'[1]2026 Mapping v3'!F:F,0,0)</f>
        <v>20</v>
      </c>
      <c r="I132" s="18" t="b">
        <v>0</v>
      </c>
      <c r="J132" s="18" t="s">
        <v>483</v>
      </c>
      <c r="K132" s="21" t="s">
        <v>1155</v>
      </c>
      <c r="L132" s="18" t="s">
        <v>484</v>
      </c>
      <c r="M132" s="18" t="s">
        <v>98</v>
      </c>
      <c r="N132" s="18" t="s">
        <v>64</v>
      </c>
      <c r="O132" s="18" t="s">
        <v>485</v>
      </c>
      <c r="Q132" s="23" t="s">
        <v>80</v>
      </c>
      <c r="R132" s="23">
        <v>5</v>
      </c>
      <c r="S132" s="24">
        <v>3150315</v>
      </c>
      <c r="T132" s="28">
        <v>50005</v>
      </c>
      <c r="U132" s="18" t="s">
        <v>67</v>
      </c>
      <c r="V132" s="18" t="s">
        <v>68</v>
      </c>
      <c r="W132" s="18" t="s">
        <v>69</v>
      </c>
      <c r="X132" s="20">
        <v>46052</v>
      </c>
      <c r="Y132" s="18" t="s">
        <v>486</v>
      </c>
      <c r="Z132" s="18" t="str">
        <f>_xlfn.XLOOKUP(Y132,'[1]Data Source'!A:A,'[1]Data Source'!E:E,"N/A",0)</f>
        <v>UB</v>
      </c>
      <c r="AA132" s="18" t="s">
        <v>487</v>
      </c>
      <c r="AB132" s="18" t="s">
        <v>484</v>
      </c>
      <c r="AC132" s="18" t="str">
        <f>_xlfn.XLOOKUP(L132,'[1]2026 Mapping v3'!A:A,'[1]2026 Mapping v3'!B:B,"Error",0)</f>
        <v>Nairobi East</v>
      </c>
      <c r="AD132" s="18" t="str">
        <f>_xlfn.XLOOKUP(L132,'[1]2026 Mapping v3'!A:A,'[1]2026 Mapping v3'!C:C,"Error",0)</f>
        <v>Charles Gicho</v>
      </c>
      <c r="AE132" s="18" t="str">
        <f>_xlfn.XLOOKUP(L132,'[1]2026 Mapping v3'!A:A,'[1]2026 Mapping v3'!D:D,"Error",0)</f>
        <v>Julius Mugane</v>
      </c>
      <c r="AF132" s="18" t="str">
        <f>_xlfn.XLOOKUP(L132,'[1]2026 Mapping v3'!A:A,'[1]2026 Mapping v3'!E:E,"Error",0)</f>
        <v>Debrah Rashid</v>
      </c>
      <c r="AS132" s="24">
        <v>50005</v>
      </c>
      <c r="AT132" s="24"/>
      <c r="AU132" s="24"/>
      <c r="AV132" s="24"/>
      <c r="AX132" s="29"/>
      <c r="BE132" s="24">
        <v>50005</v>
      </c>
    </row>
    <row r="133" spans="1:57">
      <c r="A133" s="18" t="s">
        <v>57</v>
      </c>
      <c r="B133" s="19">
        <v>27196957</v>
      </c>
      <c r="C133" s="20">
        <v>46050</v>
      </c>
      <c r="D133" s="18" t="s">
        <v>58</v>
      </c>
      <c r="E133" s="18" t="s">
        <v>59</v>
      </c>
      <c r="F133" s="18" t="s">
        <v>60</v>
      </c>
      <c r="G133" s="18">
        <v>11722</v>
      </c>
      <c r="H133" s="18">
        <f>_xlfn.XLOOKUP(L133,'[1]2026 Mapping v3'!A:A,'[1]2026 Mapping v3'!F:F,0,0)</f>
        <v>12</v>
      </c>
      <c r="I133" s="18" t="b">
        <v>0</v>
      </c>
      <c r="J133" s="18" t="s">
        <v>474</v>
      </c>
      <c r="K133" s="21" t="s">
        <v>1156</v>
      </c>
      <c r="L133" s="18" t="s">
        <v>488</v>
      </c>
      <c r="M133" s="18" t="s">
        <v>98</v>
      </c>
      <c r="N133" s="18" t="s">
        <v>64</v>
      </c>
      <c r="O133" s="18" t="s">
        <v>489</v>
      </c>
      <c r="Q133" s="23" t="s">
        <v>80</v>
      </c>
      <c r="R133" s="23">
        <v>5</v>
      </c>
      <c r="S133" s="24">
        <v>3078724</v>
      </c>
      <c r="T133" s="28">
        <v>50000</v>
      </c>
      <c r="U133" s="18" t="s">
        <v>67</v>
      </c>
      <c r="V133" s="18" t="s">
        <v>110</v>
      </c>
      <c r="W133" s="18" t="s">
        <v>69</v>
      </c>
      <c r="X133" s="20">
        <v>46050</v>
      </c>
      <c r="Y133" s="18" t="s">
        <v>490</v>
      </c>
      <c r="Z133" s="18" t="str">
        <f>_xlfn.XLOOKUP(Y133,'[1]Data Source'!A:A,'[1]Data Source'!E:E,"N/A",0)</f>
        <v>N/A</v>
      </c>
      <c r="AA133" s="18" t="s">
        <v>101</v>
      </c>
      <c r="AB133" s="18" t="s">
        <v>488</v>
      </c>
      <c r="AC133" s="18" t="str">
        <f>_xlfn.XLOOKUP(L133,'[1]2026 Mapping v3'!A:A,'[1]2026 Mapping v3'!B:B,"Error",0)</f>
        <v>Coast</v>
      </c>
      <c r="AD133" s="18" t="str">
        <f>_xlfn.XLOOKUP(L133,'[1]2026 Mapping v3'!A:A,'[1]2026 Mapping v3'!C:C,"Error",0)</f>
        <v>Nancy Logose</v>
      </c>
      <c r="AE133" s="18" t="str">
        <f>_xlfn.XLOOKUP(L133,'[1]2026 Mapping v3'!A:A,'[1]2026 Mapping v3'!D:D,"Error",0)</f>
        <v>Brian Khamadi</v>
      </c>
      <c r="AF133" s="18" t="str">
        <f>_xlfn.XLOOKUP(L133,'[1]2026 Mapping v3'!A:A,'[1]2026 Mapping v3'!E:E,"Error",0)</f>
        <v>Eric Njiru</v>
      </c>
      <c r="AS133" s="24">
        <v>50000</v>
      </c>
      <c r="AT133" s="24"/>
      <c r="AU133" s="24"/>
      <c r="AV133" s="24"/>
      <c r="AX133" s="29"/>
      <c r="BE133" s="24">
        <v>50000</v>
      </c>
    </row>
    <row r="134" spans="1:57">
      <c r="A134" s="18" t="s">
        <v>57</v>
      </c>
      <c r="B134" s="19">
        <v>27196957</v>
      </c>
      <c r="C134" s="20">
        <v>46050</v>
      </c>
      <c r="D134" s="18" t="s">
        <v>58</v>
      </c>
      <c r="E134" s="18" t="s">
        <v>59</v>
      </c>
      <c r="F134" s="18" t="s">
        <v>60</v>
      </c>
      <c r="G134" s="18">
        <v>5594</v>
      </c>
      <c r="H134" s="18">
        <f>_xlfn.XLOOKUP(L134,'[1]2026 Mapping v3'!A:A,'[1]2026 Mapping v3'!F:F,0,0)</f>
        <v>42</v>
      </c>
      <c r="I134" s="18" t="b">
        <v>0</v>
      </c>
      <c r="J134" s="18" t="s">
        <v>491</v>
      </c>
      <c r="K134" s="21" t="s">
        <v>1157</v>
      </c>
      <c r="L134" s="18" t="s">
        <v>492</v>
      </c>
      <c r="M134" s="18" t="s">
        <v>98</v>
      </c>
      <c r="N134" s="18" t="s">
        <v>64</v>
      </c>
      <c r="O134" s="18" t="s">
        <v>493</v>
      </c>
      <c r="Q134" s="23" t="s">
        <v>80</v>
      </c>
      <c r="R134" s="23">
        <v>5</v>
      </c>
      <c r="S134" s="24">
        <v>2400029</v>
      </c>
      <c r="T134" s="28">
        <v>380919</v>
      </c>
      <c r="U134" s="18" t="s">
        <v>67</v>
      </c>
      <c r="V134" s="26" t="s">
        <v>68</v>
      </c>
      <c r="W134" s="18" t="s">
        <v>69</v>
      </c>
      <c r="X134" s="20">
        <v>46046</v>
      </c>
      <c r="Y134" s="18" t="s">
        <v>468</v>
      </c>
      <c r="Z134" s="18" t="str">
        <f>_xlfn.XLOOKUP(Y134,'[1]Data Source'!A:A,'[1]Data Source'!E:E,"N/A",0)</f>
        <v>UB</v>
      </c>
      <c r="AA134" s="18" t="s">
        <v>469</v>
      </c>
      <c r="AB134" s="18" t="s">
        <v>492</v>
      </c>
      <c r="AC134" s="18" t="str">
        <f>_xlfn.XLOOKUP(L134,'[1]2026 Mapping v3'!A:A,'[1]2026 Mapping v3'!B:B,"Error",0)</f>
        <v>Nairobi West</v>
      </c>
      <c r="AD134" s="18" t="str">
        <f>_xlfn.XLOOKUP(L134,'[1]2026 Mapping v3'!A:A,'[1]2026 Mapping v3'!C:C,"Error",0)</f>
        <v>Ancetar Mulili</v>
      </c>
      <c r="AE134" s="18" t="str">
        <f>_xlfn.XLOOKUP(L134,'[1]2026 Mapping v3'!A:A,'[1]2026 Mapping v3'!D:D,"Error",0)</f>
        <v>Ancetar Mulili</v>
      </c>
      <c r="AF134" s="18" t="str">
        <f>_xlfn.XLOOKUP(L134,'[1]2026 Mapping v3'!A:A,'[1]2026 Mapping v3'!E:E,"Error",0)</f>
        <v>Bilha Wachira</v>
      </c>
      <c r="AS134" s="24">
        <v>380919</v>
      </c>
      <c r="AT134" s="24"/>
      <c r="AU134" s="24"/>
      <c r="AV134" s="24"/>
      <c r="AX134" s="29"/>
      <c r="BE134" s="24">
        <v>380919</v>
      </c>
    </row>
    <row r="135" spans="1:57">
      <c r="A135" s="18" t="s">
        <v>57</v>
      </c>
      <c r="B135" s="19">
        <v>27196957</v>
      </c>
      <c r="C135" s="20">
        <v>46050</v>
      </c>
      <c r="D135" s="18" t="s">
        <v>58</v>
      </c>
      <c r="E135" s="18" t="s">
        <v>59</v>
      </c>
      <c r="F135" s="18" t="s">
        <v>60</v>
      </c>
      <c r="G135" s="18">
        <v>8661</v>
      </c>
      <c r="H135" s="18">
        <f>_xlfn.XLOOKUP(L135,'[1]2026 Mapping v3'!A:A,'[1]2026 Mapping v3'!F:F,0,0)</f>
        <v>58</v>
      </c>
      <c r="I135" s="18" t="b">
        <v>0</v>
      </c>
      <c r="J135" s="18" t="s">
        <v>494</v>
      </c>
      <c r="K135" s="21" t="s">
        <v>1158</v>
      </c>
      <c r="L135" s="18" t="s">
        <v>291</v>
      </c>
      <c r="M135" s="18" t="s">
        <v>98</v>
      </c>
      <c r="N135" s="18" t="s">
        <v>64</v>
      </c>
      <c r="O135" s="18" t="s">
        <v>495</v>
      </c>
      <c r="Q135" s="23" t="s">
        <v>80</v>
      </c>
      <c r="R135" s="23">
        <v>10</v>
      </c>
      <c r="S135" s="24">
        <v>1329238</v>
      </c>
      <c r="T135" s="28">
        <v>10023</v>
      </c>
      <c r="U135" s="18" t="s">
        <v>67</v>
      </c>
      <c r="V135" s="18" t="s">
        <v>110</v>
      </c>
      <c r="W135" s="18" t="s">
        <v>69</v>
      </c>
      <c r="X135" s="20">
        <v>46052</v>
      </c>
      <c r="Y135" s="18" t="s">
        <v>496</v>
      </c>
      <c r="Z135" s="18" t="str">
        <f>_xlfn.XLOOKUP(Y135,'[1]Data Source'!A:A,'[1]Data Source'!E:E,"N/A",0)</f>
        <v>N/A</v>
      </c>
      <c r="AA135" s="18" t="s">
        <v>101</v>
      </c>
      <c r="AB135" s="18" t="s">
        <v>291</v>
      </c>
      <c r="AC135" s="18" t="str">
        <f>_xlfn.XLOOKUP(L135,'[1]2026 Mapping v3'!A:A,'[1]2026 Mapping v3'!B:B,"Error",0)</f>
        <v>Rift Valley</v>
      </c>
      <c r="AD135" s="18" t="str">
        <f>_xlfn.XLOOKUP(L135,'[1]2026 Mapping v3'!A:A,'[1]2026 Mapping v3'!C:C,"Error",0)</f>
        <v>Jane Nduta</v>
      </c>
      <c r="AE135" s="18" t="str">
        <f>_xlfn.XLOOKUP(L135,'[1]2026 Mapping v3'!A:A,'[1]2026 Mapping v3'!D:D,"Error",0)</f>
        <v>Emily Jepchirchir</v>
      </c>
      <c r="AF135" s="18" t="str">
        <f>_xlfn.XLOOKUP(L135,'[1]2026 Mapping v3'!A:A,'[1]2026 Mapping v3'!E:E,"Error",0)</f>
        <v>Emily Jepchirchir</v>
      </c>
      <c r="AS135" s="24">
        <v>10023</v>
      </c>
      <c r="AT135" s="24"/>
      <c r="AU135" s="24"/>
      <c r="AV135" s="24"/>
      <c r="AX135" s="29"/>
      <c r="BE135" s="24">
        <v>10023</v>
      </c>
    </row>
    <row r="136" spans="1:57">
      <c r="A136" s="18" t="s">
        <v>57</v>
      </c>
      <c r="B136" s="19">
        <v>27196957</v>
      </c>
      <c r="C136" s="20">
        <v>46050</v>
      </c>
      <c r="D136" s="18" t="s">
        <v>58</v>
      </c>
      <c r="E136" s="18" t="s">
        <v>59</v>
      </c>
      <c r="F136" s="18" t="s">
        <v>60</v>
      </c>
      <c r="G136" s="18">
        <v>13122</v>
      </c>
      <c r="H136" s="18">
        <f>_xlfn.XLOOKUP(L136,'[1]2026 Mapping v3'!A:A,'[1]2026 Mapping v3'!F:F,0,0)</f>
        <v>12</v>
      </c>
      <c r="I136" s="18" t="b">
        <v>0</v>
      </c>
      <c r="J136" s="18" t="s">
        <v>497</v>
      </c>
      <c r="K136" s="21" t="s">
        <v>1159</v>
      </c>
      <c r="L136" s="18" t="s">
        <v>488</v>
      </c>
      <c r="M136" s="18" t="s">
        <v>63</v>
      </c>
      <c r="N136" s="18" t="s">
        <v>64</v>
      </c>
      <c r="O136" s="18" t="s">
        <v>498</v>
      </c>
      <c r="Q136" s="23" t="s">
        <v>80</v>
      </c>
      <c r="R136" s="23">
        <v>10</v>
      </c>
      <c r="S136" s="24">
        <v>1307190</v>
      </c>
      <c r="T136" s="28">
        <v>10000</v>
      </c>
      <c r="U136" s="18" t="s">
        <v>67</v>
      </c>
      <c r="V136" s="18" t="s">
        <v>110</v>
      </c>
      <c r="W136" s="18" t="s">
        <v>69</v>
      </c>
      <c r="X136" s="20">
        <v>46053</v>
      </c>
      <c r="Y136" s="18" t="s">
        <v>499</v>
      </c>
      <c r="Z136" s="18" t="str">
        <f>_xlfn.XLOOKUP(Y136,'[1]Data Source'!A:A,'[1]Data Source'!E:E,"N/A",0)</f>
        <v>N/A</v>
      </c>
      <c r="AA136" s="18" t="s">
        <v>101</v>
      </c>
      <c r="AB136" s="18" t="s">
        <v>488</v>
      </c>
      <c r="AC136" s="18" t="str">
        <f>_xlfn.XLOOKUP(L136,'[1]2026 Mapping v3'!A:A,'[1]2026 Mapping v3'!B:B,"Error",0)</f>
        <v>Coast</v>
      </c>
      <c r="AD136" s="18" t="str">
        <f>_xlfn.XLOOKUP(L136,'[1]2026 Mapping v3'!A:A,'[1]2026 Mapping v3'!C:C,"Error",0)</f>
        <v>Nancy Logose</v>
      </c>
      <c r="AE136" s="18" t="str">
        <f>_xlfn.XLOOKUP(L136,'[1]2026 Mapping v3'!A:A,'[1]2026 Mapping v3'!D:D,"Error",0)</f>
        <v>Brian Khamadi</v>
      </c>
      <c r="AF136" s="18" t="str">
        <f>_xlfn.XLOOKUP(L136,'[1]2026 Mapping v3'!A:A,'[1]2026 Mapping v3'!E:E,"Error",0)</f>
        <v>Eric Njiru</v>
      </c>
      <c r="AS136" s="24">
        <v>10000</v>
      </c>
      <c r="AT136" s="24"/>
      <c r="AU136" s="24"/>
      <c r="AV136" s="24"/>
      <c r="AX136" s="29"/>
      <c r="BE136" s="24">
        <v>10000</v>
      </c>
    </row>
    <row r="137" spans="1:57">
      <c r="A137" s="18" t="s">
        <v>57</v>
      </c>
      <c r="B137" s="19">
        <v>27196957</v>
      </c>
      <c r="C137" s="20">
        <v>46050</v>
      </c>
      <c r="D137" s="18" t="s">
        <v>58</v>
      </c>
      <c r="E137" s="18" t="s">
        <v>59</v>
      </c>
      <c r="F137" s="18" t="s">
        <v>60</v>
      </c>
      <c r="H137" s="18">
        <f>_xlfn.XLOOKUP(L137,'[1]2026 Mapping v3'!A:A,'[1]2026 Mapping v3'!F:F,0,0)</f>
        <v>67</v>
      </c>
      <c r="I137" s="18" t="b">
        <v>0</v>
      </c>
      <c r="J137" s="18" t="s">
        <v>406</v>
      </c>
      <c r="K137" s="21" t="s">
        <v>1160</v>
      </c>
      <c r="L137" s="18" t="s">
        <v>475</v>
      </c>
      <c r="M137" s="18" t="s">
        <v>63</v>
      </c>
      <c r="N137" s="18" t="s">
        <v>64</v>
      </c>
      <c r="O137" s="18" t="s">
        <v>500</v>
      </c>
      <c r="Q137" s="23" t="s">
        <v>80</v>
      </c>
      <c r="R137" s="23">
        <v>14</v>
      </c>
      <c r="S137" s="24">
        <v>925930</v>
      </c>
      <c r="T137" s="28">
        <v>5000</v>
      </c>
      <c r="U137" s="18" t="s">
        <v>67</v>
      </c>
      <c r="V137" s="18" t="s">
        <v>110</v>
      </c>
      <c r="W137" s="18" t="s">
        <v>69</v>
      </c>
      <c r="X137" s="20">
        <v>46047</v>
      </c>
      <c r="Y137" s="18" t="s">
        <v>477</v>
      </c>
      <c r="Z137" s="18" t="str">
        <f>_xlfn.XLOOKUP(Y137,'[1]Data Source'!A:A,'[1]Data Source'!E:E,"N/A",0)</f>
        <v>UB</v>
      </c>
      <c r="AA137" s="18" t="s">
        <v>478</v>
      </c>
      <c r="AB137" s="18" t="s">
        <v>475</v>
      </c>
      <c r="AC137" s="18" t="str">
        <f>_xlfn.XLOOKUP(L137,'[1]2026 Mapping v3'!A:A,'[1]2026 Mapping v3'!B:B,"Error",0)</f>
        <v>Mt. Kenya</v>
      </c>
      <c r="AD137" s="18" t="str">
        <f>_xlfn.XLOOKUP(L137,'[1]2026 Mapping v3'!A:A,'[1]2026 Mapping v3'!C:C,"Error",0)</f>
        <v>Morgan Mwangi</v>
      </c>
      <c r="AE137" s="18" t="str">
        <f>_xlfn.XLOOKUP(L137,'[1]2026 Mapping v3'!A:A,'[1]2026 Mapping v3'!D:D,"Error",0)</f>
        <v>Paul Kithuka</v>
      </c>
      <c r="AF137" s="18" t="str">
        <f>_xlfn.XLOOKUP(L137,'[1]2026 Mapping v3'!A:A,'[1]2026 Mapping v3'!E:E,"Error",0)</f>
        <v>Simon Maingi</v>
      </c>
      <c r="AS137" s="24">
        <v>5000</v>
      </c>
      <c r="AT137" s="24"/>
      <c r="AU137" s="24"/>
      <c r="AV137" s="24"/>
      <c r="AX137" s="29"/>
      <c r="BE137" s="24">
        <v>5000</v>
      </c>
    </row>
    <row r="138" spans="1:57">
      <c r="A138" s="18" t="s">
        <v>57</v>
      </c>
      <c r="B138" s="19">
        <v>27196957</v>
      </c>
      <c r="C138" s="20">
        <v>46050</v>
      </c>
      <c r="D138" s="18" t="s">
        <v>58</v>
      </c>
      <c r="E138" s="18" t="s">
        <v>59</v>
      </c>
      <c r="F138" s="18" t="s">
        <v>60</v>
      </c>
      <c r="G138" s="18">
        <v>12532</v>
      </c>
      <c r="H138" s="18">
        <f>_xlfn.XLOOKUP(L138,'[1]2026 Mapping v3'!A:A,'[1]2026 Mapping v3'!F:F,0,0)</f>
        <v>51</v>
      </c>
      <c r="I138" s="18" t="b">
        <v>0</v>
      </c>
      <c r="J138" s="18" t="s">
        <v>400</v>
      </c>
      <c r="K138" s="21" t="s">
        <v>1161</v>
      </c>
      <c r="L138" s="18" t="s">
        <v>501</v>
      </c>
      <c r="M138" s="18" t="s">
        <v>63</v>
      </c>
      <c r="N138" s="18" t="s">
        <v>64</v>
      </c>
      <c r="O138" s="18" t="s">
        <v>502</v>
      </c>
      <c r="Q138" s="23" t="s">
        <v>80</v>
      </c>
      <c r="R138" s="23">
        <v>18</v>
      </c>
      <c r="S138" s="24">
        <v>2525250</v>
      </c>
      <c r="T138" s="28">
        <v>100000</v>
      </c>
      <c r="U138" s="18" t="s">
        <v>67</v>
      </c>
      <c r="V138" s="18" t="s">
        <v>68</v>
      </c>
      <c r="W138" s="18" t="s">
        <v>69</v>
      </c>
      <c r="X138" s="20">
        <v>46046</v>
      </c>
      <c r="Y138" s="18" t="s">
        <v>503</v>
      </c>
      <c r="Z138" s="18" t="str">
        <f>_xlfn.XLOOKUP(Y138,'[1]Data Source'!A:A,'[1]Data Source'!E:E,"N/A",0)</f>
        <v>LG</v>
      </c>
      <c r="AA138" s="18" t="s">
        <v>504</v>
      </c>
      <c r="AB138" s="18" t="s">
        <v>501</v>
      </c>
      <c r="AC138" s="18" t="str">
        <f>_xlfn.XLOOKUP(L138,'[1]2026 Mapping v3'!A:A,'[1]2026 Mapping v3'!B:B,"Error",0)</f>
        <v>Mt. Kenya</v>
      </c>
      <c r="AD138" s="18" t="str">
        <f>_xlfn.XLOOKUP(L138,'[1]2026 Mapping v3'!A:A,'[1]2026 Mapping v3'!C:C,"Error",0)</f>
        <v>Morgan Mwangi</v>
      </c>
      <c r="AE138" s="18" t="str">
        <f>_xlfn.XLOOKUP(L138,'[1]2026 Mapping v3'!A:A,'[1]2026 Mapping v3'!D:D,"Error",0)</f>
        <v>Paul Kithuka</v>
      </c>
      <c r="AF138" s="18" t="str">
        <f>_xlfn.XLOOKUP(L138,'[1]2026 Mapping v3'!A:A,'[1]2026 Mapping v3'!E:E,"Error",0)</f>
        <v>Simon Maingi</v>
      </c>
      <c r="AS138" s="24">
        <v>100000</v>
      </c>
      <c r="AT138" s="24"/>
      <c r="AU138" s="24"/>
      <c r="AV138" s="24"/>
      <c r="AX138" s="29"/>
      <c r="BE138" s="24">
        <v>100000</v>
      </c>
    </row>
    <row r="139" spans="1:57">
      <c r="A139" s="18" t="s">
        <v>57</v>
      </c>
      <c r="B139" s="19">
        <v>27196957</v>
      </c>
      <c r="C139" s="20">
        <v>46050</v>
      </c>
      <c r="D139" s="18" t="s">
        <v>58</v>
      </c>
      <c r="E139" s="18" t="s">
        <v>59</v>
      </c>
      <c r="F139" s="18" t="s">
        <v>60</v>
      </c>
      <c r="G139" s="18">
        <v>10676</v>
      </c>
      <c r="H139" s="18">
        <f>_xlfn.XLOOKUP(L139,'[1]2026 Mapping v3'!A:A,'[1]2026 Mapping v3'!F:F,0,0)</f>
        <v>71</v>
      </c>
      <c r="I139" s="18" t="b">
        <v>0</v>
      </c>
      <c r="J139" s="18" t="s">
        <v>505</v>
      </c>
      <c r="K139" s="21" t="s">
        <v>1162</v>
      </c>
      <c r="L139" s="18" t="s">
        <v>89</v>
      </c>
      <c r="M139" s="18" t="s">
        <v>63</v>
      </c>
      <c r="N139" s="18" t="s">
        <v>64</v>
      </c>
      <c r="O139" s="18" t="s">
        <v>506</v>
      </c>
      <c r="Q139" s="23" t="s">
        <v>80</v>
      </c>
      <c r="R139" s="23">
        <v>10</v>
      </c>
      <c r="S139" s="24">
        <v>726220</v>
      </c>
      <c r="T139" s="28">
        <v>5000</v>
      </c>
      <c r="U139" s="18" t="s">
        <v>67</v>
      </c>
      <c r="V139" s="18" t="s">
        <v>110</v>
      </c>
      <c r="W139" s="18" t="s">
        <v>69</v>
      </c>
      <c r="X139" s="20">
        <v>46046</v>
      </c>
      <c r="Y139" s="18" t="s">
        <v>168</v>
      </c>
      <c r="Z139" s="18" t="str">
        <f>_xlfn.XLOOKUP(Y139,'[1]Data Source'!A:A,'[1]Data Source'!E:E,"N/A",0)</f>
        <v>N/A</v>
      </c>
      <c r="AA139" s="18" t="s">
        <v>101</v>
      </c>
      <c r="AB139" s="18" t="s">
        <v>89</v>
      </c>
      <c r="AC139" s="18" t="str">
        <f>_xlfn.XLOOKUP(L139,'[1]2026 Mapping v3'!A:A,'[1]2026 Mapping v3'!B:B,"Error",0)</f>
        <v>Queensway</v>
      </c>
      <c r="AD139" s="18" t="str">
        <f>_xlfn.XLOOKUP(L139,'[1]2026 Mapping v3'!A:A,'[1]2026 Mapping v3'!C:C,"Error",0)</f>
        <v>Nina Kifani</v>
      </c>
      <c r="AE139" s="18" t="str">
        <f>_xlfn.XLOOKUP(L139,'[1]2026 Mapping v3'!A:A,'[1]2026 Mapping v3'!D:D,"Error",0)</f>
        <v>Nina Kifani</v>
      </c>
      <c r="AF139" s="18" t="str">
        <f>_xlfn.XLOOKUP(L139,'[1]2026 Mapping v3'!A:A,'[1]2026 Mapping v3'!E:E,"Error",0)</f>
        <v>Bilha Wachira</v>
      </c>
      <c r="AS139" s="24">
        <v>5000</v>
      </c>
      <c r="AT139" s="24"/>
      <c r="AU139" s="24"/>
      <c r="AV139" s="24"/>
      <c r="AX139" s="29"/>
      <c r="BE139" s="24">
        <v>5000</v>
      </c>
    </row>
    <row r="140" spans="1:57">
      <c r="A140" s="18" t="s">
        <v>57</v>
      </c>
      <c r="B140" s="19">
        <v>27196957</v>
      </c>
      <c r="C140" s="20">
        <v>46050</v>
      </c>
      <c r="D140" s="18" t="s">
        <v>58</v>
      </c>
      <c r="E140" s="18" t="s">
        <v>59</v>
      </c>
      <c r="F140" s="18" t="s">
        <v>60</v>
      </c>
      <c r="G140" s="18">
        <v>4010</v>
      </c>
      <c r="H140" s="18">
        <f>_xlfn.XLOOKUP(L140,'[1]2026 Mapping v3'!A:A,'[1]2026 Mapping v3'!F:F,0,0)</f>
        <v>27</v>
      </c>
      <c r="I140" s="18" t="b">
        <v>0</v>
      </c>
      <c r="J140" s="18" t="s">
        <v>507</v>
      </c>
      <c r="K140" s="21" t="s">
        <v>1163</v>
      </c>
      <c r="L140" s="18" t="s">
        <v>509</v>
      </c>
      <c r="M140" s="18" t="s">
        <v>63</v>
      </c>
      <c r="N140" s="18" t="s">
        <v>64</v>
      </c>
      <c r="O140" s="18" t="s">
        <v>510</v>
      </c>
      <c r="Q140" s="23" t="s">
        <v>80</v>
      </c>
      <c r="R140" s="23">
        <v>15</v>
      </c>
      <c r="S140" s="24">
        <v>1020300</v>
      </c>
      <c r="T140" s="28">
        <v>50000</v>
      </c>
      <c r="U140" s="18" t="s">
        <v>67</v>
      </c>
      <c r="V140" s="18" t="s">
        <v>68</v>
      </c>
      <c r="W140" s="18" t="s">
        <v>69</v>
      </c>
      <c r="X140" s="20">
        <v>46046</v>
      </c>
      <c r="Y140" s="18" t="s">
        <v>511</v>
      </c>
      <c r="Z140" s="18" t="str">
        <f>_xlfn.XLOOKUP(Y140,'[1]Data Source'!A:A,'[1]Data Source'!E:E,"N/A",0)</f>
        <v>LG</v>
      </c>
      <c r="AA140" s="18" t="s">
        <v>508</v>
      </c>
      <c r="AB140" s="18" t="s">
        <v>509</v>
      </c>
      <c r="AC140" s="18" t="str">
        <f>_xlfn.XLOOKUP(L140,'[1]2026 Mapping v3'!A:A,'[1]2026 Mapping v3'!B:B,"Error",0)</f>
        <v>Rift Valley</v>
      </c>
      <c r="AD140" s="18" t="str">
        <f>_xlfn.XLOOKUP(L140,'[1]2026 Mapping v3'!A:A,'[1]2026 Mapping v3'!C:C,"Error",0)</f>
        <v>Hillary Muganda</v>
      </c>
      <c r="AE140" s="18" t="str">
        <f>_xlfn.XLOOKUP(L140,'[1]2026 Mapping v3'!A:A,'[1]2026 Mapping v3'!D:D,"Error",0)</f>
        <v>Emily Jepchirchir</v>
      </c>
      <c r="AF140" s="18" t="str">
        <f>_xlfn.XLOOKUP(L140,'[1]2026 Mapping v3'!A:A,'[1]2026 Mapping v3'!E:E,"Error",0)</f>
        <v>Emily Jepchirchir</v>
      </c>
      <c r="AS140" s="24">
        <v>50000</v>
      </c>
      <c r="AT140" s="24"/>
      <c r="AU140" s="24"/>
      <c r="AV140" s="24"/>
      <c r="AX140" s="29"/>
      <c r="BE140" s="24">
        <v>50000</v>
      </c>
    </row>
    <row r="141" spans="1:57">
      <c r="A141" s="18" t="s">
        <v>57</v>
      </c>
      <c r="B141" s="19">
        <v>27196957</v>
      </c>
      <c r="C141" s="20">
        <v>46050</v>
      </c>
      <c r="D141" s="18" t="s">
        <v>58</v>
      </c>
      <c r="E141" s="18" t="s">
        <v>59</v>
      </c>
      <c r="F141" s="18" t="s">
        <v>60</v>
      </c>
      <c r="G141" s="18">
        <v>10946</v>
      </c>
      <c r="H141" s="18">
        <f>_xlfn.XLOOKUP(L141,'[1]2026 Mapping v3'!A:A,'[1]2026 Mapping v3'!F:F,0,0)</f>
        <v>13</v>
      </c>
      <c r="I141" s="18" t="b">
        <v>0</v>
      </c>
      <c r="J141" s="18" t="s">
        <v>206</v>
      </c>
      <c r="K141" s="21" t="s">
        <v>1164</v>
      </c>
      <c r="L141" s="18" t="s">
        <v>513</v>
      </c>
      <c r="M141" s="18" t="s">
        <v>63</v>
      </c>
      <c r="N141" s="18" t="s">
        <v>64</v>
      </c>
      <c r="O141" s="18" t="s">
        <v>514</v>
      </c>
      <c r="Q141" s="23" t="s">
        <v>80</v>
      </c>
      <c r="R141" s="23">
        <v>10</v>
      </c>
      <c r="S141" s="24">
        <v>580970</v>
      </c>
      <c r="T141" s="28">
        <v>4000</v>
      </c>
      <c r="U141" s="18" t="s">
        <v>67</v>
      </c>
      <c r="V141" s="18" t="s">
        <v>110</v>
      </c>
      <c r="W141" s="18" t="s">
        <v>69</v>
      </c>
      <c r="X141" s="20">
        <v>46053</v>
      </c>
      <c r="Y141" s="18" t="s">
        <v>515</v>
      </c>
      <c r="Z141" s="18" t="str">
        <f>_xlfn.XLOOKUP(Y141,'[1]Data Source'!A:A,'[1]Data Source'!E:E,"N/A",0)</f>
        <v>LG</v>
      </c>
      <c r="AA141" s="18" t="s">
        <v>516</v>
      </c>
      <c r="AB141" s="18" t="s">
        <v>513</v>
      </c>
      <c r="AC141" s="18" t="str">
        <f>_xlfn.XLOOKUP(L141,'[1]2026 Mapping v3'!A:A,'[1]2026 Mapping v3'!B:B,"Error",0)</f>
        <v>Nairobi Central</v>
      </c>
      <c r="AD141" s="18" t="str">
        <f>_xlfn.XLOOKUP(L141,'[1]2026 Mapping v3'!A:A,'[1]2026 Mapping v3'!C:C,"Error",0)</f>
        <v>Zedekiah Mburu</v>
      </c>
      <c r="AE141" s="18" t="str">
        <f>_xlfn.XLOOKUP(L141,'[1]2026 Mapping v3'!A:A,'[1]2026 Mapping v3'!D:D,"Error",0)</f>
        <v>Zedekiah Mburu</v>
      </c>
      <c r="AF141" s="18" t="str">
        <f>_xlfn.XLOOKUP(L141,'[1]2026 Mapping v3'!A:A,'[1]2026 Mapping v3'!E:E,"Error",0)</f>
        <v>Bilha Wachira</v>
      </c>
      <c r="AS141" s="24">
        <v>4000</v>
      </c>
      <c r="AT141" s="24"/>
      <c r="AU141" s="24"/>
      <c r="AV141" s="24"/>
      <c r="AX141" s="29"/>
      <c r="BE141" s="24">
        <v>4000</v>
      </c>
    </row>
    <row r="142" spans="1:57">
      <c r="A142" s="18" t="s">
        <v>57</v>
      </c>
      <c r="B142" s="19">
        <v>27196957</v>
      </c>
      <c r="C142" s="20">
        <v>46050</v>
      </c>
      <c r="D142" s="18" t="s">
        <v>58</v>
      </c>
      <c r="E142" s="18" t="s">
        <v>59</v>
      </c>
      <c r="F142" s="18" t="s">
        <v>60</v>
      </c>
      <c r="G142" s="18">
        <v>11477</v>
      </c>
      <c r="H142" s="18">
        <f>_xlfn.XLOOKUP(L142,'[1]2026 Mapping v3'!A:A,'[1]2026 Mapping v3'!F:F,0,0)</f>
        <v>15</v>
      </c>
      <c r="I142" s="18" t="b">
        <v>0</v>
      </c>
      <c r="J142" s="18" t="s">
        <v>314</v>
      </c>
      <c r="K142" s="21" t="s">
        <v>1165</v>
      </c>
      <c r="L142" s="18" t="s">
        <v>517</v>
      </c>
      <c r="M142" s="18" t="s">
        <v>63</v>
      </c>
      <c r="N142" s="18" t="s">
        <v>64</v>
      </c>
      <c r="O142" s="18" t="s">
        <v>518</v>
      </c>
      <c r="Q142" s="23" t="s">
        <v>80</v>
      </c>
      <c r="R142" s="23">
        <v>18</v>
      </c>
      <c r="S142" s="24">
        <v>2805840</v>
      </c>
      <c r="T142" s="28">
        <v>100000</v>
      </c>
      <c r="U142" s="18" t="s">
        <v>67</v>
      </c>
      <c r="V142" s="18" t="s">
        <v>68</v>
      </c>
      <c r="W142" s="18" t="s">
        <v>69</v>
      </c>
      <c r="X142" s="20">
        <v>46046</v>
      </c>
      <c r="Y142" s="18" t="s">
        <v>519</v>
      </c>
      <c r="Z142" s="18" t="str">
        <f>_xlfn.XLOOKUP(Y142,'[1]Data Source'!A:A,'[1]Data Source'!E:E,"N/A",0)</f>
        <v>LG</v>
      </c>
      <c r="AA142" s="18" t="s">
        <v>520</v>
      </c>
      <c r="AB142" s="18" t="s">
        <v>517</v>
      </c>
      <c r="AC142" s="18" t="str">
        <f>_xlfn.XLOOKUP(L142,'[1]2026 Mapping v3'!A:A,'[1]2026 Mapping v3'!B:B,"Error",0)</f>
        <v>Mt. Kenya</v>
      </c>
      <c r="AD142" s="18" t="str">
        <f>_xlfn.XLOOKUP(L142,'[1]2026 Mapping v3'!A:A,'[1]2026 Mapping v3'!C:C,"Error",0)</f>
        <v>Teresa Maina</v>
      </c>
      <c r="AE142" s="18" t="str">
        <f>_xlfn.XLOOKUP(L142,'[1]2026 Mapping v3'!A:A,'[1]2026 Mapping v3'!D:D,"Error",0)</f>
        <v>Paul Kithuka</v>
      </c>
      <c r="AF142" s="18" t="str">
        <f>_xlfn.XLOOKUP(L142,'[1]2026 Mapping v3'!A:A,'[1]2026 Mapping v3'!E:E,"Error",0)</f>
        <v>Simon Maingi</v>
      </c>
      <c r="AS142" s="24">
        <v>100000</v>
      </c>
      <c r="AT142" s="24"/>
      <c r="AU142" s="24"/>
      <c r="AV142" s="24"/>
      <c r="AX142" s="29"/>
      <c r="BE142" s="24">
        <v>100000</v>
      </c>
    </row>
    <row r="143" spans="1:57">
      <c r="A143" s="18" t="s">
        <v>57</v>
      </c>
      <c r="B143" s="19">
        <v>27196957</v>
      </c>
      <c r="C143" s="20">
        <v>46050</v>
      </c>
      <c r="D143" s="18" t="s">
        <v>58</v>
      </c>
      <c r="E143" s="18" t="s">
        <v>59</v>
      </c>
      <c r="F143" s="18" t="s">
        <v>60</v>
      </c>
      <c r="G143" s="18">
        <v>19927</v>
      </c>
      <c r="H143" s="18">
        <f>_xlfn.XLOOKUP(L143,'[1]2026 Mapping v3'!A:A,'[1]2026 Mapping v3'!F:F,0,0)</f>
        <v>41</v>
      </c>
      <c r="I143" s="18" t="b">
        <v>0</v>
      </c>
      <c r="J143" s="18" t="s">
        <v>491</v>
      </c>
      <c r="K143" s="21" t="s">
        <v>1166</v>
      </c>
      <c r="L143" s="18" t="s">
        <v>221</v>
      </c>
      <c r="M143" s="18" t="s">
        <v>98</v>
      </c>
      <c r="N143" s="18" t="s">
        <v>64</v>
      </c>
      <c r="O143" s="18" t="s">
        <v>521</v>
      </c>
      <c r="Q143" s="23" t="s">
        <v>80</v>
      </c>
      <c r="R143" s="23">
        <v>9</v>
      </c>
      <c r="S143" s="24">
        <v>1000000</v>
      </c>
      <c r="T143" s="28">
        <v>8130</v>
      </c>
      <c r="U143" s="18" t="s">
        <v>67</v>
      </c>
      <c r="V143" s="18" t="s">
        <v>110</v>
      </c>
      <c r="W143" s="18" t="s">
        <v>69</v>
      </c>
      <c r="X143" s="20">
        <v>46052</v>
      </c>
      <c r="Y143" s="18" t="s">
        <v>522</v>
      </c>
      <c r="Z143" s="18" t="str">
        <f>_xlfn.XLOOKUP(Y143,'[1]Data Source'!A:A,'[1]Data Source'!E:E,"N/A",0)</f>
        <v>LG</v>
      </c>
      <c r="AA143" s="18" t="s">
        <v>523</v>
      </c>
      <c r="AB143" s="18" t="s">
        <v>221</v>
      </c>
      <c r="AC143" s="18" t="str">
        <f>_xlfn.XLOOKUP(L143,'[1]2026 Mapping v3'!A:A,'[1]2026 Mapping v3'!B:B,"Error",0)</f>
        <v>Nairobi West</v>
      </c>
      <c r="AD143" s="18" t="str">
        <f>_xlfn.XLOOKUP(L143,'[1]2026 Mapping v3'!A:A,'[1]2026 Mapping v3'!C:C,"Error",0)</f>
        <v>Ancetar Mulili</v>
      </c>
      <c r="AE143" s="18" t="str">
        <f>_xlfn.XLOOKUP(L143,'[1]2026 Mapping v3'!A:A,'[1]2026 Mapping v3'!D:D,"Error",0)</f>
        <v>Ancetar Mulili</v>
      </c>
      <c r="AF143" s="18" t="str">
        <f>_xlfn.XLOOKUP(L143,'[1]2026 Mapping v3'!A:A,'[1]2026 Mapping v3'!E:E,"Error",0)</f>
        <v>Bilha Wachira</v>
      </c>
      <c r="AS143" s="24">
        <v>8130</v>
      </c>
      <c r="AT143" s="24"/>
      <c r="AU143" s="24"/>
      <c r="AV143" s="24"/>
      <c r="AX143" s="29"/>
      <c r="BE143" s="24">
        <v>8130</v>
      </c>
    </row>
    <row r="144" spans="1:57">
      <c r="A144" s="18" t="s">
        <v>57</v>
      </c>
      <c r="B144" s="19">
        <v>27196957</v>
      </c>
      <c r="C144" s="20">
        <v>46050</v>
      </c>
      <c r="D144" s="18" t="s">
        <v>58</v>
      </c>
      <c r="E144" s="18" t="s">
        <v>59</v>
      </c>
      <c r="F144" s="18" t="s">
        <v>60</v>
      </c>
      <c r="G144" s="20"/>
      <c r="H144" s="18">
        <f>_xlfn.XLOOKUP(L144,'[1]2026 Mapping v3'!A:A,'[1]2026 Mapping v3'!F:F,0,0)</f>
        <v>12</v>
      </c>
      <c r="I144" s="18" t="b">
        <v>0</v>
      </c>
      <c r="J144" s="18" t="s">
        <v>524</v>
      </c>
      <c r="K144" s="21" t="s">
        <v>1167</v>
      </c>
      <c r="L144" s="18" t="s">
        <v>488</v>
      </c>
      <c r="M144" s="18" t="s">
        <v>63</v>
      </c>
      <c r="N144" s="18" t="s">
        <v>64</v>
      </c>
      <c r="O144" s="18" t="s">
        <v>525</v>
      </c>
      <c r="Q144" s="23" t="s">
        <v>80</v>
      </c>
      <c r="R144" s="23">
        <v>18</v>
      </c>
      <c r="S144" s="24">
        <v>1262630</v>
      </c>
      <c r="T144" s="28">
        <v>50000</v>
      </c>
      <c r="U144" s="18" t="s">
        <v>67</v>
      </c>
      <c r="V144" s="18" t="s">
        <v>68</v>
      </c>
      <c r="W144" s="18" t="s">
        <v>69</v>
      </c>
      <c r="X144" s="20">
        <v>46046</v>
      </c>
      <c r="Y144" s="18" t="s">
        <v>526</v>
      </c>
      <c r="Z144" s="18" t="str">
        <f>_xlfn.XLOOKUP(Y144,'[1]Data Source'!A:A,'[1]Data Source'!E:E,"N/A",0)</f>
        <v>LG</v>
      </c>
      <c r="AA144" s="18" t="s">
        <v>527</v>
      </c>
      <c r="AB144" s="18" t="s">
        <v>488</v>
      </c>
      <c r="AC144" s="18" t="str">
        <f>_xlfn.XLOOKUP(L144,'[1]2026 Mapping v3'!A:A,'[1]2026 Mapping v3'!B:B,"Error",0)</f>
        <v>Coast</v>
      </c>
      <c r="AD144" s="18" t="str">
        <f>_xlfn.XLOOKUP(L144,'[1]2026 Mapping v3'!A:A,'[1]2026 Mapping v3'!C:C,"Error",0)</f>
        <v>Nancy Logose</v>
      </c>
      <c r="AE144" s="18" t="str">
        <f>_xlfn.XLOOKUP(L144,'[1]2026 Mapping v3'!A:A,'[1]2026 Mapping v3'!D:D,"Error",0)</f>
        <v>Brian Khamadi</v>
      </c>
      <c r="AF144" s="18" t="str">
        <f>_xlfn.XLOOKUP(L144,'[1]2026 Mapping v3'!A:A,'[1]2026 Mapping v3'!E:E,"Error",0)</f>
        <v>Eric Njiru</v>
      </c>
      <c r="AS144" s="24">
        <v>50000</v>
      </c>
      <c r="AT144" s="24"/>
      <c r="AU144" s="24"/>
      <c r="AV144" s="24"/>
      <c r="AX144" s="29"/>
      <c r="BE144" s="24">
        <v>50000</v>
      </c>
    </row>
    <row r="145" spans="1:57">
      <c r="A145" s="18" t="s">
        <v>57</v>
      </c>
      <c r="B145" s="19">
        <v>27196957</v>
      </c>
      <c r="C145" s="20">
        <v>46050</v>
      </c>
      <c r="D145" s="18" t="s">
        <v>58</v>
      </c>
      <c r="E145" s="18" t="s">
        <v>59</v>
      </c>
      <c r="F145" s="18" t="s">
        <v>60</v>
      </c>
      <c r="G145" s="18">
        <v>18735</v>
      </c>
      <c r="H145" s="18">
        <f>_xlfn.XLOOKUP(L145,'[1]2026 Mapping v3'!A:A,'[1]2026 Mapping v3'!F:F,0,0)</f>
        <v>39</v>
      </c>
      <c r="I145" s="18" t="b">
        <v>0</v>
      </c>
      <c r="J145" s="18" t="s">
        <v>528</v>
      </c>
      <c r="K145" s="21" t="s">
        <v>1168</v>
      </c>
      <c r="L145" s="18" t="s">
        <v>211</v>
      </c>
      <c r="M145" s="18" t="s">
        <v>98</v>
      </c>
      <c r="N145" s="18" t="s">
        <v>64</v>
      </c>
      <c r="O145" s="18" t="s">
        <v>529</v>
      </c>
      <c r="Q145" s="23" t="s">
        <v>80</v>
      </c>
      <c r="R145" s="23">
        <v>5</v>
      </c>
      <c r="S145" s="24">
        <v>3780378</v>
      </c>
      <c r="T145" s="28">
        <v>600006</v>
      </c>
      <c r="U145" s="18" t="s">
        <v>67</v>
      </c>
      <c r="V145" s="18" t="s">
        <v>68</v>
      </c>
      <c r="W145" s="18" t="s">
        <v>69</v>
      </c>
      <c r="X145" s="20">
        <v>46046</v>
      </c>
      <c r="Y145" s="18" t="s">
        <v>530</v>
      </c>
      <c r="Z145" s="18" t="str">
        <f>_xlfn.XLOOKUP(Y145,'[1]Data Source'!A:A,'[1]Data Source'!E:E,"N/A",0)</f>
        <v>N/A</v>
      </c>
      <c r="AA145" s="18" t="s">
        <v>101</v>
      </c>
      <c r="AB145" s="18" t="s">
        <v>214</v>
      </c>
      <c r="AC145" s="18" t="str">
        <f>_xlfn.XLOOKUP(L145,'[1]2026 Mapping v3'!A:A,'[1]2026 Mapping v3'!B:B,"Error",0)</f>
        <v>Western</v>
      </c>
      <c r="AD145" s="18" t="str">
        <f>_xlfn.XLOOKUP(L145,'[1]2026 Mapping v3'!A:A,'[1]2026 Mapping v3'!C:C,"Error",0)</f>
        <v>Sheila Adhiambo</v>
      </c>
      <c r="AE145" s="18" t="str">
        <f>_xlfn.XLOOKUP(L145,'[1]2026 Mapping v3'!A:A,'[1]2026 Mapping v3'!D:D,"Error",0)</f>
        <v>Sheila Adhiambo</v>
      </c>
      <c r="AF145" s="18" t="str">
        <f>_xlfn.XLOOKUP(L145,'[1]2026 Mapping v3'!A:A,'[1]2026 Mapping v3'!E:E,"Error",0)</f>
        <v>Eric Njiru</v>
      </c>
      <c r="AS145" s="24">
        <v>600006</v>
      </c>
      <c r="AT145" s="24"/>
      <c r="AU145" s="24"/>
      <c r="AV145" s="24"/>
      <c r="AX145" s="29"/>
      <c r="BE145" s="24">
        <v>600006</v>
      </c>
    </row>
    <row r="146" spans="1:57">
      <c r="A146" s="18" t="s">
        <v>57</v>
      </c>
      <c r="B146" s="19">
        <v>27196957</v>
      </c>
      <c r="C146" s="20">
        <v>46050</v>
      </c>
      <c r="D146" s="18" t="s">
        <v>58</v>
      </c>
      <c r="E146" s="18" t="s">
        <v>59</v>
      </c>
      <c r="F146" s="18" t="s">
        <v>60</v>
      </c>
      <c r="G146" s="18">
        <v>16569</v>
      </c>
      <c r="H146" s="18">
        <f>_xlfn.XLOOKUP(L146,'[1]2026 Mapping v3'!A:A,'[1]2026 Mapping v3'!F:F,0,0)</f>
        <v>2</v>
      </c>
      <c r="I146" s="18" t="b">
        <v>0</v>
      </c>
      <c r="J146" s="18" t="s">
        <v>531</v>
      </c>
      <c r="K146" s="21" t="s">
        <v>1169</v>
      </c>
      <c r="L146" s="18" t="s">
        <v>377</v>
      </c>
      <c r="M146" s="18" t="s">
        <v>98</v>
      </c>
      <c r="N146" s="18" t="s">
        <v>64</v>
      </c>
      <c r="O146" s="18" t="s">
        <v>532</v>
      </c>
      <c r="Q146" s="23" t="s">
        <v>80</v>
      </c>
      <c r="R146" s="23">
        <v>5</v>
      </c>
      <c r="S146" s="24">
        <v>1400140</v>
      </c>
      <c r="T146" s="28">
        <v>200259</v>
      </c>
      <c r="U146" s="18" t="s">
        <v>67</v>
      </c>
      <c r="V146" s="18" t="s">
        <v>68</v>
      </c>
      <c r="W146" s="18" t="s">
        <v>69</v>
      </c>
      <c r="X146" s="20">
        <v>46046</v>
      </c>
      <c r="Y146" s="18" t="s">
        <v>533</v>
      </c>
      <c r="Z146" s="18" t="str">
        <f>_xlfn.XLOOKUP(Y146,'[1]Data Source'!A:A,'[1]Data Source'!E:E,"N/A",0)</f>
        <v>N/A</v>
      </c>
      <c r="AA146" s="18" t="s">
        <v>101</v>
      </c>
      <c r="AB146" s="18" t="s">
        <v>377</v>
      </c>
      <c r="AC146" s="18" t="str">
        <f>_xlfn.XLOOKUP(L146,'[1]2026 Mapping v3'!A:A,'[1]2026 Mapping v3'!B:B,"Error",0)</f>
        <v>TMU</v>
      </c>
      <c r="AD146" s="18" t="str">
        <f>_xlfn.XLOOKUP(L146,'[1]2026 Mapping v3'!A:A,'[1]2026 Mapping v3'!C:C,"Error",0)</f>
        <v>Simon Wambua</v>
      </c>
      <c r="AE146" s="18" t="str">
        <f>_xlfn.XLOOKUP(L146,'[1]2026 Mapping v3'!A:A,'[1]2026 Mapping v3'!D:D,"Error",0)</f>
        <v>Joseph Kairu</v>
      </c>
      <c r="AF146" s="18" t="str">
        <f>_xlfn.XLOOKUP(L146,'[1]2026 Mapping v3'!A:A,'[1]2026 Mapping v3'!E:E,"Error",0)</f>
        <v>Debrah Rashid</v>
      </c>
      <c r="AS146" s="24">
        <v>200259</v>
      </c>
      <c r="AT146" s="24"/>
      <c r="AU146" s="24"/>
      <c r="AV146" s="24"/>
      <c r="AX146" s="29"/>
      <c r="BE146" s="24">
        <v>200259</v>
      </c>
    </row>
    <row r="147" spans="1:57">
      <c r="A147" s="18" t="s">
        <v>57</v>
      </c>
      <c r="B147" s="19">
        <v>27196957</v>
      </c>
      <c r="C147" s="20">
        <v>46050</v>
      </c>
      <c r="D147" s="18" t="s">
        <v>58</v>
      </c>
      <c r="E147" s="18" t="s">
        <v>59</v>
      </c>
      <c r="F147" s="18" t="s">
        <v>60</v>
      </c>
      <c r="G147" s="18">
        <v>10689</v>
      </c>
      <c r="H147" s="18">
        <f>_xlfn.XLOOKUP(L147,'[1]2026 Mapping v3'!A:A,'[1]2026 Mapping v3'!F:F,0,0)</f>
        <v>71</v>
      </c>
      <c r="I147" s="18" t="b">
        <v>0</v>
      </c>
      <c r="J147" s="18" t="s">
        <v>235</v>
      </c>
      <c r="K147" s="21" t="s">
        <v>1170</v>
      </c>
      <c r="L147" s="18" t="s">
        <v>89</v>
      </c>
      <c r="M147" s="18" t="s">
        <v>63</v>
      </c>
      <c r="N147" s="18" t="s">
        <v>64</v>
      </c>
      <c r="O147" s="18" t="s">
        <v>534</v>
      </c>
      <c r="Q147" s="23" t="s">
        <v>80</v>
      </c>
      <c r="R147" s="23">
        <v>10</v>
      </c>
      <c r="S147" s="24">
        <v>435729</v>
      </c>
      <c r="T147" s="28">
        <v>3000</v>
      </c>
      <c r="U147" s="18" t="s">
        <v>67</v>
      </c>
      <c r="V147" s="18" t="s">
        <v>110</v>
      </c>
      <c r="W147" s="18" t="s">
        <v>69</v>
      </c>
      <c r="X147" s="20">
        <v>46077</v>
      </c>
      <c r="Y147" s="18" t="s">
        <v>168</v>
      </c>
      <c r="Z147" s="18" t="str">
        <f>_xlfn.XLOOKUP(Y147,'[1]Data Source'!A:A,'[1]Data Source'!E:E,"N/A",0)</f>
        <v>N/A</v>
      </c>
      <c r="AA147" s="18" t="s">
        <v>101</v>
      </c>
      <c r="AB147" s="18" t="s">
        <v>89</v>
      </c>
      <c r="AC147" s="18" t="str">
        <f>_xlfn.XLOOKUP(L147,'[1]2026 Mapping v3'!A:A,'[1]2026 Mapping v3'!B:B,"Error",0)</f>
        <v>Queensway</v>
      </c>
      <c r="AD147" s="18" t="str">
        <f>_xlfn.XLOOKUP(L147,'[1]2026 Mapping v3'!A:A,'[1]2026 Mapping v3'!C:C,"Error",0)</f>
        <v>Nina Kifani</v>
      </c>
      <c r="AE147" s="18" t="str">
        <f>_xlfn.XLOOKUP(L147,'[1]2026 Mapping v3'!A:A,'[1]2026 Mapping v3'!D:D,"Error",0)</f>
        <v>Nina Kifani</v>
      </c>
      <c r="AF147" s="18" t="str">
        <f>_xlfn.XLOOKUP(L147,'[1]2026 Mapping v3'!A:A,'[1]2026 Mapping v3'!E:E,"Error",0)</f>
        <v>Bilha Wachira</v>
      </c>
      <c r="AS147" s="24">
        <v>3000</v>
      </c>
      <c r="AT147" s="24"/>
      <c r="AU147" s="24"/>
      <c r="AV147" s="24"/>
      <c r="AX147" s="29"/>
      <c r="BE147" s="24">
        <v>3000</v>
      </c>
    </row>
    <row r="148" spans="1:57">
      <c r="A148" s="18" t="s">
        <v>145</v>
      </c>
      <c r="B148" s="19">
        <v>27196957</v>
      </c>
      <c r="C148" s="20">
        <v>46050</v>
      </c>
      <c r="D148" s="18" t="s">
        <v>58</v>
      </c>
      <c r="E148" s="18" t="s">
        <v>59</v>
      </c>
      <c r="F148" s="18" t="s">
        <v>60</v>
      </c>
      <c r="G148" s="18">
        <v>3920</v>
      </c>
      <c r="H148" s="18">
        <f>_xlfn.XLOOKUP(L148,'[1]2026 Mapping v3'!A:A,'[1]2026 Mapping v3'!F:F,0,0)</f>
        <v>129</v>
      </c>
      <c r="J148" s="18" t="str">
        <f>UPPER(LEFT(K148, 1) &amp; LEFT(MID(K148, FIND(" ", K148) + 1, LEN(K148)), 1))</f>
        <v>N1</v>
      </c>
      <c r="K148" s="21" t="s">
        <v>1171</v>
      </c>
      <c r="L148" s="18" t="s">
        <v>145</v>
      </c>
      <c r="M148" s="18" t="s">
        <v>98</v>
      </c>
      <c r="N148" s="18" t="s">
        <v>64</v>
      </c>
      <c r="Q148" s="23" t="s">
        <v>80</v>
      </c>
      <c r="R148" s="23">
        <v>5</v>
      </c>
      <c r="S148" s="24">
        <v>3874796</v>
      </c>
      <c r="T148" s="28">
        <v>500716</v>
      </c>
      <c r="U148" s="18" t="s">
        <v>67</v>
      </c>
      <c r="V148" s="18" t="s">
        <v>68</v>
      </c>
      <c r="W148" s="18" t="s">
        <v>69</v>
      </c>
      <c r="X148" s="20">
        <v>46073</v>
      </c>
      <c r="Y148" s="18" t="s">
        <v>148</v>
      </c>
      <c r="Z148" s="18" t="str">
        <f>_xlfn.XLOOKUP(Y148,'[1]Data Source'!A:A,'[1]Data Source'!E:E,"N/A",0)</f>
        <v>WENDRA</v>
      </c>
      <c r="AA148" s="18" t="str">
        <f>_xlfn.XLOOKUP(Y148,'[1]Data Source'!A:A,'[1]Data Source'!B:B,"N/A",0)</f>
        <v>Beatrice Ndukui</v>
      </c>
      <c r="AB148" s="18" t="str">
        <f>L148</f>
        <v>Wendra</v>
      </c>
      <c r="AC148" s="18" t="str">
        <f>_xlfn.XLOOKUP(L148,'[1]2026 Mapping v3'!A:A,'[1]2026 Mapping v3'!B:B,"Error",0)</f>
        <v>Alternative Channels</v>
      </c>
      <c r="AD148" s="18" t="str">
        <f>_xlfn.XLOOKUP(L148,'[1]2026 Mapping v3'!A:A,'[1]2026 Mapping v3'!C:C,"Error",0)</f>
        <v>Selestine Magayu</v>
      </c>
      <c r="AE148" s="18" t="str">
        <f>_xlfn.XLOOKUP(L148,'[1]2026 Mapping v3'!A:A,'[1]2026 Mapping v3'!D:D,"Error",0)</f>
        <v>Joel Mbogo</v>
      </c>
      <c r="AF148" s="18" t="str">
        <f>_xlfn.XLOOKUP(L148,'[1]2026 Mapping v3'!A:A,'[1]2026 Mapping v3'!E:E,"Error",0)</f>
        <v>Eric Njiru</v>
      </c>
      <c r="AS148" s="24">
        <v>500716</v>
      </c>
      <c r="AT148" s="24"/>
      <c r="AU148" s="24"/>
      <c r="AV148" s="24"/>
      <c r="AX148" s="29"/>
      <c r="BE148" s="24">
        <f>SUM(AS148:BD148)</f>
        <v>500716</v>
      </c>
    </row>
    <row r="149" spans="1:57">
      <c r="A149" s="18" t="s">
        <v>57</v>
      </c>
      <c r="B149" s="19">
        <v>27196957</v>
      </c>
      <c r="C149" s="20">
        <v>46051</v>
      </c>
      <c r="D149" s="18" t="s">
        <v>58</v>
      </c>
      <c r="E149" s="18" t="s">
        <v>59</v>
      </c>
      <c r="F149" s="18" t="s">
        <v>60</v>
      </c>
      <c r="G149" s="18">
        <v>19964</v>
      </c>
      <c r="H149" s="18">
        <f>_xlfn.XLOOKUP(L149,'[1]2026 Mapping v3'!A:A,'[1]2026 Mapping v3'!F:F,0,0)</f>
        <v>105</v>
      </c>
      <c r="I149" s="18" t="b">
        <v>0</v>
      </c>
      <c r="J149" s="18" t="s">
        <v>225</v>
      </c>
      <c r="K149" s="21" t="s">
        <v>1172</v>
      </c>
      <c r="L149" s="18" t="s">
        <v>427</v>
      </c>
      <c r="M149" s="18" t="s">
        <v>98</v>
      </c>
      <c r="N149" s="18" t="s">
        <v>64</v>
      </c>
      <c r="O149" s="18" t="s">
        <v>535</v>
      </c>
      <c r="Q149" s="23" t="s">
        <v>80</v>
      </c>
      <c r="R149" s="23">
        <v>5</v>
      </c>
      <c r="S149" s="24">
        <v>10000000</v>
      </c>
      <c r="T149" s="28">
        <v>1588980</v>
      </c>
      <c r="U149" s="18" t="s">
        <v>67</v>
      </c>
      <c r="V149" s="18" t="s">
        <v>68</v>
      </c>
      <c r="W149" s="18" t="s">
        <v>69</v>
      </c>
      <c r="X149" s="20">
        <v>46050</v>
      </c>
      <c r="Y149" s="18" t="s">
        <v>429</v>
      </c>
      <c r="Z149" s="18" t="str">
        <f>_xlfn.XLOOKUP(Y149,'[1]Data Source'!A:A,'[1]Data Source'!E:E,"N/A",0)</f>
        <v>RM</v>
      </c>
      <c r="AA149" s="18" t="s">
        <v>430</v>
      </c>
      <c r="AB149" s="18" t="s">
        <v>427</v>
      </c>
      <c r="AC149" s="18" t="str">
        <f>_xlfn.XLOOKUP(L149,'[1]2026 Mapping v3'!A:A,'[1]2026 Mapping v3'!B:B,"Error",0)</f>
        <v>Premier</v>
      </c>
      <c r="AD149" s="18" t="str">
        <f>_xlfn.XLOOKUP(L149,'[1]2026 Mapping v3'!A:A,'[1]2026 Mapping v3'!C:C,"Error",0)</f>
        <v>Joseph Kairu</v>
      </c>
      <c r="AE149" s="18" t="str">
        <f>_xlfn.XLOOKUP(L149,'[1]2026 Mapping v3'!A:A,'[1]2026 Mapping v3'!D:D,"Error",0)</f>
        <v>Joseph Kairu</v>
      </c>
      <c r="AF149" s="18" t="str">
        <f>_xlfn.XLOOKUP(L149,'[1]2026 Mapping v3'!A:A,'[1]2026 Mapping v3'!E:E,"Error",0)</f>
        <v>Debrah Rashid</v>
      </c>
      <c r="AS149" s="24">
        <v>1588980</v>
      </c>
      <c r="AT149" s="24"/>
      <c r="AU149" s="24"/>
      <c r="AV149" s="24"/>
      <c r="AX149" s="29"/>
      <c r="BE149" s="24">
        <v>1588980</v>
      </c>
    </row>
    <row r="150" spans="1:57">
      <c r="A150" s="18" t="s">
        <v>57</v>
      </c>
      <c r="B150" s="19">
        <v>27196957</v>
      </c>
      <c r="C150" s="20">
        <v>46051</v>
      </c>
      <c r="D150" s="18" t="s">
        <v>58</v>
      </c>
      <c r="E150" s="18" t="s">
        <v>59</v>
      </c>
      <c r="F150" s="18" t="s">
        <v>60</v>
      </c>
      <c r="G150" s="18">
        <v>18725</v>
      </c>
      <c r="H150" s="18">
        <f>_xlfn.XLOOKUP(L150,'[1]2026 Mapping v3'!A:A,'[1]2026 Mapping v3'!F:F,0,0)</f>
        <v>50</v>
      </c>
      <c r="I150" s="18" t="b">
        <v>0</v>
      </c>
      <c r="J150" s="18" t="s">
        <v>536</v>
      </c>
      <c r="K150" s="21" t="s">
        <v>1173</v>
      </c>
      <c r="L150" s="18" t="s">
        <v>315</v>
      </c>
      <c r="M150" s="18" t="s">
        <v>98</v>
      </c>
      <c r="N150" s="18" t="s">
        <v>64</v>
      </c>
      <c r="O150" s="18" t="s">
        <v>537</v>
      </c>
      <c r="Q150" s="23" t="s">
        <v>80</v>
      </c>
      <c r="R150" s="23">
        <v>5</v>
      </c>
      <c r="S150" s="24">
        <v>5603503</v>
      </c>
      <c r="T150" s="28">
        <v>1000000</v>
      </c>
      <c r="U150" s="18" t="s">
        <v>67</v>
      </c>
      <c r="V150" s="18" t="s">
        <v>68</v>
      </c>
      <c r="W150" s="18" t="s">
        <v>69</v>
      </c>
      <c r="X150" s="20">
        <v>46046</v>
      </c>
      <c r="Y150" s="18" t="s">
        <v>317</v>
      </c>
      <c r="Z150" s="18" t="str">
        <f>_xlfn.XLOOKUP(Y150,'[1]Data Source'!A:A,'[1]Data Source'!E:E,"N/A",0)</f>
        <v>N/A</v>
      </c>
      <c r="AA150" s="18" t="s">
        <v>101</v>
      </c>
      <c r="AB150" s="18" t="s">
        <v>315</v>
      </c>
      <c r="AC150" s="18" t="str">
        <f>_xlfn.XLOOKUP(L150,'[1]2026 Mapping v3'!A:A,'[1]2026 Mapping v3'!B:B,"Error",0)</f>
        <v>Western</v>
      </c>
      <c r="AD150" s="18" t="str">
        <f>_xlfn.XLOOKUP(L150,'[1]2026 Mapping v3'!A:A,'[1]2026 Mapping v3'!C:C,"Error",0)</f>
        <v>Sheila Adhiambo</v>
      </c>
      <c r="AE150" s="18" t="str">
        <f>_xlfn.XLOOKUP(L150,'[1]2026 Mapping v3'!A:A,'[1]2026 Mapping v3'!D:D,"Error",0)</f>
        <v>Sheila Adhiambo</v>
      </c>
      <c r="AF150" s="18" t="str">
        <f>_xlfn.XLOOKUP(L150,'[1]2026 Mapping v3'!A:A,'[1]2026 Mapping v3'!E:E,"Error",0)</f>
        <v>Eric Njiru</v>
      </c>
      <c r="AS150" s="24">
        <v>1000000</v>
      </c>
      <c r="AT150" s="24"/>
      <c r="AU150" s="24"/>
      <c r="AV150" s="24"/>
      <c r="AX150" s="29"/>
      <c r="BE150" s="24">
        <v>1000000</v>
      </c>
    </row>
    <row r="151" spans="1:57">
      <c r="A151" s="18" t="s">
        <v>57</v>
      </c>
      <c r="B151" s="19">
        <v>27196957</v>
      </c>
      <c r="C151" s="20">
        <v>46051</v>
      </c>
      <c r="D151" s="18" t="s">
        <v>58</v>
      </c>
      <c r="E151" s="18" t="s">
        <v>59</v>
      </c>
      <c r="F151" s="18" t="s">
        <v>60</v>
      </c>
      <c r="G151" s="18">
        <v>4011</v>
      </c>
      <c r="H151" s="18">
        <f>_xlfn.XLOOKUP(L151,'[1]2026 Mapping v3'!A:A,'[1]2026 Mapping v3'!F:F,0,0)</f>
        <v>27</v>
      </c>
      <c r="I151" s="18" t="b">
        <v>0</v>
      </c>
      <c r="J151" s="18" t="s">
        <v>538</v>
      </c>
      <c r="K151" s="21" t="s">
        <v>1174</v>
      </c>
      <c r="L151" s="18" t="s">
        <v>509</v>
      </c>
      <c r="M151" s="18" t="s">
        <v>63</v>
      </c>
      <c r="N151" s="18" t="s">
        <v>64</v>
      </c>
      <c r="O151" s="18" t="s">
        <v>539</v>
      </c>
      <c r="Q151" s="23" t="s">
        <v>66</v>
      </c>
      <c r="R151" s="23">
        <v>10</v>
      </c>
      <c r="S151" s="24">
        <v>290480</v>
      </c>
      <c r="T151" s="28">
        <v>22000</v>
      </c>
      <c r="U151" s="18" t="s">
        <v>67</v>
      </c>
      <c r="V151" s="18" t="s">
        <v>68</v>
      </c>
      <c r="W151" s="18" t="s">
        <v>69</v>
      </c>
      <c r="X151" s="20">
        <v>46052</v>
      </c>
      <c r="Y151" s="18" t="s">
        <v>540</v>
      </c>
      <c r="Z151" s="18" t="str">
        <f>_xlfn.XLOOKUP(Y151,'[1]Data Source'!A:A,'[1]Data Source'!E:E,"N/A",0)</f>
        <v>N/A</v>
      </c>
      <c r="AA151" s="18" t="s">
        <v>101</v>
      </c>
      <c r="AB151" s="18" t="s">
        <v>509</v>
      </c>
      <c r="AC151" s="18" t="str">
        <f>_xlfn.XLOOKUP(L151,'[1]2026 Mapping v3'!A:A,'[1]2026 Mapping v3'!B:B,"Error",0)</f>
        <v>Rift Valley</v>
      </c>
      <c r="AD151" s="18" t="str">
        <f>_xlfn.XLOOKUP(L151,'[1]2026 Mapping v3'!A:A,'[1]2026 Mapping v3'!C:C,"Error",0)</f>
        <v>Hillary Muganda</v>
      </c>
      <c r="AE151" s="18" t="str">
        <f>_xlfn.XLOOKUP(L151,'[1]2026 Mapping v3'!A:A,'[1]2026 Mapping v3'!D:D,"Error",0)</f>
        <v>Emily Jepchirchir</v>
      </c>
      <c r="AF151" s="18" t="str">
        <f>_xlfn.XLOOKUP(L151,'[1]2026 Mapping v3'!A:A,'[1]2026 Mapping v3'!E:E,"Error",0)</f>
        <v>Emily Jepchirchir</v>
      </c>
      <c r="AS151" s="24">
        <v>22000</v>
      </c>
      <c r="AT151" s="24"/>
      <c r="AU151" s="24"/>
      <c r="AV151" s="24"/>
      <c r="AX151" s="29"/>
      <c r="BE151" s="24">
        <v>22000</v>
      </c>
    </row>
    <row r="152" spans="1:57">
      <c r="A152" s="18" t="s">
        <v>57</v>
      </c>
      <c r="B152" s="19">
        <v>27196957</v>
      </c>
      <c r="C152" s="20">
        <v>46051</v>
      </c>
      <c r="D152" s="18" t="s">
        <v>58</v>
      </c>
      <c r="E152" s="18" t="s">
        <v>59</v>
      </c>
      <c r="F152" s="18" t="s">
        <v>60</v>
      </c>
      <c r="G152" s="18">
        <v>11136</v>
      </c>
      <c r="H152" s="18">
        <f>_xlfn.XLOOKUP(L152,'[1]2026 Mapping v3'!A:A,'[1]2026 Mapping v3'!F:F,0,0)</f>
        <v>125</v>
      </c>
      <c r="I152" s="18" t="b">
        <v>0</v>
      </c>
      <c r="J152" s="18" t="s">
        <v>541</v>
      </c>
      <c r="K152" s="21" t="s">
        <v>1175</v>
      </c>
      <c r="L152" s="18" t="s">
        <v>162</v>
      </c>
      <c r="M152" s="18" t="s">
        <v>98</v>
      </c>
      <c r="N152" s="18" t="s">
        <v>64</v>
      </c>
      <c r="O152" s="18" t="s">
        <v>542</v>
      </c>
      <c r="Q152" s="23" t="s">
        <v>80</v>
      </c>
      <c r="R152" s="23">
        <v>5</v>
      </c>
      <c r="S152" s="24">
        <v>15751576</v>
      </c>
      <c r="T152" s="28">
        <v>2500003</v>
      </c>
      <c r="U152" s="18" t="s">
        <v>67</v>
      </c>
      <c r="V152" s="18" t="s">
        <v>68</v>
      </c>
      <c r="W152" s="18" t="s">
        <v>69</v>
      </c>
      <c r="X152" s="20">
        <v>46052</v>
      </c>
      <c r="Y152" s="18" t="s">
        <v>178</v>
      </c>
      <c r="Z152" s="18" t="str">
        <f>_xlfn.XLOOKUP(Y152,'[1]Data Source'!A:A,'[1]Data Source'!E:E,"N/A",0)</f>
        <v>UB</v>
      </c>
      <c r="AA152" s="18" t="s">
        <v>179</v>
      </c>
      <c r="AB152" s="18" t="s">
        <v>162</v>
      </c>
      <c r="AC152" s="18" t="str">
        <f>_xlfn.XLOOKUP(L152,'[1]2026 Mapping v3'!A:A,'[1]2026 Mapping v3'!B:B,"Error",0)</f>
        <v>Rift Valley</v>
      </c>
      <c r="AD152" s="18" t="str">
        <f>_xlfn.XLOOKUP(L152,'[1]2026 Mapping v3'!A:A,'[1]2026 Mapping v3'!C:C,"Error",0)</f>
        <v>Emily Jepchirchir</v>
      </c>
      <c r="AE152" s="18" t="str">
        <f>_xlfn.XLOOKUP(L152,'[1]2026 Mapping v3'!A:A,'[1]2026 Mapping v3'!D:D,"Error",0)</f>
        <v>Emily Jepchirchir</v>
      </c>
      <c r="AF152" s="18" t="str">
        <f>_xlfn.XLOOKUP(L152,'[1]2026 Mapping v3'!A:A,'[1]2026 Mapping v3'!E:E,"Error",0)</f>
        <v>Emily Jepchirchir</v>
      </c>
      <c r="AS152" s="24">
        <v>2500003</v>
      </c>
      <c r="AT152" s="24"/>
      <c r="AU152" s="24"/>
      <c r="AV152" s="24"/>
      <c r="AX152" s="29"/>
      <c r="BE152" s="24">
        <v>2500003</v>
      </c>
    </row>
    <row r="153" spans="1:57">
      <c r="A153" s="18" t="s">
        <v>57</v>
      </c>
      <c r="B153" s="19">
        <v>27196957</v>
      </c>
      <c r="C153" s="20">
        <v>46051</v>
      </c>
      <c r="D153" s="18" t="s">
        <v>58</v>
      </c>
      <c r="E153" s="18" t="s">
        <v>59</v>
      </c>
      <c r="F153" s="18" t="s">
        <v>60</v>
      </c>
      <c r="G153" s="18">
        <v>17507</v>
      </c>
      <c r="H153" s="18">
        <f>_xlfn.XLOOKUP(L153,'[1]2026 Mapping v3'!A:A,'[1]2026 Mapping v3'!F:F,0,0)</f>
        <v>125</v>
      </c>
      <c r="I153" s="18" t="b">
        <v>0</v>
      </c>
      <c r="J153" s="18" t="s">
        <v>483</v>
      </c>
      <c r="K153" s="21" t="s">
        <v>1176</v>
      </c>
      <c r="L153" s="18" t="s">
        <v>162</v>
      </c>
      <c r="M153" s="18" t="s">
        <v>98</v>
      </c>
      <c r="N153" s="18" t="s">
        <v>64</v>
      </c>
      <c r="O153" s="18" t="s">
        <v>543</v>
      </c>
      <c r="Q153" s="23" t="s">
        <v>80</v>
      </c>
      <c r="R153" s="23">
        <v>5</v>
      </c>
      <c r="S153" s="24">
        <v>6300630</v>
      </c>
      <c r="T153" s="28">
        <v>1000010</v>
      </c>
      <c r="U153" s="18" t="s">
        <v>67</v>
      </c>
      <c r="V153" s="18" t="s">
        <v>68</v>
      </c>
      <c r="W153" s="18" t="s">
        <v>69</v>
      </c>
      <c r="X153" s="20">
        <v>46054</v>
      </c>
      <c r="Y153" s="18" t="s">
        <v>544</v>
      </c>
      <c r="Z153" s="18" t="str">
        <f>_xlfn.XLOOKUP(Y153,'[1]Data Source'!A:A,'[1]Data Source'!E:E,"N/A",0)</f>
        <v>N/A</v>
      </c>
      <c r="AA153" s="18" t="s">
        <v>101</v>
      </c>
      <c r="AB153" s="18" t="s">
        <v>162</v>
      </c>
      <c r="AC153" s="18" t="str">
        <f>_xlfn.XLOOKUP(L153,'[1]2026 Mapping v3'!A:A,'[1]2026 Mapping v3'!B:B,"Error",0)</f>
        <v>Rift Valley</v>
      </c>
      <c r="AD153" s="18" t="str">
        <f>_xlfn.XLOOKUP(L153,'[1]2026 Mapping v3'!A:A,'[1]2026 Mapping v3'!C:C,"Error",0)</f>
        <v>Emily Jepchirchir</v>
      </c>
      <c r="AE153" s="18" t="str">
        <f>_xlfn.XLOOKUP(L153,'[1]2026 Mapping v3'!A:A,'[1]2026 Mapping v3'!D:D,"Error",0)</f>
        <v>Emily Jepchirchir</v>
      </c>
      <c r="AF153" s="18" t="str">
        <f>_xlfn.XLOOKUP(L153,'[1]2026 Mapping v3'!A:A,'[1]2026 Mapping v3'!E:E,"Error",0)</f>
        <v>Emily Jepchirchir</v>
      </c>
      <c r="AS153" s="24">
        <v>1000010</v>
      </c>
      <c r="AT153" s="24"/>
      <c r="AU153" s="24"/>
      <c r="AV153" s="24"/>
      <c r="AX153" s="29"/>
      <c r="BE153" s="24">
        <v>1000010</v>
      </c>
    </row>
    <row r="154" spans="1:57">
      <c r="A154" s="18" t="s">
        <v>57</v>
      </c>
      <c r="B154" s="19">
        <v>27196957</v>
      </c>
      <c r="C154" s="20">
        <v>46051</v>
      </c>
      <c r="D154" s="18" t="s">
        <v>58</v>
      </c>
      <c r="E154" s="18" t="s">
        <v>59</v>
      </c>
      <c r="F154" s="18" t="s">
        <v>60</v>
      </c>
      <c r="G154" s="18">
        <v>11764</v>
      </c>
      <c r="H154" s="18">
        <f>_xlfn.XLOOKUP(L154,'[1]2026 Mapping v3'!A:A,'[1]2026 Mapping v3'!F:F,0,0)</f>
        <v>40</v>
      </c>
      <c r="I154" s="18" t="b">
        <v>0</v>
      </c>
      <c r="J154" s="18" t="s">
        <v>133</v>
      </c>
      <c r="K154" s="21" t="s">
        <v>1177</v>
      </c>
      <c r="L154" s="18" t="s">
        <v>244</v>
      </c>
      <c r="M154" s="18" t="s">
        <v>63</v>
      </c>
      <c r="N154" s="18" t="s">
        <v>64</v>
      </c>
      <c r="O154" s="18" t="s">
        <v>545</v>
      </c>
      <c r="Q154" s="23" t="s">
        <v>80</v>
      </c>
      <c r="R154" s="23">
        <v>18</v>
      </c>
      <c r="S154" s="24">
        <v>925930</v>
      </c>
      <c r="T154" s="28">
        <v>3000</v>
      </c>
      <c r="U154" s="18" t="s">
        <v>67</v>
      </c>
      <c r="V154" s="18" t="s">
        <v>110</v>
      </c>
      <c r="W154" s="18" t="s">
        <v>69</v>
      </c>
      <c r="X154" s="20">
        <v>46046</v>
      </c>
      <c r="Y154" s="18" t="s">
        <v>546</v>
      </c>
      <c r="Z154" s="18" t="str">
        <f>_xlfn.XLOOKUP(Y154,'[1]Data Source'!A:A,'[1]Data Source'!E:E,"N/A",0)</f>
        <v>LG</v>
      </c>
      <c r="AA154" s="18" t="s">
        <v>547</v>
      </c>
      <c r="AB154" s="18" t="s">
        <v>244</v>
      </c>
      <c r="AC154" s="18" t="str">
        <f>_xlfn.XLOOKUP(L154,'[1]2026 Mapping v3'!A:A,'[1]2026 Mapping v3'!B:B,"Error",0)</f>
        <v>Rift Valley</v>
      </c>
      <c r="AD154" s="18" t="str">
        <f>_xlfn.XLOOKUP(L154,'[1]2026 Mapping v3'!A:A,'[1]2026 Mapping v3'!C:C,"Error",0)</f>
        <v>Hillary Muganda</v>
      </c>
      <c r="AE154" s="18" t="str">
        <f>_xlfn.XLOOKUP(L154,'[1]2026 Mapping v3'!A:A,'[1]2026 Mapping v3'!D:D,"Error",0)</f>
        <v>Emily Jepchirchir</v>
      </c>
      <c r="AF154" s="18" t="str">
        <f>_xlfn.XLOOKUP(L154,'[1]2026 Mapping v3'!A:A,'[1]2026 Mapping v3'!E:E,"Error",0)</f>
        <v>Emily Jepchirchir</v>
      </c>
      <c r="AS154" s="24">
        <v>3000</v>
      </c>
      <c r="AT154" s="24"/>
      <c r="AU154" s="24"/>
      <c r="AV154" s="24"/>
      <c r="AX154" s="29"/>
      <c r="BE154" s="24">
        <v>3000</v>
      </c>
    </row>
    <row r="155" spans="1:57">
      <c r="A155" s="18" t="s">
        <v>57</v>
      </c>
      <c r="B155" s="19">
        <v>27196957</v>
      </c>
      <c r="C155" s="20">
        <v>46051</v>
      </c>
      <c r="D155" s="18" t="s">
        <v>58</v>
      </c>
      <c r="E155" s="18" t="s">
        <v>59</v>
      </c>
      <c r="F155" s="18" t="s">
        <v>60</v>
      </c>
      <c r="G155" s="18">
        <v>13115</v>
      </c>
      <c r="H155" s="18">
        <f>_xlfn.XLOOKUP(L155,'[1]2026 Mapping v3'!A:A,'[1]2026 Mapping v3'!F:F,0,0)</f>
        <v>12</v>
      </c>
      <c r="I155" s="18" t="b">
        <v>0</v>
      </c>
      <c r="J155" s="18" t="s">
        <v>230</v>
      </c>
      <c r="K155" s="21" t="s">
        <v>1178</v>
      </c>
      <c r="L155" s="18" t="s">
        <v>488</v>
      </c>
      <c r="M155" s="18" t="s">
        <v>63</v>
      </c>
      <c r="N155" s="18" t="s">
        <v>64</v>
      </c>
      <c r="O155" s="18" t="s">
        <v>548</v>
      </c>
      <c r="Q155" s="23" t="s">
        <v>80</v>
      </c>
      <c r="R155" s="23">
        <v>18</v>
      </c>
      <c r="S155" s="24">
        <v>555560</v>
      </c>
      <c r="T155" s="28">
        <v>2000</v>
      </c>
      <c r="U155" s="18" t="s">
        <v>67</v>
      </c>
      <c r="V155" s="18" t="s">
        <v>110</v>
      </c>
      <c r="W155" s="18" t="s">
        <v>69</v>
      </c>
      <c r="X155" s="20">
        <v>46052</v>
      </c>
      <c r="Y155" s="18" t="s">
        <v>549</v>
      </c>
      <c r="Z155" s="18" t="str">
        <f>_xlfn.XLOOKUP(Y155,'[1]Data Source'!A:A,'[1]Data Source'!E:E,"N/A",0)</f>
        <v>N/A</v>
      </c>
      <c r="AA155" s="18" t="s">
        <v>101</v>
      </c>
      <c r="AB155" s="18" t="s">
        <v>488</v>
      </c>
      <c r="AC155" s="18" t="str">
        <f>_xlfn.XLOOKUP(L155,'[1]2026 Mapping v3'!A:A,'[1]2026 Mapping v3'!B:B,"Error",0)</f>
        <v>Coast</v>
      </c>
      <c r="AD155" s="18" t="str">
        <f>_xlfn.XLOOKUP(L155,'[1]2026 Mapping v3'!A:A,'[1]2026 Mapping v3'!C:C,"Error",0)</f>
        <v>Nancy Logose</v>
      </c>
      <c r="AE155" s="18" t="str">
        <f>_xlfn.XLOOKUP(L155,'[1]2026 Mapping v3'!A:A,'[1]2026 Mapping v3'!D:D,"Error",0)</f>
        <v>Brian Khamadi</v>
      </c>
      <c r="AF155" s="18" t="str">
        <f>_xlfn.XLOOKUP(L155,'[1]2026 Mapping v3'!A:A,'[1]2026 Mapping v3'!E:E,"Error",0)</f>
        <v>Eric Njiru</v>
      </c>
      <c r="AS155" s="24">
        <v>2000</v>
      </c>
      <c r="AT155" s="24"/>
      <c r="AU155" s="24"/>
      <c r="AV155" s="24"/>
      <c r="AX155" s="29"/>
      <c r="BE155" s="24">
        <v>2000</v>
      </c>
    </row>
    <row r="156" spans="1:57">
      <c r="A156" s="18" t="s">
        <v>57</v>
      </c>
      <c r="B156" s="19">
        <v>27196957</v>
      </c>
      <c r="C156" s="20">
        <v>46051</v>
      </c>
      <c r="D156" s="18" t="s">
        <v>58</v>
      </c>
      <c r="E156" s="18" t="s">
        <v>59</v>
      </c>
      <c r="F156" s="18" t="s">
        <v>60</v>
      </c>
      <c r="G156" s="18">
        <v>16424</v>
      </c>
      <c r="H156" s="18">
        <f>_xlfn.XLOOKUP(L156,'[1]2026 Mapping v3'!A:A,'[1]2026 Mapping v3'!F:F,0,0)</f>
        <v>125</v>
      </c>
      <c r="I156" s="18" t="b">
        <v>0</v>
      </c>
      <c r="J156" s="18" t="s">
        <v>176</v>
      </c>
      <c r="K156" s="21" t="s">
        <v>1179</v>
      </c>
      <c r="L156" s="18" t="s">
        <v>162</v>
      </c>
      <c r="M156" s="18" t="s">
        <v>98</v>
      </c>
      <c r="N156" s="18" t="s">
        <v>64</v>
      </c>
      <c r="O156" s="18" t="s">
        <v>550</v>
      </c>
      <c r="Q156" s="23" t="s">
        <v>80</v>
      </c>
      <c r="R156" s="23">
        <v>10</v>
      </c>
      <c r="S156" s="24">
        <v>6041993</v>
      </c>
      <c r="T156" s="28">
        <v>5005</v>
      </c>
      <c r="U156" s="18" t="s">
        <v>67</v>
      </c>
      <c r="V156" s="18" t="s">
        <v>68</v>
      </c>
      <c r="W156" s="18" t="s">
        <v>69</v>
      </c>
      <c r="X156" s="20">
        <v>46052</v>
      </c>
      <c r="Y156" s="18" t="s">
        <v>178</v>
      </c>
      <c r="Z156" s="18" t="str">
        <f>_xlfn.XLOOKUP(Y156,'[1]Data Source'!A:A,'[1]Data Source'!E:E,"N/A",0)</f>
        <v>UB</v>
      </c>
      <c r="AA156" s="18" t="s">
        <v>179</v>
      </c>
      <c r="AB156" s="18" t="s">
        <v>162</v>
      </c>
      <c r="AC156" s="18" t="str">
        <f>_xlfn.XLOOKUP(L156,'[1]2026 Mapping v3'!A:A,'[1]2026 Mapping v3'!B:B,"Error",0)</f>
        <v>Rift Valley</v>
      </c>
      <c r="AD156" s="18" t="str">
        <f>_xlfn.XLOOKUP(L156,'[1]2026 Mapping v3'!A:A,'[1]2026 Mapping v3'!C:C,"Error",0)</f>
        <v>Emily Jepchirchir</v>
      </c>
      <c r="AE156" s="18" t="str">
        <f>_xlfn.XLOOKUP(L156,'[1]2026 Mapping v3'!A:A,'[1]2026 Mapping v3'!D:D,"Error",0)</f>
        <v>Emily Jepchirchir</v>
      </c>
      <c r="AF156" s="18" t="str">
        <f>_xlfn.XLOOKUP(L156,'[1]2026 Mapping v3'!A:A,'[1]2026 Mapping v3'!E:E,"Error",0)</f>
        <v>Emily Jepchirchir</v>
      </c>
      <c r="AS156" s="24">
        <v>5005</v>
      </c>
      <c r="AT156" s="24"/>
      <c r="AU156" s="24"/>
      <c r="AV156" s="24"/>
      <c r="AX156" s="29"/>
      <c r="BE156" s="24">
        <v>5005</v>
      </c>
    </row>
    <row r="157" spans="1:57">
      <c r="A157" s="18" t="s">
        <v>57</v>
      </c>
      <c r="B157" s="19">
        <v>27196957</v>
      </c>
      <c r="C157" s="20">
        <v>46051</v>
      </c>
      <c r="D157" s="18" t="s">
        <v>58</v>
      </c>
      <c r="E157" s="18" t="s">
        <v>59</v>
      </c>
      <c r="F157" s="18" t="s">
        <v>60</v>
      </c>
      <c r="G157" s="18">
        <v>17407</v>
      </c>
      <c r="H157" s="18">
        <f>_xlfn.XLOOKUP(L157,'[1]2026 Mapping v3'!A:A,'[1]2026 Mapping v3'!F:F,0,0)</f>
        <v>41</v>
      </c>
      <c r="I157" s="18" t="b">
        <v>0</v>
      </c>
      <c r="J157" s="18" t="s">
        <v>446</v>
      </c>
      <c r="K157" s="21" t="s">
        <v>1180</v>
      </c>
      <c r="L157" s="18" t="s">
        <v>221</v>
      </c>
      <c r="M157" s="18" t="s">
        <v>98</v>
      </c>
      <c r="N157" s="18" t="s">
        <v>64</v>
      </c>
      <c r="O157" s="18" t="s">
        <v>286</v>
      </c>
      <c r="Q157" s="23" t="s">
        <v>66</v>
      </c>
      <c r="R157" s="23">
        <v>10</v>
      </c>
      <c r="S157" s="24">
        <v>19251686</v>
      </c>
      <c r="T157" s="28">
        <v>10000000</v>
      </c>
      <c r="U157" s="18" t="s">
        <v>67</v>
      </c>
      <c r="V157" s="18" t="s">
        <v>158</v>
      </c>
      <c r="W157" s="18" t="s">
        <v>69</v>
      </c>
      <c r="X157" s="20">
        <v>46046</v>
      </c>
      <c r="Y157" s="18" t="s">
        <v>551</v>
      </c>
      <c r="Z157" s="18" t="str">
        <f>_xlfn.XLOOKUP(Y157,'[1]Data Source'!A:A,'[1]Data Source'!E:E,"N/A",0)</f>
        <v>N/A</v>
      </c>
      <c r="AA157" s="18" t="s">
        <v>101</v>
      </c>
      <c r="AB157" s="18" t="s">
        <v>221</v>
      </c>
      <c r="AC157" s="18" t="str">
        <f>_xlfn.XLOOKUP(L157,'[1]2026 Mapping v3'!A:A,'[1]2026 Mapping v3'!B:B,"Error",0)</f>
        <v>Nairobi West</v>
      </c>
      <c r="AD157" s="18" t="str">
        <f>_xlfn.XLOOKUP(L157,'[1]2026 Mapping v3'!A:A,'[1]2026 Mapping v3'!C:C,"Error",0)</f>
        <v>Ancetar Mulili</v>
      </c>
      <c r="AE157" s="18" t="str">
        <f>_xlfn.XLOOKUP(L157,'[1]2026 Mapping v3'!A:A,'[1]2026 Mapping v3'!D:D,"Error",0)</f>
        <v>Ancetar Mulili</v>
      </c>
      <c r="AF157" s="18" t="str">
        <f>_xlfn.XLOOKUP(L157,'[1]2026 Mapping v3'!A:A,'[1]2026 Mapping v3'!E:E,"Error",0)</f>
        <v>Bilha Wachira</v>
      </c>
      <c r="AS157" s="24">
        <v>10000000</v>
      </c>
      <c r="AT157" s="24"/>
      <c r="AU157" s="24"/>
      <c r="AV157" s="24"/>
      <c r="AX157" s="29"/>
      <c r="BE157" s="24">
        <v>10000000</v>
      </c>
    </row>
    <row r="158" spans="1:57">
      <c r="A158" s="18" t="s">
        <v>57</v>
      </c>
      <c r="B158" s="19">
        <v>27196957</v>
      </c>
      <c r="C158" s="20">
        <v>46051</v>
      </c>
      <c r="D158" s="18" t="s">
        <v>58</v>
      </c>
      <c r="E158" s="18" t="s">
        <v>59</v>
      </c>
      <c r="F158" s="18" t="s">
        <v>60</v>
      </c>
      <c r="G158" s="18">
        <v>17407</v>
      </c>
      <c r="H158" s="18">
        <f>_xlfn.XLOOKUP(L158,'[1]2026 Mapping v3'!A:A,'[1]2026 Mapping v3'!F:F,0,0)</f>
        <v>41</v>
      </c>
      <c r="I158" s="18" t="b">
        <v>0</v>
      </c>
      <c r="J158" s="18" t="s">
        <v>446</v>
      </c>
      <c r="K158" s="21" t="s">
        <v>1181</v>
      </c>
      <c r="L158" s="18" t="s">
        <v>221</v>
      </c>
      <c r="M158" s="18" t="s">
        <v>98</v>
      </c>
      <c r="N158" s="18" t="s">
        <v>64</v>
      </c>
      <c r="O158" s="18" t="s">
        <v>286</v>
      </c>
      <c r="Q158" s="23" t="s">
        <v>66</v>
      </c>
      <c r="R158" s="23">
        <v>8</v>
      </c>
      <c r="S158" s="24">
        <v>11551012</v>
      </c>
      <c r="T158" s="28">
        <v>6000000</v>
      </c>
      <c r="U158" s="18" t="s">
        <v>67</v>
      </c>
      <c r="V158" s="18" t="s">
        <v>158</v>
      </c>
      <c r="W158" s="18" t="s">
        <v>69</v>
      </c>
      <c r="X158" s="20">
        <v>46046</v>
      </c>
      <c r="Y158" s="18" t="s">
        <v>551</v>
      </c>
      <c r="Z158" s="18" t="str">
        <f>_xlfn.XLOOKUP(Y158,'[1]Data Source'!A:A,'[1]Data Source'!E:E,"N/A",0)</f>
        <v>N/A</v>
      </c>
      <c r="AA158" s="18" t="s">
        <v>101</v>
      </c>
      <c r="AB158" s="18" t="s">
        <v>221</v>
      </c>
      <c r="AC158" s="18" t="str">
        <f>_xlfn.XLOOKUP(L158,'[1]2026 Mapping v3'!A:A,'[1]2026 Mapping v3'!B:B,"Error",0)</f>
        <v>Nairobi West</v>
      </c>
      <c r="AD158" s="18" t="str">
        <f>_xlfn.XLOOKUP(L158,'[1]2026 Mapping v3'!A:A,'[1]2026 Mapping v3'!C:C,"Error",0)</f>
        <v>Ancetar Mulili</v>
      </c>
      <c r="AE158" s="18" t="str">
        <f>_xlfn.XLOOKUP(L158,'[1]2026 Mapping v3'!A:A,'[1]2026 Mapping v3'!D:D,"Error",0)</f>
        <v>Ancetar Mulili</v>
      </c>
      <c r="AF158" s="18" t="str">
        <f>_xlfn.XLOOKUP(L158,'[1]2026 Mapping v3'!A:A,'[1]2026 Mapping v3'!E:E,"Error",0)</f>
        <v>Bilha Wachira</v>
      </c>
      <c r="AS158" s="24">
        <v>6000000</v>
      </c>
      <c r="AT158" s="24"/>
      <c r="AU158" s="24"/>
      <c r="AV158" s="24"/>
      <c r="AX158" s="29"/>
      <c r="BE158" s="24">
        <v>6000000</v>
      </c>
    </row>
    <row r="159" spans="1:57">
      <c r="A159" s="18" t="s">
        <v>57</v>
      </c>
      <c r="B159" s="19">
        <v>27196957</v>
      </c>
      <c r="C159" s="20">
        <v>46051</v>
      </c>
      <c r="D159" s="18" t="s">
        <v>58</v>
      </c>
      <c r="E159" s="18" t="s">
        <v>59</v>
      </c>
      <c r="F159" s="18" t="s">
        <v>60</v>
      </c>
      <c r="G159" s="18">
        <v>15790</v>
      </c>
      <c r="H159" s="18">
        <f>_xlfn.XLOOKUP(L159,'[1]2026 Mapping v3'!A:A,'[1]2026 Mapping v3'!F:F,0,0)</f>
        <v>51</v>
      </c>
      <c r="I159" s="18" t="b">
        <v>0</v>
      </c>
      <c r="J159" s="18" t="s">
        <v>442</v>
      </c>
      <c r="K159" s="21" t="s">
        <v>1182</v>
      </c>
      <c r="L159" s="18" t="s">
        <v>501</v>
      </c>
      <c r="M159" s="18" t="s">
        <v>63</v>
      </c>
      <c r="N159" s="18" t="s">
        <v>64</v>
      </c>
      <c r="O159" s="18" t="s">
        <v>553</v>
      </c>
      <c r="Q159" s="23" t="s">
        <v>80</v>
      </c>
      <c r="R159" s="23">
        <v>5</v>
      </c>
      <c r="S159" s="24">
        <v>234500</v>
      </c>
      <c r="T159" s="28">
        <v>5000</v>
      </c>
      <c r="U159" s="18" t="s">
        <v>67</v>
      </c>
      <c r="V159" s="18" t="s">
        <v>110</v>
      </c>
      <c r="W159" s="18" t="s">
        <v>69</v>
      </c>
      <c r="X159" s="20">
        <v>46068</v>
      </c>
      <c r="Y159" s="18" t="s">
        <v>286</v>
      </c>
      <c r="Z159" s="18" t="str">
        <f>_xlfn.XLOOKUP(Y159,'[1]Data Source'!A:A,'[1]Data Source'!E:E,"N/A",0)</f>
        <v>N/A</v>
      </c>
      <c r="AA159" s="18" t="s">
        <v>101</v>
      </c>
      <c r="AB159" s="18" t="s">
        <v>501</v>
      </c>
      <c r="AC159" s="18" t="str">
        <f>_xlfn.XLOOKUP(L159,'[1]2026 Mapping v3'!A:A,'[1]2026 Mapping v3'!B:B,"Error",0)</f>
        <v>Mt. Kenya</v>
      </c>
      <c r="AD159" s="18" t="str">
        <f>_xlfn.XLOOKUP(L159,'[1]2026 Mapping v3'!A:A,'[1]2026 Mapping v3'!C:C,"Error",0)</f>
        <v>Morgan Mwangi</v>
      </c>
      <c r="AE159" s="18" t="str">
        <f>_xlfn.XLOOKUP(L159,'[1]2026 Mapping v3'!A:A,'[1]2026 Mapping v3'!D:D,"Error",0)</f>
        <v>Paul Kithuka</v>
      </c>
      <c r="AF159" s="18" t="str">
        <f>_xlfn.XLOOKUP(L159,'[1]2026 Mapping v3'!A:A,'[1]2026 Mapping v3'!E:E,"Error",0)</f>
        <v>Simon Maingi</v>
      </c>
      <c r="AS159" s="24">
        <v>5000</v>
      </c>
      <c r="AT159" s="24"/>
      <c r="AU159" s="24"/>
      <c r="AV159" s="24"/>
      <c r="AX159" s="29"/>
      <c r="BE159" s="24">
        <v>5000</v>
      </c>
    </row>
    <row r="160" spans="1:57">
      <c r="A160" s="18" t="s">
        <v>57</v>
      </c>
      <c r="B160" s="19">
        <v>27196957</v>
      </c>
      <c r="C160" s="20">
        <v>46051</v>
      </c>
      <c r="D160" s="18" t="s">
        <v>58</v>
      </c>
      <c r="E160" s="18" t="s">
        <v>59</v>
      </c>
      <c r="F160" s="18" t="s">
        <v>60</v>
      </c>
      <c r="G160" s="18">
        <v>15791</v>
      </c>
      <c r="H160" s="18">
        <f>_xlfn.XLOOKUP(L160,'[1]2026 Mapping v3'!A:A,'[1]2026 Mapping v3'!F:F,0,0)</f>
        <v>126</v>
      </c>
      <c r="I160" s="18" t="b">
        <v>0</v>
      </c>
      <c r="J160" s="18" t="s">
        <v>554</v>
      </c>
      <c r="K160" s="21" t="s">
        <v>1183</v>
      </c>
      <c r="L160" s="18" t="s">
        <v>239</v>
      </c>
      <c r="M160" s="18" t="s">
        <v>98</v>
      </c>
      <c r="N160" s="18" t="s">
        <v>64</v>
      </c>
      <c r="O160" s="18" t="s">
        <v>555</v>
      </c>
      <c r="Q160" s="23" t="s">
        <v>80</v>
      </c>
      <c r="R160" s="23">
        <v>5</v>
      </c>
      <c r="S160" s="24">
        <v>3150315</v>
      </c>
      <c r="T160" s="28">
        <v>500005</v>
      </c>
      <c r="U160" s="18" t="s">
        <v>67</v>
      </c>
      <c r="V160" s="18" t="s">
        <v>68</v>
      </c>
      <c r="W160" s="18" t="s">
        <v>69</v>
      </c>
      <c r="X160" s="20">
        <v>46053</v>
      </c>
      <c r="Y160" s="18" t="s">
        <v>556</v>
      </c>
      <c r="Z160" s="18" t="str">
        <f>_xlfn.XLOOKUP(Y160,'[1]Data Source'!A:A,'[1]Data Source'!E:E,"N/A",0)</f>
        <v>LG</v>
      </c>
      <c r="AA160" s="18" t="s">
        <v>557</v>
      </c>
      <c r="AB160" s="18" t="s">
        <v>243</v>
      </c>
      <c r="AC160" s="18" t="str">
        <f>_xlfn.XLOOKUP(L160,'[1]2026 Mapping v3'!A:A,'[1]2026 Mapping v3'!B:B,"Error",0)</f>
        <v>Nairobi West</v>
      </c>
      <c r="AD160" s="18" t="str">
        <f>_xlfn.XLOOKUP(L160,'[1]2026 Mapping v3'!A:A,'[1]2026 Mapping v3'!C:C,"Error",0)</f>
        <v>Ancetar Mulili</v>
      </c>
      <c r="AE160" s="18" t="str">
        <f>_xlfn.XLOOKUP(L160,'[1]2026 Mapping v3'!A:A,'[1]2026 Mapping v3'!D:D,"Error",0)</f>
        <v>Ancetar Mulili</v>
      </c>
      <c r="AF160" s="18" t="str">
        <f>_xlfn.XLOOKUP(L160,'[1]2026 Mapping v3'!A:A,'[1]2026 Mapping v3'!E:E,"Error",0)</f>
        <v>Bilha Wachira</v>
      </c>
      <c r="AS160" s="24">
        <v>500005</v>
      </c>
      <c r="AT160" s="24"/>
      <c r="AU160" s="24"/>
      <c r="AV160" s="24"/>
      <c r="AX160" s="29"/>
      <c r="BE160" s="24">
        <v>500005</v>
      </c>
    </row>
    <row r="161" spans="1:57">
      <c r="A161" s="18" t="s">
        <v>57</v>
      </c>
      <c r="B161" s="19">
        <v>27196957</v>
      </c>
      <c r="C161" s="20">
        <v>46051</v>
      </c>
      <c r="D161" s="18" t="s">
        <v>58</v>
      </c>
      <c r="E161" s="18" t="s">
        <v>59</v>
      </c>
      <c r="F161" s="18" t="s">
        <v>60</v>
      </c>
      <c r="G161" s="18">
        <v>8431</v>
      </c>
      <c r="H161" s="18">
        <f>_xlfn.XLOOKUP(L161,'[1]2026 Mapping v3'!A:A,'[1]2026 Mapping v3'!F:F,0,0)</f>
        <v>43</v>
      </c>
      <c r="I161" s="18" t="b">
        <v>0</v>
      </c>
      <c r="J161" s="18" t="s">
        <v>248</v>
      </c>
      <c r="K161" s="21" t="s">
        <v>1184</v>
      </c>
      <c r="L161" s="18" t="s">
        <v>156</v>
      </c>
      <c r="M161" s="18" t="s">
        <v>63</v>
      </c>
      <c r="N161" s="18" t="s">
        <v>64</v>
      </c>
      <c r="O161" s="18" t="s">
        <v>558</v>
      </c>
      <c r="Q161" s="23" t="s">
        <v>66</v>
      </c>
      <c r="R161" s="23">
        <v>15</v>
      </c>
      <c r="S161" s="24">
        <v>5611671</v>
      </c>
      <c r="T161" s="28">
        <v>25000</v>
      </c>
      <c r="U161" s="18" t="s">
        <v>67</v>
      </c>
      <c r="V161" s="18" t="s">
        <v>110</v>
      </c>
      <c r="W161" s="18" t="s">
        <v>69</v>
      </c>
      <c r="X161" s="20">
        <v>46046</v>
      </c>
      <c r="Y161" s="18" t="s">
        <v>255</v>
      </c>
      <c r="Z161" s="18" t="str">
        <f>_xlfn.XLOOKUP(Y161,'[1]Data Source'!A:A,'[1]Data Source'!E:E,"N/A",0)</f>
        <v>UB</v>
      </c>
      <c r="AA161" s="18" t="s">
        <v>256</v>
      </c>
      <c r="AB161" s="18" t="s">
        <v>156</v>
      </c>
      <c r="AC161" s="18" t="str">
        <f>_xlfn.XLOOKUP(L161,'[1]2026 Mapping v3'!A:A,'[1]2026 Mapping v3'!B:B,"Error",0)</f>
        <v>Nairobi East</v>
      </c>
      <c r="AD161" s="18" t="str">
        <f>_xlfn.XLOOKUP(L161,'[1]2026 Mapping v3'!A:A,'[1]2026 Mapping v3'!C:C,"Error",0)</f>
        <v>Julius Mugane</v>
      </c>
      <c r="AE161" s="18" t="str">
        <f>_xlfn.XLOOKUP(L161,'[1]2026 Mapping v3'!A:A,'[1]2026 Mapping v3'!D:D,"Error",0)</f>
        <v>Julius Mugane</v>
      </c>
      <c r="AF161" s="18" t="str">
        <f>_xlfn.XLOOKUP(L161,'[1]2026 Mapping v3'!A:A,'[1]2026 Mapping v3'!E:E,"Error",0)</f>
        <v>Debrah Rashid</v>
      </c>
      <c r="AS161" s="24">
        <v>25000</v>
      </c>
      <c r="AT161" s="24"/>
      <c r="AU161" s="24"/>
      <c r="AV161" s="24"/>
      <c r="AX161" s="29"/>
      <c r="BE161" s="24">
        <v>25000</v>
      </c>
    </row>
    <row r="162" spans="1:57">
      <c r="A162" s="18" t="s">
        <v>57</v>
      </c>
      <c r="B162" s="19">
        <v>27196957</v>
      </c>
      <c r="C162" s="20">
        <v>46051</v>
      </c>
      <c r="D162" s="18" t="s">
        <v>58</v>
      </c>
      <c r="E162" s="18" t="s">
        <v>59</v>
      </c>
      <c r="F162" s="18" t="s">
        <v>60</v>
      </c>
      <c r="G162" s="18">
        <v>16423</v>
      </c>
      <c r="H162" s="18">
        <f>_xlfn.XLOOKUP(L162,'[1]2026 Mapping v3'!A:A,'[1]2026 Mapping v3'!F:F,0,0)</f>
        <v>125</v>
      </c>
      <c r="I162" s="18" t="b">
        <v>0</v>
      </c>
      <c r="J162" s="18" t="s">
        <v>559</v>
      </c>
      <c r="K162" s="21" t="s">
        <v>1185</v>
      </c>
      <c r="L162" s="18" t="s">
        <v>162</v>
      </c>
      <c r="M162" s="18" t="s">
        <v>98</v>
      </c>
      <c r="N162" s="18" t="s">
        <v>64</v>
      </c>
      <c r="O162" s="18" t="s">
        <v>560</v>
      </c>
      <c r="Q162" s="23" t="s">
        <v>80</v>
      </c>
      <c r="R162" s="23">
        <v>5</v>
      </c>
      <c r="S162" s="24">
        <v>1890189</v>
      </c>
      <c r="T162" s="28">
        <v>300003</v>
      </c>
      <c r="U162" s="18" t="s">
        <v>67</v>
      </c>
      <c r="V162" s="18" t="s">
        <v>68</v>
      </c>
      <c r="W162" s="18" t="s">
        <v>69</v>
      </c>
      <c r="X162" s="20">
        <v>46052</v>
      </c>
      <c r="Y162" s="18" t="s">
        <v>561</v>
      </c>
      <c r="Z162" s="18" t="str">
        <f>_xlfn.XLOOKUP(Y162,'[1]Data Source'!A:A,'[1]Data Source'!E:E,"N/A",0)</f>
        <v>N/A</v>
      </c>
      <c r="AA162" s="18" t="s">
        <v>101</v>
      </c>
      <c r="AB162" s="18" t="s">
        <v>162</v>
      </c>
      <c r="AC162" s="18" t="str">
        <f>_xlfn.XLOOKUP(L162,'[1]2026 Mapping v3'!A:A,'[1]2026 Mapping v3'!B:B,"Error",0)</f>
        <v>Rift Valley</v>
      </c>
      <c r="AD162" s="18" t="str">
        <f>_xlfn.XLOOKUP(L162,'[1]2026 Mapping v3'!A:A,'[1]2026 Mapping v3'!C:C,"Error",0)</f>
        <v>Emily Jepchirchir</v>
      </c>
      <c r="AE162" s="18" t="str">
        <f>_xlfn.XLOOKUP(L162,'[1]2026 Mapping v3'!A:A,'[1]2026 Mapping v3'!D:D,"Error",0)</f>
        <v>Emily Jepchirchir</v>
      </c>
      <c r="AF162" s="18" t="str">
        <f>_xlfn.XLOOKUP(L162,'[1]2026 Mapping v3'!A:A,'[1]2026 Mapping v3'!E:E,"Error",0)</f>
        <v>Emily Jepchirchir</v>
      </c>
      <c r="AS162" s="24">
        <v>300003</v>
      </c>
      <c r="AT162" s="24"/>
      <c r="AU162" s="24"/>
      <c r="AV162" s="24"/>
      <c r="AX162" s="29"/>
      <c r="BE162" s="24">
        <v>300003</v>
      </c>
    </row>
    <row r="163" spans="1:57">
      <c r="A163" s="18" t="s">
        <v>57</v>
      </c>
      <c r="B163" s="19">
        <v>27196957</v>
      </c>
      <c r="C163" s="20">
        <v>46051</v>
      </c>
      <c r="D163" s="18" t="s">
        <v>58</v>
      </c>
      <c r="E163" s="18" t="s">
        <v>59</v>
      </c>
      <c r="F163" s="18" t="s">
        <v>60</v>
      </c>
      <c r="G163" s="18">
        <v>4009</v>
      </c>
      <c r="H163" s="18">
        <f>_xlfn.XLOOKUP(L163,'[1]2026 Mapping v3'!A:A,'[1]2026 Mapping v3'!F:F,0,0)</f>
        <v>14</v>
      </c>
      <c r="I163" s="18" t="b">
        <v>0</v>
      </c>
      <c r="J163" s="18" t="s">
        <v>562</v>
      </c>
      <c r="K163" s="21" t="s">
        <v>1186</v>
      </c>
      <c r="L163" s="18" t="s">
        <v>108</v>
      </c>
      <c r="M163" s="18" t="s">
        <v>63</v>
      </c>
      <c r="N163" s="18" t="s">
        <v>64</v>
      </c>
      <c r="O163" s="18" t="s">
        <v>563</v>
      </c>
      <c r="Q163" s="23" t="s">
        <v>66</v>
      </c>
      <c r="R163" s="23">
        <v>14</v>
      </c>
      <c r="S163" s="24">
        <v>580097</v>
      </c>
      <c r="T163" s="28">
        <v>4000</v>
      </c>
      <c r="U163" s="18" t="s">
        <v>67</v>
      </c>
      <c r="V163" s="18" t="s">
        <v>110</v>
      </c>
      <c r="W163" s="18" t="s">
        <v>69</v>
      </c>
      <c r="X163" s="20">
        <v>46046</v>
      </c>
      <c r="Y163" s="18" t="s">
        <v>511</v>
      </c>
      <c r="Z163" s="18" t="str">
        <f>_xlfn.XLOOKUP(Y163,'[1]Data Source'!A:A,'[1]Data Source'!E:E,"N/A",0)</f>
        <v>LG</v>
      </c>
      <c r="AA163" s="18" t="s">
        <v>508</v>
      </c>
      <c r="AB163" s="18" t="s">
        <v>108</v>
      </c>
      <c r="AC163" s="18" t="str">
        <f>_xlfn.XLOOKUP(L163,'[1]2026 Mapping v3'!A:A,'[1]2026 Mapping v3'!B:B,"Error",0)</f>
        <v>Rift Valley</v>
      </c>
      <c r="AD163" s="18" t="str">
        <f>_xlfn.XLOOKUP(L163,'[1]2026 Mapping v3'!A:A,'[1]2026 Mapping v3'!C:C,"Error",0)</f>
        <v>Emily Jepchirchir</v>
      </c>
      <c r="AE163" s="18" t="str">
        <f>_xlfn.XLOOKUP(L163,'[1]2026 Mapping v3'!A:A,'[1]2026 Mapping v3'!D:D,"Error",0)</f>
        <v>Emily Jepchirchir</v>
      </c>
      <c r="AF163" s="18" t="str">
        <f>_xlfn.XLOOKUP(L163,'[1]2026 Mapping v3'!A:A,'[1]2026 Mapping v3'!E:E,"Error",0)</f>
        <v>Emily Jepchirchir</v>
      </c>
      <c r="AS163" s="24">
        <v>4000</v>
      </c>
      <c r="AT163" s="24"/>
      <c r="AU163" s="24"/>
      <c r="AV163" s="24"/>
      <c r="AX163" s="29"/>
      <c r="BE163" s="24">
        <v>4000</v>
      </c>
    </row>
    <row r="164" spans="1:57">
      <c r="A164" s="18" t="s">
        <v>57</v>
      </c>
      <c r="B164" s="19">
        <v>27196957</v>
      </c>
      <c r="C164" s="20">
        <v>46051</v>
      </c>
      <c r="D164" s="18" t="s">
        <v>58</v>
      </c>
      <c r="E164" s="18" t="s">
        <v>59</v>
      </c>
      <c r="F164" s="18" t="s">
        <v>60</v>
      </c>
      <c r="G164" s="18">
        <v>16421</v>
      </c>
      <c r="H164" s="18">
        <f>_xlfn.XLOOKUP(L164,'[1]2026 Mapping v3'!A:A,'[1]2026 Mapping v3'!F:F,0,0)</f>
        <v>125</v>
      </c>
      <c r="I164" s="18" t="b">
        <v>0</v>
      </c>
      <c r="J164" s="18" t="s">
        <v>564</v>
      </c>
      <c r="K164" s="21" t="s">
        <v>1187</v>
      </c>
      <c r="L164" s="18" t="s">
        <v>162</v>
      </c>
      <c r="M164" s="18" t="s">
        <v>98</v>
      </c>
      <c r="N164" s="18" t="s">
        <v>64</v>
      </c>
      <c r="O164" s="18" t="s">
        <v>565</v>
      </c>
      <c r="Q164" s="23" t="s">
        <v>80</v>
      </c>
      <c r="R164" s="23">
        <v>5</v>
      </c>
      <c r="S164" s="24">
        <v>2520252</v>
      </c>
      <c r="T164" s="28">
        <v>400004</v>
      </c>
      <c r="U164" s="18" t="s">
        <v>67</v>
      </c>
      <c r="V164" s="18" t="s">
        <v>68</v>
      </c>
      <c r="W164" s="18" t="s">
        <v>69</v>
      </c>
      <c r="X164" s="20">
        <v>46052</v>
      </c>
      <c r="Y164" s="18" t="s">
        <v>178</v>
      </c>
      <c r="Z164" s="18" t="str">
        <f>_xlfn.XLOOKUP(Y164,'[1]Data Source'!A:A,'[1]Data Source'!E:E,"N/A",0)</f>
        <v>UB</v>
      </c>
      <c r="AA164" s="18" t="s">
        <v>179</v>
      </c>
      <c r="AB164" s="18" t="s">
        <v>162</v>
      </c>
      <c r="AC164" s="18" t="str">
        <f>_xlfn.XLOOKUP(L164,'[1]2026 Mapping v3'!A:A,'[1]2026 Mapping v3'!B:B,"Error",0)</f>
        <v>Rift Valley</v>
      </c>
      <c r="AD164" s="18" t="str">
        <f>_xlfn.XLOOKUP(L164,'[1]2026 Mapping v3'!A:A,'[1]2026 Mapping v3'!C:C,"Error",0)</f>
        <v>Emily Jepchirchir</v>
      </c>
      <c r="AE164" s="18" t="str">
        <f>_xlfn.XLOOKUP(L164,'[1]2026 Mapping v3'!A:A,'[1]2026 Mapping v3'!D:D,"Error",0)</f>
        <v>Emily Jepchirchir</v>
      </c>
      <c r="AF164" s="18" t="str">
        <f>_xlfn.XLOOKUP(L164,'[1]2026 Mapping v3'!A:A,'[1]2026 Mapping v3'!E:E,"Error",0)</f>
        <v>Emily Jepchirchir</v>
      </c>
      <c r="AS164" s="24">
        <v>400004</v>
      </c>
      <c r="AT164" s="24"/>
      <c r="AU164" s="24"/>
      <c r="AV164" s="24"/>
      <c r="AX164" s="29"/>
      <c r="BE164" s="24">
        <v>400004</v>
      </c>
    </row>
    <row r="165" spans="1:57">
      <c r="A165" s="18" t="s">
        <v>57</v>
      </c>
      <c r="B165" s="19">
        <v>27196957</v>
      </c>
      <c r="C165" s="20">
        <v>46051</v>
      </c>
      <c r="D165" s="18" t="s">
        <v>58</v>
      </c>
      <c r="E165" s="18" t="s">
        <v>59</v>
      </c>
      <c r="F165" s="18" t="s">
        <v>60</v>
      </c>
      <c r="G165" s="18">
        <v>3229</v>
      </c>
      <c r="H165" s="18">
        <f>_xlfn.XLOOKUP(L165,'[1]2026 Mapping v3'!A:A,'[1]2026 Mapping v3'!F:F,0,0)</f>
        <v>80</v>
      </c>
      <c r="I165" s="18" t="b">
        <v>0</v>
      </c>
      <c r="J165" s="18" t="s">
        <v>155</v>
      </c>
      <c r="K165" s="21" t="s">
        <v>1188</v>
      </c>
      <c r="L165" s="18" t="s">
        <v>566</v>
      </c>
      <c r="M165" s="18" t="s">
        <v>63</v>
      </c>
      <c r="N165" s="18" t="s">
        <v>64</v>
      </c>
      <c r="O165" s="18" t="s">
        <v>567</v>
      </c>
      <c r="Q165" s="23" t="s">
        <v>80</v>
      </c>
      <c r="R165" s="23">
        <v>18</v>
      </c>
      <c r="S165" s="24">
        <v>10000000</v>
      </c>
      <c r="T165" s="28">
        <v>356400</v>
      </c>
      <c r="U165" s="18" t="s">
        <v>67</v>
      </c>
      <c r="V165" s="18" t="s">
        <v>68</v>
      </c>
      <c r="W165" s="18" t="s">
        <v>69</v>
      </c>
      <c r="X165" s="20">
        <v>46052</v>
      </c>
      <c r="Y165" s="18" t="s">
        <v>568</v>
      </c>
      <c r="Z165" s="18" t="str">
        <f>_xlfn.XLOOKUP(Y165,'[1]Data Source'!A:A,'[1]Data Source'!E:E,"N/A",0)</f>
        <v>UB</v>
      </c>
      <c r="AA165" s="18" t="s">
        <v>569</v>
      </c>
      <c r="AB165" s="18" t="s">
        <v>570</v>
      </c>
      <c r="AC165" s="18" t="str">
        <f>_xlfn.XLOOKUP(L165,'[1]2026 Mapping v3'!A:A,'[1]2026 Mapping v3'!B:B,"Error",0)</f>
        <v>Nairobi East</v>
      </c>
      <c r="AD165" s="18" t="str">
        <f>_xlfn.XLOOKUP(L165,'[1]2026 Mapping v3'!A:A,'[1]2026 Mapping v3'!C:C,"Error",0)</f>
        <v>Julius Mugane</v>
      </c>
      <c r="AE165" s="18" t="str">
        <f>_xlfn.XLOOKUP(L165,'[1]2026 Mapping v3'!A:A,'[1]2026 Mapping v3'!D:D,"Error",0)</f>
        <v>Julius Mugane</v>
      </c>
      <c r="AF165" s="18" t="str">
        <f>_xlfn.XLOOKUP(L165,'[1]2026 Mapping v3'!A:A,'[1]2026 Mapping v3'!E:E,"Error",0)</f>
        <v>Debrah Rashid</v>
      </c>
      <c r="AS165" s="24">
        <v>356400</v>
      </c>
      <c r="AT165" s="24"/>
      <c r="AU165" s="24"/>
      <c r="AV165" s="24"/>
      <c r="AX165" s="29"/>
      <c r="BE165" s="24">
        <v>356400</v>
      </c>
    </row>
    <row r="166" spans="1:57">
      <c r="A166" s="18" t="s">
        <v>57</v>
      </c>
      <c r="B166" s="19">
        <v>27196957</v>
      </c>
      <c r="C166" s="20">
        <v>46051</v>
      </c>
      <c r="D166" s="18" t="s">
        <v>58</v>
      </c>
      <c r="E166" s="18" t="s">
        <v>59</v>
      </c>
      <c r="F166" s="18" t="s">
        <v>60</v>
      </c>
      <c r="G166" s="18">
        <v>3233</v>
      </c>
      <c r="H166" s="18">
        <f>_xlfn.XLOOKUP(L166,'[1]2026 Mapping v3'!A:A,'[1]2026 Mapping v3'!F:F,0,0)</f>
        <v>80</v>
      </c>
      <c r="I166" s="18" t="b">
        <v>0</v>
      </c>
      <c r="J166" s="18" t="s">
        <v>155</v>
      </c>
      <c r="K166" s="21" t="s">
        <v>1189</v>
      </c>
      <c r="L166" s="18" t="s">
        <v>566</v>
      </c>
      <c r="M166" s="18" t="s">
        <v>63</v>
      </c>
      <c r="N166" s="18" t="s">
        <v>64</v>
      </c>
      <c r="O166" s="18" t="s">
        <v>571</v>
      </c>
      <c r="Q166" s="23" t="s">
        <v>80</v>
      </c>
      <c r="R166" s="23">
        <v>18</v>
      </c>
      <c r="S166" s="24">
        <v>10000000</v>
      </c>
      <c r="T166" s="28">
        <v>356400</v>
      </c>
      <c r="U166" s="18" t="s">
        <v>67</v>
      </c>
      <c r="V166" s="18" t="s">
        <v>68</v>
      </c>
      <c r="W166" s="18" t="s">
        <v>69</v>
      </c>
      <c r="X166" s="20">
        <v>46052</v>
      </c>
      <c r="Y166" s="18" t="s">
        <v>568</v>
      </c>
      <c r="Z166" s="18" t="str">
        <f>_xlfn.XLOOKUP(Y166,'[1]Data Source'!A:A,'[1]Data Source'!E:E,"N/A",0)</f>
        <v>UB</v>
      </c>
      <c r="AA166" s="18" t="s">
        <v>569</v>
      </c>
      <c r="AB166" s="18" t="s">
        <v>570</v>
      </c>
      <c r="AC166" s="18" t="str">
        <f>_xlfn.XLOOKUP(L166,'[1]2026 Mapping v3'!A:A,'[1]2026 Mapping v3'!B:B,"Error",0)</f>
        <v>Nairobi East</v>
      </c>
      <c r="AD166" s="18" t="str">
        <f>_xlfn.XLOOKUP(L166,'[1]2026 Mapping v3'!A:A,'[1]2026 Mapping v3'!C:C,"Error",0)</f>
        <v>Julius Mugane</v>
      </c>
      <c r="AE166" s="18" t="str">
        <f>_xlfn.XLOOKUP(L166,'[1]2026 Mapping v3'!A:A,'[1]2026 Mapping v3'!D:D,"Error",0)</f>
        <v>Julius Mugane</v>
      </c>
      <c r="AF166" s="18" t="str">
        <f>_xlfn.XLOOKUP(L166,'[1]2026 Mapping v3'!A:A,'[1]2026 Mapping v3'!E:E,"Error",0)</f>
        <v>Debrah Rashid</v>
      </c>
      <c r="AS166" s="24">
        <v>356400</v>
      </c>
      <c r="AT166" s="24"/>
      <c r="AU166" s="24"/>
      <c r="AV166" s="24"/>
      <c r="AX166" s="29"/>
      <c r="BE166" s="24">
        <v>356400</v>
      </c>
    </row>
    <row r="167" spans="1:57">
      <c r="A167" s="18" t="s">
        <v>57</v>
      </c>
      <c r="B167" s="19">
        <v>27196957</v>
      </c>
      <c r="C167" s="20">
        <v>46051</v>
      </c>
      <c r="D167" s="18" t="s">
        <v>58</v>
      </c>
      <c r="E167" s="18" t="s">
        <v>59</v>
      </c>
      <c r="F167" s="18" t="s">
        <v>60</v>
      </c>
      <c r="G167" s="18">
        <v>18220</v>
      </c>
      <c r="H167" s="18">
        <f>_xlfn.XLOOKUP(L167,'[1]2026 Mapping v3'!A:A,'[1]2026 Mapping v3'!F:F,0,0)</f>
        <v>32</v>
      </c>
      <c r="I167" s="18" t="b">
        <v>0</v>
      </c>
      <c r="J167" s="18" t="s">
        <v>562</v>
      </c>
      <c r="K167" s="21" t="s">
        <v>1190</v>
      </c>
      <c r="L167" s="18" t="s">
        <v>572</v>
      </c>
      <c r="M167" s="18" t="s">
        <v>98</v>
      </c>
      <c r="N167" s="18" t="s">
        <v>64</v>
      </c>
      <c r="O167" s="18" t="s">
        <v>573</v>
      </c>
      <c r="Q167" s="23" t="s">
        <v>80</v>
      </c>
      <c r="R167" s="23">
        <v>5</v>
      </c>
      <c r="S167" s="24">
        <v>3080308</v>
      </c>
      <c r="T167" s="28">
        <v>40052</v>
      </c>
      <c r="U167" s="18" t="s">
        <v>67</v>
      </c>
      <c r="V167" s="18" t="s">
        <v>110</v>
      </c>
      <c r="W167" s="18" t="s">
        <v>69</v>
      </c>
      <c r="X167" s="20">
        <v>46053</v>
      </c>
      <c r="Y167" s="18" t="s">
        <v>574</v>
      </c>
      <c r="Z167" s="18" t="str">
        <f>_xlfn.XLOOKUP(Y167,'[1]Data Source'!A:A,'[1]Data Source'!E:E,"N/A",0)</f>
        <v>N/A</v>
      </c>
      <c r="AA167" s="18" t="s">
        <v>101</v>
      </c>
      <c r="AB167" s="18" t="s">
        <v>572</v>
      </c>
      <c r="AC167" s="18" t="str">
        <f>_xlfn.XLOOKUP(L167,'[1]2026 Mapping v3'!A:A,'[1]2026 Mapping v3'!B:B,"Error",0)</f>
        <v>Nairobi West</v>
      </c>
      <c r="AD167" s="18" t="str">
        <f>_xlfn.XLOOKUP(L167,'[1]2026 Mapping v3'!A:A,'[1]2026 Mapping v3'!C:C,"Error",0)</f>
        <v>Valentine Musyoka</v>
      </c>
      <c r="AE167" s="18" t="str">
        <f>_xlfn.XLOOKUP(L167,'[1]2026 Mapping v3'!A:A,'[1]2026 Mapping v3'!D:D,"Error",0)</f>
        <v>Ancetar Mulili</v>
      </c>
      <c r="AF167" s="18" t="str">
        <f>_xlfn.XLOOKUP(L167,'[1]2026 Mapping v3'!A:A,'[1]2026 Mapping v3'!E:E,"Error",0)</f>
        <v>Bilha Wachira</v>
      </c>
      <c r="AS167" s="24">
        <v>40052</v>
      </c>
      <c r="AT167" s="24"/>
      <c r="AU167" s="24"/>
      <c r="AV167" s="24"/>
      <c r="AX167" s="29"/>
      <c r="BE167" s="24">
        <v>40052</v>
      </c>
    </row>
    <row r="168" spans="1:57">
      <c r="A168" s="18" t="s">
        <v>57</v>
      </c>
      <c r="B168" s="19">
        <v>27196957</v>
      </c>
      <c r="C168" s="20">
        <v>46051</v>
      </c>
      <c r="D168" s="18" t="s">
        <v>58</v>
      </c>
      <c r="E168" s="18" t="s">
        <v>59</v>
      </c>
      <c r="F168" s="18" t="s">
        <v>60</v>
      </c>
      <c r="G168" s="18">
        <v>10751</v>
      </c>
      <c r="H168" s="18">
        <f>_xlfn.XLOOKUP(L168,'[1]2026 Mapping v3'!A:A,'[1]2026 Mapping v3'!F:F,0,0)</f>
        <v>73</v>
      </c>
      <c r="I168" s="18" t="b">
        <v>0</v>
      </c>
      <c r="J168" s="18" t="s">
        <v>114</v>
      </c>
      <c r="K168" s="21" t="s">
        <v>1191</v>
      </c>
      <c r="L168" s="18" t="s">
        <v>181</v>
      </c>
      <c r="M168" s="18" t="s">
        <v>63</v>
      </c>
      <c r="N168" s="18" t="s">
        <v>64</v>
      </c>
      <c r="O168" s="18" t="s">
        <v>575</v>
      </c>
      <c r="Q168" s="23" t="s">
        <v>66</v>
      </c>
      <c r="R168" s="23">
        <v>10</v>
      </c>
      <c r="S168" s="24">
        <v>580973</v>
      </c>
      <c r="T168" s="28">
        <v>4000</v>
      </c>
      <c r="U168" s="18" t="s">
        <v>67</v>
      </c>
      <c r="V168" s="18" t="s">
        <v>110</v>
      </c>
      <c r="W168" s="18" t="s">
        <v>69</v>
      </c>
      <c r="X168" s="20">
        <v>46046</v>
      </c>
      <c r="Y168" s="18" t="s">
        <v>576</v>
      </c>
      <c r="Z168" s="18" t="str">
        <f>_xlfn.XLOOKUP(Y168,'[1]Data Source'!A:A,'[1]Data Source'!E:E,"N/A",0)</f>
        <v>LG</v>
      </c>
      <c r="AA168" s="18" t="s">
        <v>577</v>
      </c>
      <c r="AB168" s="18" t="s">
        <v>181</v>
      </c>
      <c r="AC168" s="18" t="str">
        <f>_xlfn.XLOOKUP(L168,'[1]2026 Mapping v3'!A:A,'[1]2026 Mapping v3'!B:B,"Error",0)</f>
        <v>Nairobi Central</v>
      </c>
      <c r="AD168" s="18" t="str">
        <f>_xlfn.XLOOKUP(L168,'[1]2026 Mapping v3'!A:A,'[1]2026 Mapping v3'!C:C,"Error",0)</f>
        <v>Zedekiah Mburu</v>
      </c>
      <c r="AE168" s="18" t="str">
        <f>_xlfn.XLOOKUP(L168,'[1]2026 Mapping v3'!A:A,'[1]2026 Mapping v3'!D:D,"Error",0)</f>
        <v>Zedekiah Mburu</v>
      </c>
      <c r="AF168" s="18" t="str">
        <f>_xlfn.XLOOKUP(L168,'[1]2026 Mapping v3'!A:A,'[1]2026 Mapping v3'!E:E,"Error",0)</f>
        <v>Bilha Wachira</v>
      </c>
      <c r="AS168" s="24">
        <v>4000</v>
      </c>
      <c r="AT168" s="24"/>
      <c r="AU168" s="24"/>
      <c r="AV168" s="24"/>
      <c r="AX168" s="29"/>
      <c r="BE168" s="24">
        <v>4000</v>
      </c>
    </row>
    <row r="169" spans="1:57">
      <c r="A169" s="18" t="s">
        <v>57</v>
      </c>
      <c r="B169" s="19">
        <v>27196957</v>
      </c>
      <c r="C169" s="20">
        <v>46051</v>
      </c>
      <c r="D169" s="18" t="s">
        <v>58</v>
      </c>
      <c r="E169" s="18" t="s">
        <v>59</v>
      </c>
      <c r="F169" s="18" t="s">
        <v>60</v>
      </c>
      <c r="G169" s="18">
        <v>12826</v>
      </c>
      <c r="H169" s="18">
        <f>_xlfn.XLOOKUP(L169,'[1]2026 Mapping v3'!A:A,'[1]2026 Mapping v3'!F:F,0,0)</f>
        <v>15</v>
      </c>
      <c r="I169" s="18" t="b">
        <v>0</v>
      </c>
      <c r="J169" s="18" t="s">
        <v>138</v>
      </c>
      <c r="K169" s="21" t="s">
        <v>1192</v>
      </c>
      <c r="L169" s="18" t="s">
        <v>517</v>
      </c>
      <c r="M169" s="18" t="s">
        <v>98</v>
      </c>
      <c r="N169" s="18" t="s">
        <v>64</v>
      </c>
      <c r="O169" s="18" t="s">
        <v>578</v>
      </c>
      <c r="Q169" s="23" t="s">
        <v>80</v>
      </c>
      <c r="R169" s="23">
        <v>5</v>
      </c>
      <c r="S169" s="24">
        <v>5040504</v>
      </c>
      <c r="T169" s="28">
        <v>800008</v>
      </c>
      <c r="U169" s="18" t="s">
        <v>67</v>
      </c>
      <c r="V169" s="18" t="s">
        <v>68</v>
      </c>
      <c r="W169" s="18" t="s">
        <v>69</v>
      </c>
      <c r="X169" s="20">
        <v>46053</v>
      </c>
      <c r="Y169" s="18" t="s">
        <v>579</v>
      </c>
      <c r="Z169" s="18" t="str">
        <f>_xlfn.XLOOKUP(Y169,'[1]Data Source'!A:A,'[1]Data Source'!E:E,"N/A",0)</f>
        <v>LG</v>
      </c>
      <c r="AA169" s="18" t="s">
        <v>580</v>
      </c>
      <c r="AB169" s="18" t="s">
        <v>517</v>
      </c>
      <c r="AC169" s="18" t="str">
        <f>_xlfn.XLOOKUP(L169,'[1]2026 Mapping v3'!A:A,'[1]2026 Mapping v3'!B:B,"Error",0)</f>
        <v>Mt. Kenya</v>
      </c>
      <c r="AD169" s="18" t="str">
        <f>_xlfn.XLOOKUP(L169,'[1]2026 Mapping v3'!A:A,'[1]2026 Mapping v3'!C:C,"Error",0)</f>
        <v>Teresa Maina</v>
      </c>
      <c r="AE169" s="18" t="str">
        <f>_xlfn.XLOOKUP(L169,'[1]2026 Mapping v3'!A:A,'[1]2026 Mapping v3'!D:D,"Error",0)</f>
        <v>Paul Kithuka</v>
      </c>
      <c r="AF169" s="18" t="str">
        <f>_xlfn.XLOOKUP(L169,'[1]2026 Mapping v3'!A:A,'[1]2026 Mapping v3'!E:E,"Error",0)</f>
        <v>Simon Maingi</v>
      </c>
      <c r="AS169" s="24">
        <v>800008</v>
      </c>
      <c r="AT169" s="24"/>
      <c r="AU169" s="24"/>
      <c r="AV169" s="24"/>
      <c r="AX169" s="29"/>
      <c r="BE169" s="24">
        <v>800008</v>
      </c>
    </row>
    <row r="170" spans="1:57">
      <c r="A170" s="18" t="s">
        <v>57</v>
      </c>
      <c r="B170" s="19">
        <v>27196957</v>
      </c>
      <c r="C170" s="20">
        <v>46051</v>
      </c>
      <c r="D170" s="18" t="s">
        <v>58</v>
      </c>
      <c r="E170" s="18" t="s">
        <v>59</v>
      </c>
      <c r="F170" s="18" t="s">
        <v>60</v>
      </c>
      <c r="G170" s="18">
        <v>14689</v>
      </c>
      <c r="H170" s="18">
        <f>_xlfn.XLOOKUP(L170,'[1]2026 Mapping v3'!A:A,'[1]2026 Mapping v3'!F:F,0,0)</f>
        <v>1</v>
      </c>
      <c r="I170" s="18" t="b">
        <v>0</v>
      </c>
      <c r="J170" s="18" t="s">
        <v>126</v>
      </c>
      <c r="K170" s="21" t="s">
        <v>1193</v>
      </c>
      <c r="L170" s="18" t="s">
        <v>581</v>
      </c>
      <c r="M170" s="18" t="s">
        <v>98</v>
      </c>
      <c r="N170" s="18" t="s">
        <v>64</v>
      </c>
      <c r="O170" s="18" t="s">
        <v>582</v>
      </c>
      <c r="Q170" s="23" t="s">
        <v>80</v>
      </c>
      <c r="R170" s="23">
        <v>5</v>
      </c>
      <c r="S170" s="24">
        <v>10000000</v>
      </c>
      <c r="T170" s="28">
        <v>1588980</v>
      </c>
      <c r="U170" s="18" t="s">
        <v>67</v>
      </c>
      <c r="V170" s="18" t="s">
        <v>68</v>
      </c>
      <c r="W170" s="18" t="s">
        <v>69</v>
      </c>
      <c r="X170" s="20">
        <v>46053</v>
      </c>
      <c r="Y170" s="18" t="s">
        <v>583</v>
      </c>
      <c r="Z170" s="18" t="str">
        <f>_xlfn.XLOOKUP(Y170,'[1]Data Source'!A:A,'[1]Data Source'!E:E,"N/A",0)</f>
        <v>N/A</v>
      </c>
      <c r="AA170" s="18" t="s">
        <v>101</v>
      </c>
      <c r="AB170" s="18" t="s">
        <v>581</v>
      </c>
      <c r="AC170" s="18" t="str">
        <f>_xlfn.XLOOKUP(L170,'[1]2026 Mapping v3'!A:A,'[1]2026 Mapping v3'!B:B,"Error",0)</f>
        <v>Nairobi East</v>
      </c>
      <c r="AD170" s="18" t="str">
        <f>_xlfn.XLOOKUP(L170,'[1]2026 Mapping v3'!A:A,'[1]2026 Mapping v3'!C:C,"Error",0)</f>
        <v>Charles Gicho</v>
      </c>
      <c r="AE170" s="18" t="str">
        <f>_xlfn.XLOOKUP(L170,'[1]2026 Mapping v3'!A:A,'[1]2026 Mapping v3'!D:D,"Error",0)</f>
        <v>Julius Mugane</v>
      </c>
      <c r="AF170" s="18" t="str">
        <f>_xlfn.XLOOKUP(L170,'[1]2026 Mapping v3'!A:A,'[1]2026 Mapping v3'!E:E,"Error",0)</f>
        <v>Debrah Rashid</v>
      </c>
      <c r="AS170" s="24">
        <v>1588980</v>
      </c>
      <c r="AT170" s="24"/>
      <c r="AU170" s="24"/>
      <c r="AV170" s="24"/>
      <c r="AX170" s="29"/>
      <c r="BE170" s="24">
        <v>1588980</v>
      </c>
    </row>
    <row r="171" spans="1:57">
      <c r="A171" s="18" t="s">
        <v>57</v>
      </c>
      <c r="B171" s="19">
        <v>27196957</v>
      </c>
      <c r="C171" s="20">
        <v>46051</v>
      </c>
      <c r="D171" s="18" t="s">
        <v>58</v>
      </c>
      <c r="E171" s="18" t="s">
        <v>59</v>
      </c>
      <c r="F171" s="18" t="s">
        <v>60</v>
      </c>
      <c r="G171" s="18">
        <v>19272</v>
      </c>
      <c r="H171" s="18">
        <f>_xlfn.XLOOKUP(L171,'[1]2026 Mapping v3'!A:A,'[1]2026 Mapping v3'!F:F,0,0)</f>
        <v>3</v>
      </c>
      <c r="I171" s="18" t="b">
        <v>0</v>
      </c>
      <c r="J171" s="18" t="s">
        <v>198</v>
      </c>
      <c r="K171" s="21" t="s">
        <v>1194</v>
      </c>
      <c r="L171" s="18" t="s">
        <v>447</v>
      </c>
      <c r="M171" s="18" t="s">
        <v>98</v>
      </c>
      <c r="N171" s="18" t="s">
        <v>64</v>
      </c>
      <c r="O171" s="18" t="s">
        <v>584</v>
      </c>
      <c r="Q171" s="23" t="s">
        <v>80</v>
      </c>
      <c r="R171" s="23">
        <v>10</v>
      </c>
      <c r="S171" s="24">
        <v>15000000</v>
      </c>
      <c r="T171" s="28">
        <v>1244068</v>
      </c>
      <c r="U171" s="18" t="s">
        <v>67</v>
      </c>
      <c r="V171" s="18" t="s">
        <v>68</v>
      </c>
      <c r="W171" s="18" t="s">
        <v>69</v>
      </c>
      <c r="X171" s="20">
        <v>46053</v>
      </c>
      <c r="Y171" s="18" t="s">
        <v>429</v>
      </c>
      <c r="Z171" s="18" t="str">
        <f>_xlfn.XLOOKUP(Y171,'[1]Data Source'!A:A,'[1]Data Source'!E:E,"N/A",0)</f>
        <v>RM</v>
      </c>
      <c r="AA171" s="18" t="s">
        <v>430</v>
      </c>
      <c r="AB171" s="18" t="s">
        <v>447</v>
      </c>
      <c r="AC171" s="18" t="str">
        <f>_xlfn.XLOOKUP(L171,'[1]2026 Mapping v3'!A:A,'[1]2026 Mapping v3'!B:B,"Error",0)</f>
        <v>Nairobi West</v>
      </c>
      <c r="AD171" s="18" t="str">
        <f>_xlfn.XLOOKUP(L171,'[1]2026 Mapping v3'!A:A,'[1]2026 Mapping v3'!C:C,"Error",0)</f>
        <v>Valentine Musyoka</v>
      </c>
      <c r="AE171" s="18" t="str">
        <f>_xlfn.XLOOKUP(L171,'[1]2026 Mapping v3'!A:A,'[1]2026 Mapping v3'!D:D,"Error",0)</f>
        <v>Ancetar Mulili</v>
      </c>
      <c r="AF171" s="18" t="str">
        <f>_xlfn.XLOOKUP(L171,'[1]2026 Mapping v3'!A:A,'[1]2026 Mapping v3'!E:E,"Error",0)</f>
        <v>Bilha Wachira</v>
      </c>
      <c r="AS171" s="24">
        <v>1244068</v>
      </c>
      <c r="AT171" s="24"/>
      <c r="AU171" s="24"/>
      <c r="AV171" s="24"/>
      <c r="AX171" s="29"/>
      <c r="BE171" s="24">
        <v>1244068</v>
      </c>
    </row>
    <row r="172" spans="1:57">
      <c r="A172" s="18" t="s">
        <v>57</v>
      </c>
      <c r="B172" s="19">
        <v>27196957</v>
      </c>
      <c r="C172" s="20">
        <v>46051</v>
      </c>
      <c r="D172" s="18" t="s">
        <v>58</v>
      </c>
      <c r="E172" s="18" t="s">
        <v>59</v>
      </c>
      <c r="F172" s="18" t="s">
        <v>60</v>
      </c>
      <c r="G172" s="18">
        <v>12647</v>
      </c>
      <c r="H172" s="18">
        <f>_xlfn.XLOOKUP(L172,'[1]2026 Mapping v3'!A:A,'[1]2026 Mapping v3'!F:F,0,0)</f>
        <v>39</v>
      </c>
      <c r="I172" s="18" t="b">
        <v>0</v>
      </c>
      <c r="J172" s="18" t="s">
        <v>375</v>
      </c>
      <c r="K172" s="21" t="s">
        <v>1195</v>
      </c>
      <c r="L172" s="18" t="s">
        <v>211</v>
      </c>
      <c r="M172" s="18" t="s">
        <v>63</v>
      </c>
      <c r="N172" s="18" t="s">
        <v>64</v>
      </c>
      <c r="O172" s="18" t="s">
        <v>585</v>
      </c>
      <c r="Q172" s="23" t="s">
        <v>80</v>
      </c>
      <c r="R172" s="23">
        <v>10</v>
      </c>
      <c r="S172" s="24">
        <v>1050000</v>
      </c>
      <c r="T172" s="28">
        <v>8033</v>
      </c>
      <c r="U172" s="18" t="s">
        <v>586</v>
      </c>
      <c r="V172" s="18" t="s">
        <v>110</v>
      </c>
      <c r="W172" s="18" t="s">
        <v>69</v>
      </c>
      <c r="X172" s="20">
        <v>46053</v>
      </c>
      <c r="Y172" s="18" t="s">
        <v>259</v>
      </c>
      <c r="Z172" s="18" t="str">
        <f>_xlfn.XLOOKUP(Y172,'[1]Data Source'!A:A,'[1]Data Source'!E:E,"N/A",0)</f>
        <v>LG</v>
      </c>
      <c r="AA172" s="18" t="s">
        <v>260</v>
      </c>
      <c r="AB172" s="18" t="s">
        <v>214</v>
      </c>
      <c r="AC172" s="18" t="str">
        <f>_xlfn.XLOOKUP(L172,'[1]2026 Mapping v3'!A:A,'[1]2026 Mapping v3'!B:B,"Error",0)</f>
        <v>Western</v>
      </c>
      <c r="AD172" s="18" t="str">
        <f>_xlfn.XLOOKUP(L172,'[1]2026 Mapping v3'!A:A,'[1]2026 Mapping v3'!C:C,"Error",0)</f>
        <v>Sheila Adhiambo</v>
      </c>
      <c r="AE172" s="18" t="str">
        <f>_xlfn.XLOOKUP(L172,'[1]2026 Mapping v3'!A:A,'[1]2026 Mapping v3'!D:D,"Error",0)</f>
        <v>Sheila Adhiambo</v>
      </c>
      <c r="AF172" s="18" t="str">
        <f>_xlfn.XLOOKUP(L172,'[1]2026 Mapping v3'!A:A,'[1]2026 Mapping v3'!E:E,"Error",0)</f>
        <v>Eric Njiru</v>
      </c>
      <c r="AS172" s="24">
        <v>8033</v>
      </c>
      <c r="AT172" s="24"/>
      <c r="AU172" s="24"/>
      <c r="AV172" s="24"/>
      <c r="AX172" s="29"/>
      <c r="BE172" s="24">
        <v>8033</v>
      </c>
    </row>
    <row r="173" spans="1:57">
      <c r="A173" s="18" t="s">
        <v>57</v>
      </c>
      <c r="B173" s="19">
        <v>27196957</v>
      </c>
      <c r="C173" s="20">
        <v>46051</v>
      </c>
      <c r="D173" s="18" t="s">
        <v>58</v>
      </c>
      <c r="E173" s="18" t="s">
        <v>59</v>
      </c>
      <c r="F173" s="18" t="s">
        <v>60</v>
      </c>
      <c r="G173" s="18">
        <v>16417</v>
      </c>
      <c r="H173" s="18">
        <f>_xlfn.XLOOKUP(L173,'[1]2026 Mapping v3'!A:A,'[1]2026 Mapping v3'!F:F,0,0)</f>
        <v>125</v>
      </c>
      <c r="I173" s="18" t="b">
        <v>0</v>
      </c>
      <c r="J173" s="18" t="s">
        <v>483</v>
      </c>
      <c r="K173" s="21" t="s">
        <v>1196</v>
      </c>
      <c r="L173" s="18" t="s">
        <v>162</v>
      </c>
      <c r="M173" s="18" t="s">
        <v>98</v>
      </c>
      <c r="N173" s="18" t="s">
        <v>64</v>
      </c>
      <c r="O173" s="18" t="s">
        <v>587</v>
      </c>
      <c r="Q173" s="23" t="s">
        <v>80</v>
      </c>
      <c r="R173" s="23">
        <v>5</v>
      </c>
      <c r="S173" s="24">
        <v>1890189</v>
      </c>
      <c r="T173" s="28">
        <v>300003</v>
      </c>
      <c r="U173" s="18" t="s">
        <v>67</v>
      </c>
      <c r="V173" s="18" t="s">
        <v>68</v>
      </c>
      <c r="W173" s="18" t="s">
        <v>69</v>
      </c>
      <c r="X173" s="20">
        <v>46053</v>
      </c>
      <c r="Y173" s="18" t="s">
        <v>588</v>
      </c>
      <c r="Z173" s="18" t="str">
        <f>_xlfn.XLOOKUP(Y173,'[1]Data Source'!A:A,'[1]Data Source'!E:E,"N/A",0)</f>
        <v>N/A</v>
      </c>
      <c r="AA173" s="18" t="s">
        <v>101</v>
      </c>
      <c r="AB173" s="18" t="s">
        <v>162</v>
      </c>
      <c r="AC173" s="18" t="str">
        <f>_xlfn.XLOOKUP(L173,'[1]2026 Mapping v3'!A:A,'[1]2026 Mapping v3'!B:B,"Error",0)</f>
        <v>Rift Valley</v>
      </c>
      <c r="AD173" s="18" t="str">
        <f>_xlfn.XLOOKUP(L173,'[1]2026 Mapping v3'!A:A,'[1]2026 Mapping v3'!C:C,"Error",0)</f>
        <v>Emily Jepchirchir</v>
      </c>
      <c r="AE173" s="18" t="str">
        <f>_xlfn.XLOOKUP(L173,'[1]2026 Mapping v3'!A:A,'[1]2026 Mapping v3'!D:D,"Error",0)</f>
        <v>Emily Jepchirchir</v>
      </c>
      <c r="AF173" s="18" t="str">
        <f>_xlfn.XLOOKUP(L173,'[1]2026 Mapping v3'!A:A,'[1]2026 Mapping v3'!E:E,"Error",0)</f>
        <v>Emily Jepchirchir</v>
      </c>
      <c r="AS173" s="24">
        <v>300003</v>
      </c>
      <c r="AT173" s="24"/>
      <c r="AU173" s="24"/>
      <c r="AV173" s="24"/>
      <c r="AX173" s="29"/>
      <c r="BE173" s="24">
        <v>300003</v>
      </c>
    </row>
    <row r="174" spans="1:57">
      <c r="A174" s="18" t="s">
        <v>57</v>
      </c>
      <c r="B174" s="19">
        <v>27196957</v>
      </c>
      <c r="C174" s="20">
        <v>46051</v>
      </c>
      <c r="D174" s="18" t="s">
        <v>58</v>
      </c>
      <c r="E174" s="18" t="s">
        <v>59</v>
      </c>
      <c r="F174" s="18" t="s">
        <v>60</v>
      </c>
      <c r="G174" s="18">
        <v>4614</v>
      </c>
      <c r="H174" s="18">
        <f>_xlfn.XLOOKUP(L174,'[1]2026 Mapping v3'!A:A,'[1]2026 Mapping v3'!F:F,0,0)</f>
        <v>64</v>
      </c>
      <c r="I174" s="18" t="b">
        <v>0</v>
      </c>
      <c r="J174" s="18" t="s">
        <v>301</v>
      </c>
      <c r="K174" s="21" t="s">
        <v>1197</v>
      </c>
      <c r="L174" s="18" t="s">
        <v>416</v>
      </c>
      <c r="M174" s="18" t="s">
        <v>98</v>
      </c>
      <c r="N174" s="18" t="s">
        <v>64</v>
      </c>
      <c r="O174" s="18" t="s">
        <v>589</v>
      </c>
      <c r="Q174" s="23" t="s">
        <v>80</v>
      </c>
      <c r="R174" s="23">
        <v>6</v>
      </c>
      <c r="S174" s="24">
        <v>2625016</v>
      </c>
      <c r="T174" s="28">
        <v>1800000</v>
      </c>
      <c r="U174" s="18" t="s">
        <v>67</v>
      </c>
      <c r="V174" s="18" t="s">
        <v>158</v>
      </c>
      <c r="W174" s="18" t="s">
        <v>69</v>
      </c>
      <c r="X174" s="20">
        <v>46053</v>
      </c>
      <c r="Y174" s="18" t="s">
        <v>590</v>
      </c>
      <c r="Z174" s="18" t="str">
        <f>_xlfn.XLOOKUP(Y174,'[1]Data Source'!A:A,'[1]Data Source'!E:E,"N/A",0)</f>
        <v>UB</v>
      </c>
      <c r="AA174" s="18" t="s">
        <v>591</v>
      </c>
      <c r="AB174" s="18" t="s">
        <v>416</v>
      </c>
      <c r="AC174" s="18" t="str">
        <f>_xlfn.XLOOKUP(L174,'[1]2026 Mapping v3'!A:A,'[1]2026 Mapping v3'!B:B,"Error",0)</f>
        <v>Coast</v>
      </c>
      <c r="AD174" s="18" t="str">
        <f>_xlfn.XLOOKUP(L174,'[1]2026 Mapping v3'!A:A,'[1]2026 Mapping v3'!C:C,"Error",0)</f>
        <v>Nancy Logose</v>
      </c>
      <c r="AE174" s="18" t="str">
        <f>_xlfn.XLOOKUP(L174,'[1]2026 Mapping v3'!A:A,'[1]2026 Mapping v3'!D:D,"Error",0)</f>
        <v>Brian Khamadi</v>
      </c>
      <c r="AF174" s="18" t="str">
        <f>_xlfn.XLOOKUP(L174,'[1]2026 Mapping v3'!A:A,'[1]2026 Mapping v3'!E:E,"Error",0)</f>
        <v>Eric Njiru</v>
      </c>
      <c r="AS174" s="24">
        <v>1800000</v>
      </c>
      <c r="AT174" s="24"/>
      <c r="AU174" s="24"/>
      <c r="AV174" s="24"/>
      <c r="AX174" s="29"/>
      <c r="BE174" s="24">
        <v>1800000</v>
      </c>
    </row>
    <row r="175" spans="1:57">
      <c r="A175" s="18" t="s">
        <v>57</v>
      </c>
      <c r="B175" s="19">
        <v>27196957</v>
      </c>
      <c r="C175" s="20">
        <v>46051</v>
      </c>
      <c r="D175" s="18" t="s">
        <v>58</v>
      </c>
      <c r="E175" s="18" t="s">
        <v>59</v>
      </c>
      <c r="F175" s="18" t="s">
        <v>60</v>
      </c>
      <c r="G175" s="18">
        <v>16046</v>
      </c>
      <c r="H175" s="18">
        <f>_xlfn.XLOOKUP(L175,'[1]2026 Mapping v3'!A:A,'[1]2026 Mapping v3'!F:F,0,0)</f>
        <v>85</v>
      </c>
      <c r="I175" s="18" t="b">
        <v>0</v>
      </c>
      <c r="J175" s="18" t="s">
        <v>592</v>
      </c>
      <c r="K175" s="21" t="s">
        <v>1198</v>
      </c>
      <c r="L175" s="18" t="s">
        <v>593</v>
      </c>
      <c r="M175" s="18" t="s">
        <v>98</v>
      </c>
      <c r="N175" s="18" t="s">
        <v>64</v>
      </c>
      <c r="O175" s="18" t="s">
        <v>594</v>
      </c>
      <c r="Q175" s="23" t="s">
        <v>80</v>
      </c>
      <c r="R175" s="23">
        <v>5</v>
      </c>
      <c r="S175" s="24">
        <v>10000000</v>
      </c>
      <c r="T175" s="28">
        <v>1588980</v>
      </c>
      <c r="U175" s="18" t="s">
        <v>67</v>
      </c>
      <c r="V175" s="18" t="s">
        <v>68</v>
      </c>
      <c r="W175" s="18" t="s">
        <v>69</v>
      </c>
      <c r="X175" s="20">
        <v>46053</v>
      </c>
      <c r="Y175" s="18" t="s">
        <v>595</v>
      </c>
      <c r="Z175" s="18" t="str">
        <f>_xlfn.XLOOKUP(Y175,'[1]Data Source'!A:A,'[1]Data Source'!E:E,"N/A",0)</f>
        <v>N/A</v>
      </c>
      <c r="AA175" s="18" t="s">
        <v>101</v>
      </c>
      <c r="AB175" s="18" t="s">
        <v>593</v>
      </c>
      <c r="AC175" s="18" t="str">
        <f>_xlfn.XLOOKUP(L175,'[1]2026 Mapping v3'!A:A,'[1]2026 Mapping v3'!B:B,"Error",0)</f>
        <v>Nairobi East</v>
      </c>
      <c r="AD175" s="18" t="str">
        <f>_xlfn.XLOOKUP(L175,'[1]2026 Mapping v3'!A:A,'[1]2026 Mapping v3'!C:C,"Error",0)</f>
        <v>Julius Mugane</v>
      </c>
      <c r="AE175" s="18" t="str">
        <f>_xlfn.XLOOKUP(L175,'[1]2026 Mapping v3'!A:A,'[1]2026 Mapping v3'!D:D,"Error",0)</f>
        <v>Julius Mugane</v>
      </c>
      <c r="AF175" s="18" t="str">
        <f>_xlfn.XLOOKUP(L175,'[1]2026 Mapping v3'!A:A,'[1]2026 Mapping v3'!E:E,"Error",0)</f>
        <v>Debrah Rashid</v>
      </c>
      <c r="AS175" s="24">
        <v>1588980</v>
      </c>
      <c r="AT175" s="24"/>
      <c r="AU175" s="24"/>
      <c r="AV175" s="24"/>
      <c r="AX175" s="29"/>
      <c r="BE175" s="24">
        <v>1588980</v>
      </c>
    </row>
    <row r="176" spans="1:57">
      <c r="A176" s="18" t="s">
        <v>57</v>
      </c>
      <c r="B176" s="19">
        <v>27196957</v>
      </c>
      <c r="C176" s="20">
        <v>46051</v>
      </c>
      <c r="D176" s="18" t="s">
        <v>58</v>
      </c>
      <c r="E176" s="18" t="s">
        <v>59</v>
      </c>
      <c r="F176" s="18" t="s">
        <v>60</v>
      </c>
      <c r="G176" s="31" t="s">
        <v>596</v>
      </c>
      <c r="H176" s="18">
        <f>_xlfn.XLOOKUP(L176,'[1]2026 Mapping v3'!A:A,'[1]2026 Mapping v3'!F:F,0,0)</f>
        <v>140</v>
      </c>
      <c r="I176" s="18" t="b">
        <v>0</v>
      </c>
      <c r="J176" s="18" t="s">
        <v>597</v>
      </c>
      <c r="K176" s="21" t="s">
        <v>1199</v>
      </c>
      <c r="L176" s="18" t="s">
        <v>598</v>
      </c>
      <c r="M176" s="18" t="s">
        <v>599</v>
      </c>
      <c r="N176" s="18" t="s">
        <v>64</v>
      </c>
      <c r="O176" s="18" t="s">
        <v>600</v>
      </c>
      <c r="Q176" s="23" t="s">
        <v>80</v>
      </c>
      <c r="R176" s="23">
        <v>1</v>
      </c>
      <c r="S176" s="24">
        <v>200000</v>
      </c>
      <c r="T176" s="28">
        <v>2952.8</v>
      </c>
      <c r="U176" s="18" t="s">
        <v>67</v>
      </c>
      <c r="V176" s="18" t="s">
        <v>110</v>
      </c>
      <c r="W176" s="18" t="s">
        <v>69</v>
      </c>
      <c r="X176" s="20">
        <v>46053</v>
      </c>
      <c r="Y176" s="18" t="s">
        <v>601</v>
      </c>
      <c r="Z176" s="18" t="str">
        <f>_xlfn.XLOOKUP(Y176,'[1]Data Source'!A:A,'[1]Data Source'!E:E,"N/A",0)</f>
        <v>N/A</v>
      </c>
      <c r="AA176" s="18" t="s">
        <v>101</v>
      </c>
      <c r="AB176" s="18" t="s">
        <v>598</v>
      </c>
      <c r="AC176" s="18" t="str">
        <f>_xlfn.XLOOKUP(L176,'[1]2026 Mapping v3'!A:A,'[1]2026 Mapping v3'!B:B,"Error",0)</f>
        <v>TMU</v>
      </c>
      <c r="AD176" s="18" t="str">
        <f>_xlfn.XLOOKUP(L176,'[1]2026 Mapping v3'!A:A,'[1]2026 Mapping v3'!C:C,"Error",0)</f>
        <v>Simon Wambua</v>
      </c>
      <c r="AE176" s="18" t="str">
        <f>_xlfn.XLOOKUP(L176,'[1]2026 Mapping v3'!A:A,'[1]2026 Mapping v3'!D:D,"Error",0)</f>
        <v>Joseph Kairu</v>
      </c>
      <c r="AF176" s="18" t="str">
        <f>_xlfn.XLOOKUP(L176,'[1]2026 Mapping v3'!A:A,'[1]2026 Mapping v3'!E:E,"Error",0)</f>
        <v>Debrah Rashid</v>
      </c>
      <c r="AS176" s="24">
        <v>2952.8</v>
      </c>
      <c r="AT176" s="24"/>
      <c r="AU176" s="24"/>
      <c r="AV176" s="24"/>
      <c r="AX176" s="29"/>
      <c r="BE176" s="24">
        <v>2952.8</v>
      </c>
    </row>
    <row r="177" spans="1:57">
      <c r="A177" s="18" t="s">
        <v>57</v>
      </c>
      <c r="B177" s="19">
        <v>27196957</v>
      </c>
      <c r="C177" s="20">
        <v>46051</v>
      </c>
      <c r="D177" s="18" t="s">
        <v>58</v>
      </c>
      <c r="E177" s="18" t="s">
        <v>59</v>
      </c>
      <c r="F177" s="18" t="s">
        <v>60</v>
      </c>
      <c r="G177" s="18">
        <v>12319</v>
      </c>
      <c r="H177" s="18">
        <f>_xlfn.XLOOKUP(L177,'[1]2026 Mapping v3'!A:A,'[1]2026 Mapping v3'!F:F,0,0)</f>
        <v>46</v>
      </c>
      <c r="I177" s="18" t="b">
        <v>0</v>
      </c>
      <c r="J177" s="18" t="s">
        <v>233</v>
      </c>
      <c r="K177" s="21" t="s">
        <v>1200</v>
      </c>
      <c r="L177" s="18" t="s">
        <v>602</v>
      </c>
      <c r="M177" s="18" t="s">
        <v>98</v>
      </c>
      <c r="N177" s="18" t="s">
        <v>64</v>
      </c>
      <c r="O177" s="18" t="s">
        <v>603</v>
      </c>
      <c r="Q177" s="23" t="s">
        <v>80</v>
      </c>
      <c r="R177" s="23">
        <v>5</v>
      </c>
      <c r="S177" s="24">
        <v>2801754</v>
      </c>
      <c r="T177" s="28">
        <v>500000</v>
      </c>
      <c r="U177" s="18" t="s">
        <v>67</v>
      </c>
      <c r="V177" s="18" t="s">
        <v>68</v>
      </c>
      <c r="W177" s="18" t="s">
        <v>69</v>
      </c>
      <c r="X177" s="20">
        <v>46053</v>
      </c>
      <c r="Y177" s="18" t="s">
        <v>604</v>
      </c>
      <c r="Z177" s="18" t="str">
        <f>_xlfn.XLOOKUP(Y177,'[1]Data Source'!A:A,'[1]Data Source'!E:E,"N/A",0)</f>
        <v>LG</v>
      </c>
      <c r="AA177" s="18" t="s">
        <v>605</v>
      </c>
      <c r="AB177" s="18" t="s">
        <v>602</v>
      </c>
      <c r="AC177" s="18" t="str">
        <f>_xlfn.XLOOKUP(L177,'[1]2026 Mapping v3'!A:A,'[1]2026 Mapping v3'!B:B,"Error",0)</f>
        <v>Nairobi West</v>
      </c>
      <c r="AD177" s="18" t="str">
        <f>_xlfn.XLOOKUP(L177,'[1]2026 Mapping v3'!A:A,'[1]2026 Mapping v3'!C:C,"Error",0)</f>
        <v>Ancetar Mulili</v>
      </c>
      <c r="AE177" s="18" t="str">
        <f>_xlfn.XLOOKUP(L177,'[1]2026 Mapping v3'!A:A,'[1]2026 Mapping v3'!D:D,"Error",0)</f>
        <v>Ancetar Mulili</v>
      </c>
      <c r="AF177" s="18" t="str">
        <f>_xlfn.XLOOKUP(L177,'[1]2026 Mapping v3'!A:A,'[1]2026 Mapping v3'!E:E,"Error",0)</f>
        <v>Bilha Wachira</v>
      </c>
      <c r="AS177" s="24">
        <v>500000</v>
      </c>
      <c r="AT177" s="24"/>
      <c r="AU177" s="24"/>
      <c r="AV177" s="24"/>
      <c r="AX177" s="29"/>
      <c r="BE177" s="24">
        <v>500000</v>
      </c>
    </row>
    <row r="178" spans="1:57">
      <c r="A178" s="18" t="s">
        <v>128</v>
      </c>
      <c r="B178" s="19">
        <v>27196957</v>
      </c>
      <c r="C178" s="20">
        <v>46051</v>
      </c>
      <c r="D178" s="18" t="s">
        <v>58</v>
      </c>
      <c r="E178" s="18" t="s">
        <v>59</v>
      </c>
      <c r="F178" s="18" t="s">
        <v>60</v>
      </c>
      <c r="G178" s="18">
        <v>4953</v>
      </c>
      <c r="H178" s="18">
        <f>_xlfn.XLOOKUP(L178,'[1]2026 Mapping v3'!A:A,'[1]2026 Mapping v3'!F:F,0,0)</f>
        <v>12</v>
      </c>
      <c r="I178" s="18" t="b">
        <v>0</v>
      </c>
      <c r="J178" s="18" t="s">
        <v>200</v>
      </c>
      <c r="K178" s="21" t="s">
        <v>1201</v>
      </c>
      <c r="L178" s="18" t="str">
        <f t="shared" ref="L178:L181" si="12">Y178</f>
        <v>HISA001</v>
      </c>
      <c r="M178" s="18" t="s">
        <v>98</v>
      </c>
      <c r="N178" s="18" t="s">
        <v>64</v>
      </c>
      <c r="O178" s="18" t="s">
        <v>606</v>
      </c>
      <c r="Q178" s="23" t="s">
        <v>80</v>
      </c>
      <c r="R178" s="23">
        <v>10</v>
      </c>
      <c r="S178" s="24">
        <v>2658477</v>
      </c>
      <c r="T178" s="28">
        <v>20045</v>
      </c>
      <c r="U178" s="18" t="s">
        <v>586</v>
      </c>
      <c r="V178" s="18" t="s">
        <v>110</v>
      </c>
      <c r="W178" s="18" t="s">
        <v>69</v>
      </c>
      <c r="X178" s="20">
        <v>46053</v>
      </c>
      <c r="Y178" s="18" t="s">
        <v>131</v>
      </c>
      <c r="Z178" s="18" t="str">
        <f>_xlfn.XLOOKUP(Y178,'[1]Data Source'!A:A,'[1]Data Source'!E:E,"N/A",0)</f>
        <v>ALAK</v>
      </c>
      <c r="AA178" s="18" t="s">
        <v>132</v>
      </c>
      <c r="AB178" s="18" t="str">
        <f t="shared" ref="AB178:AB181" si="13">Y178</f>
        <v>HISA001</v>
      </c>
      <c r="AC178" s="18" t="str">
        <f>_xlfn.XLOOKUP(L178,'[1]2026 Mapping v3'!A:A,'[1]2026 Mapping v3'!B:B,"Error",0)</f>
        <v>Alternative Channels</v>
      </c>
      <c r="AD178" s="18" t="str">
        <f>_xlfn.XLOOKUP(L178,'[1]2026 Mapping v3'!A:A,'[1]2026 Mapping v3'!C:C,"Error",0)</f>
        <v>Eric Njiru</v>
      </c>
      <c r="AE178" s="18" t="str">
        <f>_xlfn.XLOOKUP(L178,'[1]2026 Mapping v3'!A:A,'[1]2026 Mapping v3'!D:D,"Error",0)</f>
        <v>Eric Njiru</v>
      </c>
      <c r="AF178" s="18" t="str">
        <f>_xlfn.XLOOKUP(L178,'[1]2026 Mapping v3'!A:A,'[1]2026 Mapping v3'!E:E,"Error",0)</f>
        <v>Eric Njiru</v>
      </c>
      <c r="AS178" s="24">
        <v>20045</v>
      </c>
      <c r="AT178" s="24"/>
      <c r="AU178" s="24"/>
      <c r="AV178" s="24"/>
      <c r="AX178" s="29"/>
      <c r="BE178" s="24">
        <v>20045</v>
      </c>
    </row>
    <row r="179" spans="1:57">
      <c r="A179" s="18" t="s">
        <v>128</v>
      </c>
      <c r="B179" s="19">
        <v>27196957</v>
      </c>
      <c r="C179" s="20">
        <v>46051</v>
      </c>
      <c r="D179" s="18" t="s">
        <v>58</v>
      </c>
      <c r="E179" s="18" t="s">
        <v>59</v>
      </c>
      <c r="F179" s="18" t="s">
        <v>60</v>
      </c>
      <c r="G179" s="18">
        <v>4961</v>
      </c>
      <c r="H179" s="18">
        <f>_xlfn.XLOOKUP(L179,'[1]2026 Mapping v3'!A:A,'[1]2026 Mapping v3'!F:F,0,0)</f>
        <v>12</v>
      </c>
      <c r="I179" s="18" t="b">
        <v>0</v>
      </c>
      <c r="J179" s="18" t="s">
        <v>607</v>
      </c>
      <c r="K179" s="21" t="s">
        <v>1202</v>
      </c>
      <c r="L179" s="18" t="str">
        <f t="shared" si="12"/>
        <v>HISA001</v>
      </c>
      <c r="M179" s="18" t="s">
        <v>98</v>
      </c>
      <c r="N179" s="18" t="s">
        <v>64</v>
      </c>
      <c r="O179" s="18" t="s">
        <v>608</v>
      </c>
      <c r="Q179" s="23" t="s">
        <v>80</v>
      </c>
      <c r="R179" s="23">
        <v>6</v>
      </c>
      <c r="S179" s="24">
        <v>1000000</v>
      </c>
      <c r="T179" s="28">
        <v>13008</v>
      </c>
      <c r="U179" s="18" t="s">
        <v>586</v>
      </c>
      <c r="V179" s="18" t="s">
        <v>110</v>
      </c>
      <c r="W179" s="18" t="s">
        <v>69</v>
      </c>
      <c r="X179" s="20">
        <v>46053</v>
      </c>
      <c r="Y179" s="18" t="s">
        <v>131</v>
      </c>
      <c r="Z179" s="18" t="str">
        <f>_xlfn.XLOOKUP(Y179,'[1]Data Source'!A:A,'[1]Data Source'!E:E,"N/A",0)</f>
        <v>ALAK</v>
      </c>
      <c r="AA179" s="18" t="s">
        <v>132</v>
      </c>
      <c r="AB179" s="18" t="str">
        <f t="shared" si="13"/>
        <v>HISA001</v>
      </c>
      <c r="AC179" s="18" t="str">
        <f>_xlfn.XLOOKUP(L179,'[1]2026 Mapping v3'!A:A,'[1]2026 Mapping v3'!B:B,"Error",0)</f>
        <v>Alternative Channels</v>
      </c>
      <c r="AD179" s="18" t="str">
        <f>_xlfn.XLOOKUP(L179,'[1]2026 Mapping v3'!A:A,'[1]2026 Mapping v3'!C:C,"Error",0)</f>
        <v>Eric Njiru</v>
      </c>
      <c r="AE179" s="18" t="str">
        <f>_xlfn.XLOOKUP(L179,'[1]2026 Mapping v3'!A:A,'[1]2026 Mapping v3'!D:D,"Error",0)</f>
        <v>Eric Njiru</v>
      </c>
      <c r="AF179" s="18" t="str">
        <f>_xlfn.XLOOKUP(L179,'[1]2026 Mapping v3'!A:A,'[1]2026 Mapping v3'!E:E,"Error",0)</f>
        <v>Eric Njiru</v>
      </c>
      <c r="AS179" s="24">
        <v>13008</v>
      </c>
      <c r="AT179" s="24"/>
      <c r="AU179" s="24"/>
      <c r="AV179" s="24"/>
      <c r="AX179" s="29"/>
      <c r="BE179" s="24">
        <v>13008</v>
      </c>
    </row>
    <row r="180" spans="1:57">
      <c r="A180" s="18" t="s">
        <v>128</v>
      </c>
      <c r="B180" s="19">
        <v>27196957</v>
      </c>
      <c r="C180" s="20">
        <v>46051</v>
      </c>
      <c r="D180" s="18" t="s">
        <v>58</v>
      </c>
      <c r="E180" s="18" t="s">
        <v>59</v>
      </c>
      <c r="F180" s="18" t="s">
        <v>60</v>
      </c>
      <c r="G180" s="18">
        <v>4952</v>
      </c>
      <c r="H180" s="18">
        <f>_xlfn.XLOOKUP(L180,'[1]2026 Mapping v3'!A:A,'[1]2026 Mapping v3'!F:F,0,0)</f>
        <v>12</v>
      </c>
      <c r="I180" s="18" t="b">
        <v>0</v>
      </c>
      <c r="J180" s="18" t="s">
        <v>114</v>
      </c>
      <c r="K180" s="21" t="s">
        <v>1203</v>
      </c>
      <c r="L180" s="18" t="str">
        <f t="shared" si="12"/>
        <v>HISA001</v>
      </c>
      <c r="M180" s="18" t="s">
        <v>98</v>
      </c>
      <c r="N180" s="18" t="s">
        <v>64</v>
      </c>
      <c r="O180" s="18" t="s">
        <v>609</v>
      </c>
      <c r="Q180" s="23" t="s">
        <v>80</v>
      </c>
      <c r="R180" s="23">
        <v>10</v>
      </c>
      <c r="S180" s="24">
        <v>2658477</v>
      </c>
      <c r="T180" s="28">
        <v>20045</v>
      </c>
      <c r="U180" s="18" t="s">
        <v>586</v>
      </c>
      <c r="V180" s="18" t="s">
        <v>110</v>
      </c>
      <c r="W180" s="18" t="s">
        <v>69</v>
      </c>
      <c r="X180" s="20">
        <v>46053</v>
      </c>
      <c r="Y180" s="18" t="s">
        <v>131</v>
      </c>
      <c r="Z180" s="18" t="str">
        <f>_xlfn.XLOOKUP(Y180,'[1]Data Source'!A:A,'[1]Data Source'!E:E,"N/A",0)</f>
        <v>ALAK</v>
      </c>
      <c r="AA180" s="18" t="s">
        <v>132</v>
      </c>
      <c r="AB180" s="18" t="str">
        <f t="shared" si="13"/>
        <v>HISA001</v>
      </c>
      <c r="AC180" s="18" t="str">
        <f>_xlfn.XLOOKUP(L180,'[1]2026 Mapping v3'!A:A,'[1]2026 Mapping v3'!B:B,"Error",0)</f>
        <v>Alternative Channels</v>
      </c>
      <c r="AD180" s="18" t="str">
        <f>_xlfn.XLOOKUP(L180,'[1]2026 Mapping v3'!A:A,'[1]2026 Mapping v3'!C:C,"Error",0)</f>
        <v>Eric Njiru</v>
      </c>
      <c r="AE180" s="18" t="str">
        <f>_xlfn.XLOOKUP(L180,'[1]2026 Mapping v3'!A:A,'[1]2026 Mapping v3'!D:D,"Error",0)</f>
        <v>Eric Njiru</v>
      </c>
      <c r="AF180" s="18" t="str">
        <f>_xlfn.XLOOKUP(L180,'[1]2026 Mapping v3'!A:A,'[1]2026 Mapping v3'!E:E,"Error",0)</f>
        <v>Eric Njiru</v>
      </c>
      <c r="AS180" s="24">
        <v>20045</v>
      </c>
      <c r="AT180" s="24"/>
      <c r="AU180" s="24"/>
      <c r="AV180" s="24"/>
      <c r="AX180" s="29"/>
      <c r="BE180" s="24">
        <v>20045</v>
      </c>
    </row>
    <row r="181" spans="1:57">
      <c r="A181" s="18" t="s">
        <v>128</v>
      </c>
      <c r="B181" s="19">
        <v>27196957</v>
      </c>
      <c r="C181" s="20">
        <v>46051</v>
      </c>
      <c r="D181" s="18" t="s">
        <v>58</v>
      </c>
      <c r="E181" s="18" t="s">
        <v>59</v>
      </c>
      <c r="F181" s="18" t="s">
        <v>60</v>
      </c>
      <c r="G181" s="18">
        <v>4962</v>
      </c>
      <c r="H181" s="18">
        <f>_xlfn.XLOOKUP(L181,'[1]2026 Mapping v3'!A:A,'[1]2026 Mapping v3'!F:F,0,0)</f>
        <v>12</v>
      </c>
      <c r="I181" s="18" t="b">
        <v>0</v>
      </c>
      <c r="J181" s="18" t="s">
        <v>610</v>
      </c>
      <c r="K181" s="21" t="s">
        <v>1204</v>
      </c>
      <c r="L181" s="18" t="str">
        <f t="shared" si="12"/>
        <v>HISA001</v>
      </c>
      <c r="M181" s="18" t="s">
        <v>98</v>
      </c>
      <c r="N181" s="18" t="s">
        <v>64</v>
      </c>
      <c r="O181" s="18" t="s">
        <v>611</v>
      </c>
      <c r="Q181" s="23" t="s">
        <v>80</v>
      </c>
      <c r="R181" s="23">
        <v>15</v>
      </c>
      <c r="S181" s="24">
        <v>4180516</v>
      </c>
      <c r="T181" s="28">
        <v>20070</v>
      </c>
      <c r="U181" s="18" t="s">
        <v>586</v>
      </c>
      <c r="V181" s="18" t="s">
        <v>110</v>
      </c>
      <c r="W181" s="18" t="s">
        <v>69</v>
      </c>
      <c r="X181" s="20">
        <v>46053</v>
      </c>
      <c r="Y181" s="18" t="s">
        <v>131</v>
      </c>
      <c r="Z181" s="18" t="str">
        <f>_xlfn.XLOOKUP(Y181,'[1]Data Source'!A:A,'[1]Data Source'!E:E,"N/A",0)</f>
        <v>ALAK</v>
      </c>
      <c r="AA181" s="18" t="s">
        <v>132</v>
      </c>
      <c r="AB181" s="18" t="str">
        <f t="shared" si="13"/>
        <v>HISA001</v>
      </c>
      <c r="AC181" s="18" t="str">
        <f>_xlfn.XLOOKUP(L181,'[1]2026 Mapping v3'!A:A,'[1]2026 Mapping v3'!B:B,"Error",0)</f>
        <v>Alternative Channels</v>
      </c>
      <c r="AD181" s="18" t="str">
        <f>_xlfn.XLOOKUP(L181,'[1]2026 Mapping v3'!A:A,'[1]2026 Mapping v3'!C:C,"Error",0)</f>
        <v>Eric Njiru</v>
      </c>
      <c r="AE181" s="18" t="str">
        <f>_xlfn.XLOOKUP(L181,'[1]2026 Mapping v3'!A:A,'[1]2026 Mapping v3'!D:D,"Error",0)</f>
        <v>Eric Njiru</v>
      </c>
      <c r="AF181" s="18" t="str">
        <f>_xlfn.XLOOKUP(L181,'[1]2026 Mapping v3'!A:A,'[1]2026 Mapping v3'!E:E,"Error",0)</f>
        <v>Eric Njiru</v>
      </c>
      <c r="AS181" s="24">
        <v>20070</v>
      </c>
      <c r="AT181" s="24"/>
      <c r="AU181" s="24"/>
      <c r="AV181" s="24"/>
      <c r="AX181" s="29"/>
      <c r="BE181" s="24">
        <v>20070</v>
      </c>
    </row>
    <row r="182" spans="1:57">
      <c r="A182" s="18" t="s">
        <v>57</v>
      </c>
      <c r="B182" s="19">
        <v>27196957</v>
      </c>
      <c r="C182" s="20">
        <v>46052</v>
      </c>
      <c r="D182" s="18" t="s">
        <v>58</v>
      </c>
      <c r="E182" s="18" t="s">
        <v>59</v>
      </c>
      <c r="F182" s="18" t="s">
        <v>60</v>
      </c>
      <c r="G182" s="18">
        <v>18213</v>
      </c>
      <c r="H182" s="18">
        <f>_xlfn.XLOOKUP(L182,'[1]2026 Mapping v3'!A:A,'[1]2026 Mapping v3'!F:F,0,0)</f>
        <v>32</v>
      </c>
      <c r="I182" s="18" t="b">
        <v>0</v>
      </c>
      <c r="J182" s="18" t="s">
        <v>210</v>
      </c>
      <c r="K182" s="21" t="s">
        <v>1205</v>
      </c>
      <c r="L182" s="18" t="s">
        <v>572</v>
      </c>
      <c r="M182" s="18" t="s">
        <v>98</v>
      </c>
      <c r="N182" s="18" t="s">
        <v>64</v>
      </c>
      <c r="O182" s="18" t="s">
        <v>612</v>
      </c>
      <c r="Q182" s="23" t="s">
        <v>80</v>
      </c>
      <c r="R182" s="23">
        <v>5</v>
      </c>
      <c r="S182" s="24">
        <v>1000000</v>
      </c>
      <c r="T182" s="28">
        <v>13003</v>
      </c>
      <c r="U182" s="18" t="s">
        <v>67</v>
      </c>
      <c r="V182" s="18" t="s">
        <v>110</v>
      </c>
      <c r="W182" s="18" t="s">
        <v>69</v>
      </c>
      <c r="X182" s="20">
        <v>46046</v>
      </c>
      <c r="Y182" s="18" t="s">
        <v>613</v>
      </c>
      <c r="Z182" s="18" t="str">
        <f>_xlfn.XLOOKUP(Y182,'[1]Data Source'!A:A,'[1]Data Source'!E:E,"N/A",0)</f>
        <v>LG</v>
      </c>
      <c r="AA182" s="18" t="s">
        <v>552</v>
      </c>
      <c r="AB182" s="18" t="s">
        <v>572</v>
      </c>
      <c r="AC182" s="18" t="str">
        <f>_xlfn.XLOOKUP(L182,'[1]2026 Mapping v3'!A:A,'[1]2026 Mapping v3'!B:B,"Error",0)</f>
        <v>Nairobi West</v>
      </c>
      <c r="AD182" s="18" t="str">
        <f>_xlfn.XLOOKUP(L182,'[1]2026 Mapping v3'!A:A,'[1]2026 Mapping v3'!C:C,"Error",0)</f>
        <v>Valentine Musyoka</v>
      </c>
      <c r="AE182" s="18" t="str">
        <f>_xlfn.XLOOKUP(L182,'[1]2026 Mapping v3'!A:A,'[1]2026 Mapping v3'!D:D,"Error",0)</f>
        <v>Ancetar Mulili</v>
      </c>
      <c r="AF182" s="18" t="str">
        <f>_xlfn.XLOOKUP(L182,'[1]2026 Mapping v3'!A:A,'[1]2026 Mapping v3'!E:E,"Error",0)</f>
        <v>Bilha Wachira</v>
      </c>
      <c r="AS182" s="24">
        <v>13003</v>
      </c>
      <c r="AT182" s="24"/>
      <c r="AU182" s="24"/>
      <c r="AV182" s="24"/>
      <c r="AX182" s="29"/>
      <c r="BE182" s="24">
        <v>13003</v>
      </c>
    </row>
    <row r="183" spans="1:57">
      <c r="A183" s="18" t="s">
        <v>57</v>
      </c>
      <c r="B183" s="19">
        <v>27196957</v>
      </c>
      <c r="C183" s="20">
        <v>46052</v>
      </c>
      <c r="D183" s="18" t="s">
        <v>58</v>
      </c>
      <c r="E183" s="18" t="s">
        <v>59</v>
      </c>
      <c r="F183" s="18" t="s">
        <v>60</v>
      </c>
      <c r="G183" s="18">
        <v>16574</v>
      </c>
      <c r="H183" s="18">
        <f>_xlfn.XLOOKUP(L183,'[1]2026 Mapping v3'!A:A,'[1]2026 Mapping v3'!F:F,0,0)</f>
        <v>2</v>
      </c>
      <c r="I183" s="18" t="b">
        <v>0</v>
      </c>
      <c r="J183" s="18" t="s">
        <v>614</v>
      </c>
      <c r="K183" s="21" t="s">
        <v>1206</v>
      </c>
      <c r="L183" s="18" t="s">
        <v>377</v>
      </c>
      <c r="M183" s="18" t="s">
        <v>98</v>
      </c>
      <c r="N183" s="18" t="s">
        <v>64</v>
      </c>
      <c r="O183" s="18" t="s">
        <v>615</v>
      </c>
      <c r="Q183" s="23" t="s">
        <v>80</v>
      </c>
      <c r="R183" s="23">
        <v>5</v>
      </c>
      <c r="S183" s="24">
        <v>3610000</v>
      </c>
      <c r="T183" s="28">
        <v>515669</v>
      </c>
      <c r="U183" s="18" t="s">
        <v>67</v>
      </c>
      <c r="V183" s="18" t="s">
        <v>68</v>
      </c>
      <c r="W183" s="18" t="s">
        <v>69</v>
      </c>
      <c r="X183" s="20">
        <v>46051</v>
      </c>
      <c r="Y183" s="18" t="s">
        <v>391</v>
      </c>
      <c r="Z183" s="18" t="str">
        <f>_xlfn.XLOOKUP(Y183,'[1]Data Source'!A:A,'[1]Data Source'!E:E,"N/A",0)</f>
        <v>LG</v>
      </c>
      <c r="AA183" s="18" t="s">
        <v>392</v>
      </c>
      <c r="AB183" s="18" t="s">
        <v>377</v>
      </c>
      <c r="AC183" s="18" t="str">
        <f>_xlfn.XLOOKUP(L183,'[1]2026 Mapping v3'!A:A,'[1]2026 Mapping v3'!B:B,"Error",0)</f>
        <v>TMU</v>
      </c>
      <c r="AD183" s="18" t="str">
        <f>_xlfn.XLOOKUP(L183,'[1]2026 Mapping v3'!A:A,'[1]2026 Mapping v3'!C:C,"Error",0)</f>
        <v>Simon Wambua</v>
      </c>
      <c r="AE183" s="18" t="str">
        <f>_xlfn.XLOOKUP(L183,'[1]2026 Mapping v3'!A:A,'[1]2026 Mapping v3'!D:D,"Error",0)</f>
        <v>Joseph Kairu</v>
      </c>
      <c r="AF183" s="18" t="str">
        <f>_xlfn.XLOOKUP(L183,'[1]2026 Mapping v3'!A:A,'[1]2026 Mapping v3'!E:E,"Error",0)</f>
        <v>Debrah Rashid</v>
      </c>
      <c r="AS183" s="24">
        <v>515669</v>
      </c>
      <c r="AT183" s="24"/>
      <c r="AU183" s="24"/>
      <c r="AV183" s="24"/>
      <c r="AX183" s="29"/>
      <c r="BE183" s="24">
        <v>515669</v>
      </c>
    </row>
    <row r="184" spans="1:57">
      <c r="A184" s="18" t="s">
        <v>57</v>
      </c>
      <c r="B184" s="19">
        <v>27196957</v>
      </c>
      <c r="C184" s="20">
        <v>46052</v>
      </c>
      <c r="D184" s="18" t="s">
        <v>58</v>
      </c>
      <c r="E184" s="18" t="s">
        <v>59</v>
      </c>
      <c r="F184" s="18" t="s">
        <v>60</v>
      </c>
      <c r="G184" s="18">
        <v>14868</v>
      </c>
      <c r="H184" s="18">
        <f>_xlfn.XLOOKUP(L184,'[1]2026 Mapping v3'!A:A,'[1]2026 Mapping v3'!F:F,0,0)</f>
        <v>125</v>
      </c>
      <c r="I184" s="18" t="b">
        <v>0</v>
      </c>
      <c r="J184" s="18" t="s">
        <v>616</v>
      </c>
      <c r="K184" s="21" t="s">
        <v>1207</v>
      </c>
      <c r="L184" s="18" t="s">
        <v>162</v>
      </c>
      <c r="M184" s="18" t="s">
        <v>98</v>
      </c>
      <c r="N184" s="18" t="s">
        <v>64</v>
      </c>
      <c r="O184" s="18" t="s">
        <v>617</v>
      </c>
      <c r="Q184" s="23" t="s">
        <v>80</v>
      </c>
      <c r="R184" s="23">
        <v>5</v>
      </c>
      <c r="S184" s="24">
        <v>3150315</v>
      </c>
      <c r="T184" s="28">
        <v>500005</v>
      </c>
      <c r="U184" s="18" t="s">
        <v>67</v>
      </c>
      <c r="V184" s="18" t="s">
        <v>68</v>
      </c>
      <c r="W184" s="18" t="s">
        <v>69</v>
      </c>
      <c r="X184" s="20">
        <v>46052</v>
      </c>
      <c r="Y184" s="18" t="s">
        <v>618</v>
      </c>
      <c r="Z184" s="18" t="str">
        <f>_xlfn.XLOOKUP(Y184,'[1]Data Source'!A:A,'[1]Data Source'!E:E,"N/A",0)</f>
        <v>LG</v>
      </c>
      <c r="AA184" s="18" t="s">
        <v>619</v>
      </c>
      <c r="AB184" s="18" t="s">
        <v>162</v>
      </c>
      <c r="AC184" s="18" t="str">
        <f>_xlfn.XLOOKUP(L184,'[1]2026 Mapping v3'!A:A,'[1]2026 Mapping v3'!B:B,"Error",0)</f>
        <v>Rift Valley</v>
      </c>
      <c r="AD184" s="18" t="str">
        <f>_xlfn.XLOOKUP(L184,'[1]2026 Mapping v3'!A:A,'[1]2026 Mapping v3'!C:C,"Error",0)</f>
        <v>Emily Jepchirchir</v>
      </c>
      <c r="AE184" s="18" t="str">
        <f>_xlfn.XLOOKUP(L184,'[1]2026 Mapping v3'!A:A,'[1]2026 Mapping v3'!D:D,"Error",0)</f>
        <v>Emily Jepchirchir</v>
      </c>
      <c r="AF184" s="18" t="str">
        <f>_xlfn.XLOOKUP(L184,'[1]2026 Mapping v3'!A:A,'[1]2026 Mapping v3'!E:E,"Error",0)</f>
        <v>Emily Jepchirchir</v>
      </c>
      <c r="AS184" s="24">
        <v>500005</v>
      </c>
      <c r="AT184" s="24"/>
      <c r="AU184" s="24"/>
      <c r="AV184" s="24"/>
      <c r="AX184" s="29"/>
      <c r="BE184" s="24">
        <v>500005</v>
      </c>
    </row>
    <row r="185" spans="1:57">
      <c r="A185" s="18" t="s">
        <v>57</v>
      </c>
      <c r="B185" s="19">
        <v>27196957</v>
      </c>
      <c r="C185" s="20">
        <v>46052</v>
      </c>
      <c r="D185" s="18" t="s">
        <v>58</v>
      </c>
      <c r="E185" s="18" t="s">
        <v>59</v>
      </c>
      <c r="F185" s="18" t="s">
        <v>60</v>
      </c>
      <c r="G185" s="18">
        <v>10024</v>
      </c>
      <c r="H185" s="18">
        <f>_xlfn.XLOOKUP(L185,'[1]2026 Mapping v3'!A:A,'[1]2026 Mapping v3'!F:F,0,0)</f>
        <v>125</v>
      </c>
      <c r="I185" s="18" t="b">
        <v>0</v>
      </c>
      <c r="J185" s="18" t="s">
        <v>415</v>
      </c>
      <c r="K185" s="21" t="s">
        <v>1208</v>
      </c>
      <c r="L185" s="18" t="s">
        <v>162</v>
      </c>
      <c r="M185" s="18" t="s">
        <v>98</v>
      </c>
      <c r="N185" s="18" t="s">
        <v>64</v>
      </c>
      <c r="O185" s="18" t="s">
        <v>620</v>
      </c>
      <c r="Q185" s="23" t="s">
        <v>80</v>
      </c>
      <c r="R185" s="23">
        <v>5</v>
      </c>
      <c r="S185" s="24">
        <v>3150315</v>
      </c>
      <c r="T185" s="28">
        <v>500005</v>
      </c>
      <c r="U185" s="18" t="s">
        <v>67</v>
      </c>
      <c r="V185" s="18" t="s">
        <v>68</v>
      </c>
      <c r="W185" s="18" t="s">
        <v>69</v>
      </c>
      <c r="X185" s="20">
        <v>46052</v>
      </c>
      <c r="Y185" s="18" t="s">
        <v>178</v>
      </c>
      <c r="Z185" s="18" t="str">
        <f>_xlfn.XLOOKUP(Y185,'[1]Data Source'!A:A,'[1]Data Source'!E:E,"N/A",0)</f>
        <v>UB</v>
      </c>
      <c r="AA185" s="18" t="s">
        <v>179</v>
      </c>
      <c r="AB185" s="18" t="s">
        <v>162</v>
      </c>
      <c r="AC185" s="18" t="str">
        <f>_xlfn.XLOOKUP(L185,'[1]2026 Mapping v3'!A:A,'[1]2026 Mapping v3'!B:B,"Error",0)</f>
        <v>Rift Valley</v>
      </c>
      <c r="AD185" s="18" t="str">
        <f>_xlfn.XLOOKUP(L185,'[1]2026 Mapping v3'!A:A,'[1]2026 Mapping v3'!C:C,"Error",0)</f>
        <v>Emily Jepchirchir</v>
      </c>
      <c r="AE185" s="18" t="str">
        <f>_xlfn.XLOOKUP(L185,'[1]2026 Mapping v3'!A:A,'[1]2026 Mapping v3'!D:D,"Error",0)</f>
        <v>Emily Jepchirchir</v>
      </c>
      <c r="AF185" s="18" t="str">
        <f>_xlfn.XLOOKUP(L185,'[1]2026 Mapping v3'!A:A,'[1]2026 Mapping v3'!E:E,"Error",0)</f>
        <v>Emily Jepchirchir</v>
      </c>
      <c r="AS185" s="24">
        <v>500005</v>
      </c>
      <c r="AT185" s="24"/>
      <c r="AU185" s="24"/>
      <c r="AV185" s="24"/>
      <c r="AX185" s="29"/>
      <c r="BE185" s="24">
        <v>500005</v>
      </c>
    </row>
    <row r="186" spans="1:57">
      <c r="A186" s="18" t="s">
        <v>57</v>
      </c>
      <c r="B186" s="19">
        <v>27196957</v>
      </c>
      <c r="C186" s="20">
        <v>46052</v>
      </c>
      <c r="D186" s="18" t="s">
        <v>58</v>
      </c>
      <c r="E186" s="18" t="s">
        <v>59</v>
      </c>
      <c r="F186" s="18" t="s">
        <v>60</v>
      </c>
      <c r="G186" s="18">
        <v>16975</v>
      </c>
      <c r="H186" s="18">
        <f>_xlfn.XLOOKUP(L186,'[1]2026 Mapping v3'!A:A,'[1]2026 Mapping v3'!F:F,0,0)</f>
        <v>43</v>
      </c>
      <c r="I186" s="18" t="b">
        <v>0</v>
      </c>
      <c r="J186" s="18" t="s">
        <v>621</v>
      </c>
      <c r="K186" s="21" t="s">
        <v>1209</v>
      </c>
      <c r="L186" s="18" t="s">
        <v>156</v>
      </c>
      <c r="M186" s="18" t="s">
        <v>98</v>
      </c>
      <c r="N186" s="18" t="s">
        <v>64</v>
      </c>
      <c r="O186" s="18" t="s">
        <v>622</v>
      </c>
      <c r="Q186" s="23" t="s">
        <v>66</v>
      </c>
      <c r="R186" s="23">
        <v>5</v>
      </c>
      <c r="S186" s="24">
        <v>1000000</v>
      </c>
      <c r="T186" s="28">
        <v>158901</v>
      </c>
      <c r="U186" s="18" t="s">
        <v>67</v>
      </c>
      <c r="V186" s="18" t="s">
        <v>68</v>
      </c>
      <c r="W186" s="18" t="s">
        <v>69</v>
      </c>
      <c r="X186" s="20">
        <v>46052</v>
      </c>
      <c r="Y186" s="18" t="s">
        <v>623</v>
      </c>
      <c r="Z186" s="18" t="str">
        <f>_xlfn.XLOOKUP(Y186,'[1]Data Source'!A:A,'[1]Data Source'!E:E,"N/A",0)</f>
        <v>N/A</v>
      </c>
      <c r="AA186" s="18" t="s">
        <v>101</v>
      </c>
      <c r="AB186" s="18" t="s">
        <v>156</v>
      </c>
      <c r="AC186" s="18" t="str">
        <f>_xlfn.XLOOKUP(L186,'[1]2026 Mapping v3'!A:A,'[1]2026 Mapping v3'!B:B,"Error",0)</f>
        <v>Nairobi East</v>
      </c>
      <c r="AD186" s="18" t="str">
        <f>_xlfn.XLOOKUP(L186,'[1]2026 Mapping v3'!A:A,'[1]2026 Mapping v3'!C:C,"Error",0)</f>
        <v>Julius Mugane</v>
      </c>
      <c r="AE186" s="18" t="str">
        <f>_xlfn.XLOOKUP(L186,'[1]2026 Mapping v3'!A:A,'[1]2026 Mapping v3'!D:D,"Error",0)</f>
        <v>Julius Mugane</v>
      </c>
      <c r="AF186" s="18" t="str">
        <f>_xlfn.XLOOKUP(L186,'[1]2026 Mapping v3'!A:A,'[1]2026 Mapping v3'!E:E,"Error",0)</f>
        <v>Debrah Rashid</v>
      </c>
      <c r="AS186" s="24">
        <v>158901</v>
      </c>
      <c r="AT186" s="24"/>
      <c r="AU186" s="24"/>
      <c r="AV186" s="24"/>
      <c r="AX186" s="29"/>
      <c r="BE186" s="24">
        <v>158901</v>
      </c>
    </row>
    <row r="187" spans="1:57">
      <c r="A187" s="18" t="s">
        <v>57</v>
      </c>
      <c r="B187" s="19">
        <v>27196957</v>
      </c>
      <c r="C187" s="20">
        <v>46052</v>
      </c>
      <c r="D187" s="18" t="s">
        <v>58</v>
      </c>
      <c r="E187" s="18" t="s">
        <v>59</v>
      </c>
      <c r="F187" s="18" t="s">
        <v>60</v>
      </c>
      <c r="G187" s="18">
        <v>14223</v>
      </c>
      <c r="H187" s="18">
        <f>_xlfn.XLOOKUP(L187,'[1]2026 Mapping v3'!A:A,'[1]2026 Mapping v3'!F:F,0,0)</f>
        <v>87</v>
      </c>
      <c r="I187" s="18" t="b">
        <v>0</v>
      </c>
      <c r="J187" s="18" t="s">
        <v>624</v>
      </c>
      <c r="K187" s="21" t="s">
        <v>1210</v>
      </c>
      <c r="L187" s="18" t="s">
        <v>625</v>
      </c>
      <c r="M187" s="18" t="s">
        <v>98</v>
      </c>
      <c r="N187" s="18" t="s">
        <v>64</v>
      </c>
      <c r="O187" s="18" t="s">
        <v>626</v>
      </c>
      <c r="Q187" s="23" t="s">
        <v>80</v>
      </c>
      <c r="R187" s="23">
        <v>5</v>
      </c>
      <c r="S187" s="24">
        <v>1120701</v>
      </c>
      <c r="T187" s="28">
        <v>200002</v>
      </c>
      <c r="U187" s="18" t="s">
        <v>67</v>
      </c>
      <c r="V187" s="18" t="s">
        <v>68</v>
      </c>
      <c r="W187" s="18" t="s">
        <v>69</v>
      </c>
      <c r="X187" s="20">
        <v>46052</v>
      </c>
      <c r="Y187" s="18" t="s">
        <v>627</v>
      </c>
      <c r="Z187" s="18" t="str">
        <f>_xlfn.XLOOKUP(Y187,'[1]Data Source'!A:A,'[1]Data Source'!E:E,"N/A",0)</f>
        <v>LG</v>
      </c>
      <c r="AA187" s="18" t="s">
        <v>628</v>
      </c>
      <c r="AB187" s="18" t="s">
        <v>625</v>
      </c>
      <c r="AC187" s="18" t="str">
        <f>_xlfn.XLOOKUP(L187,'[1]2026 Mapping v3'!A:A,'[1]2026 Mapping v3'!B:B,"Error",0)</f>
        <v>Nairobi East</v>
      </c>
      <c r="AD187" s="18" t="str">
        <f>_xlfn.XLOOKUP(L187,'[1]2026 Mapping v3'!A:A,'[1]2026 Mapping v3'!C:C,"Error",0)</f>
        <v>Charles Gicho</v>
      </c>
      <c r="AE187" s="18" t="str">
        <f>_xlfn.XLOOKUP(L187,'[1]2026 Mapping v3'!A:A,'[1]2026 Mapping v3'!D:D,"Error",0)</f>
        <v>Julius Mugane</v>
      </c>
      <c r="AF187" s="18" t="str">
        <f>_xlfn.XLOOKUP(L187,'[1]2026 Mapping v3'!A:A,'[1]2026 Mapping v3'!E:E,"Error",0)</f>
        <v>Debrah Rashid</v>
      </c>
      <c r="AS187" s="24">
        <v>200002</v>
      </c>
      <c r="AT187" s="24"/>
      <c r="AU187" s="24"/>
      <c r="AV187" s="24"/>
      <c r="AX187" s="29"/>
      <c r="BE187" s="24">
        <v>200002</v>
      </c>
    </row>
    <row r="188" spans="1:57">
      <c r="A188" s="18" t="s">
        <v>57</v>
      </c>
      <c r="B188" s="19">
        <v>27196957</v>
      </c>
      <c r="C188" s="20">
        <v>46052</v>
      </c>
      <c r="D188" s="18" t="s">
        <v>58</v>
      </c>
      <c r="E188" s="18" t="s">
        <v>59</v>
      </c>
      <c r="F188" s="18" t="s">
        <v>60</v>
      </c>
      <c r="G188" s="18">
        <v>17263</v>
      </c>
      <c r="H188" s="18">
        <f>_xlfn.XLOOKUP(L188,'[1]2026 Mapping v3'!A:A,'[1]2026 Mapping v3'!F:F,0,0)</f>
        <v>105</v>
      </c>
      <c r="I188" s="18" t="b">
        <v>0</v>
      </c>
      <c r="J188" s="18" t="s">
        <v>140</v>
      </c>
      <c r="K188" s="21" t="s">
        <v>1211</v>
      </c>
      <c r="L188" s="18" t="s">
        <v>427</v>
      </c>
      <c r="M188" s="18" t="s">
        <v>98</v>
      </c>
      <c r="N188" s="18" t="s">
        <v>64</v>
      </c>
      <c r="O188" s="18" t="s">
        <v>629</v>
      </c>
      <c r="Q188" s="23" t="s">
        <v>80</v>
      </c>
      <c r="R188" s="23">
        <v>5</v>
      </c>
      <c r="S188" s="24">
        <v>1980000</v>
      </c>
      <c r="T188" s="28">
        <v>314259</v>
      </c>
      <c r="U188" s="18" t="s">
        <v>67</v>
      </c>
      <c r="V188" s="18" t="s">
        <v>68</v>
      </c>
      <c r="W188" s="18" t="s">
        <v>69</v>
      </c>
      <c r="X188" s="20">
        <v>46035</v>
      </c>
      <c r="Y188" s="18" t="s">
        <v>429</v>
      </c>
      <c r="Z188" s="18" t="str">
        <f>_xlfn.XLOOKUP(Y188,'[1]Data Source'!A:A,'[1]Data Source'!E:E,"N/A",0)</f>
        <v>RM</v>
      </c>
      <c r="AA188" s="18" t="s">
        <v>430</v>
      </c>
      <c r="AB188" s="18" t="s">
        <v>427</v>
      </c>
      <c r="AC188" s="18" t="str">
        <f>_xlfn.XLOOKUP(L188,'[1]2026 Mapping v3'!A:A,'[1]2026 Mapping v3'!B:B,"Error",0)</f>
        <v>Premier</v>
      </c>
      <c r="AD188" s="18" t="str">
        <f>_xlfn.XLOOKUP(L188,'[1]2026 Mapping v3'!A:A,'[1]2026 Mapping v3'!C:C,"Error",0)</f>
        <v>Joseph Kairu</v>
      </c>
      <c r="AE188" s="18" t="str">
        <f>_xlfn.XLOOKUP(L188,'[1]2026 Mapping v3'!A:A,'[1]2026 Mapping v3'!D:D,"Error",0)</f>
        <v>Joseph Kairu</v>
      </c>
      <c r="AF188" s="18" t="str">
        <f>_xlfn.XLOOKUP(L188,'[1]2026 Mapping v3'!A:A,'[1]2026 Mapping v3'!E:E,"Error",0)</f>
        <v>Debrah Rashid</v>
      </c>
      <c r="AS188" s="24">
        <v>314259</v>
      </c>
      <c r="AT188" s="24"/>
      <c r="AU188" s="24"/>
      <c r="AV188" s="24"/>
      <c r="AX188" s="29"/>
      <c r="BE188" s="24">
        <v>314259</v>
      </c>
    </row>
    <row r="189" spans="1:57">
      <c r="A189" s="18" t="s">
        <v>57</v>
      </c>
      <c r="B189" s="19">
        <v>27196957</v>
      </c>
      <c r="C189" s="20">
        <v>46052</v>
      </c>
      <c r="D189" s="18" t="s">
        <v>58</v>
      </c>
      <c r="E189" s="18" t="s">
        <v>59</v>
      </c>
      <c r="F189" s="18" t="s">
        <v>60</v>
      </c>
      <c r="G189" s="18">
        <v>18598</v>
      </c>
      <c r="H189" s="18">
        <f>_xlfn.XLOOKUP(L189,'[1]2026 Mapping v3'!A:A,'[1]2026 Mapping v3'!F:F,0,0)</f>
        <v>66</v>
      </c>
      <c r="I189" s="18" t="b">
        <v>0</v>
      </c>
      <c r="J189" s="18" t="s">
        <v>630</v>
      </c>
      <c r="K189" s="21" t="s">
        <v>1212</v>
      </c>
      <c r="L189" s="18" t="s">
        <v>455</v>
      </c>
      <c r="M189" s="18" t="s">
        <v>98</v>
      </c>
      <c r="N189" s="18" t="s">
        <v>64</v>
      </c>
      <c r="O189" s="18" t="s">
        <v>631</v>
      </c>
      <c r="Q189" s="23" t="s">
        <v>80</v>
      </c>
      <c r="R189" s="23">
        <v>10</v>
      </c>
      <c r="S189" s="24">
        <v>1327238</v>
      </c>
      <c r="T189" s="28">
        <v>10023</v>
      </c>
      <c r="U189" s="18" t="s">
        <v>67</v>
      </c>
      <c r="V189" s="18" t="s">
        <v>110</v>
      </c>
      <c r="W189" s="18" t="s">
        <v>69</v>
      </c>
      <c r="X189" s="20">
        <v>46046</v>
      </c>
      <c r="Y189" s="18" t="s">
        <v>457</v>
      </c>
      <c r="Z189" s="18" t="str">
        <f>_xlfn.XLOOKUP(Y189,'[1]Data Source'!A:A,'[1]Data Source'!E:E,"N/A",0)</f>
        <v>UB</v>
      </c>
      <c r="AA189" s="18" t="s">
        <v>458</v>
      </c>
      <c r="AB189" s="18" t="s">
        <v>455</v>
      </c>
      <c r="AC189" s="18" t="str">
        <f>_xlfn.XLOOKUP(L189,'[1]2026 Mapping v3'!A:A,'[1]2026 Mapping v3'!B:B,"Error",0)</f>
        <v>Coast</v>
      </c>
      <c r="AD189" s="18" t="str">
        <f>_xlfn.XLOOKUP(L189,'[1]2026 Mapping v3'!A:A,'[1]2026 Mapping v3'!C:C,"Error",0)</f>
        <v>Brian Khamadi</v>
      </c>
      <c r="AE189" s="18" t="str">
        <f>_xlfn.XLOOKUP(L189,'[1]2026 Mapping v3'!A:A,'[1]2026 Mapping v3'!D:D,"Error",0)</f>
        <v>Brian Khamadi</v>
      </c>
      <c r="AF189" s="18" t="str">
        <f>_xlfn.XLOOKUP(L189,'[1]2026 Mapping v3'!A:A,'[1]2026 Mapping v3'!E:E,"Error",0)</f>
        <v>Eric Njiru</v>
      </c>
      <c r="AS189" s="24">
        <v>10023</v>
      </c>
      <c r="AT189" s="24"/>
      <c r="AU189" s="24"/>
      <c r="AV189" s="24"/>
      <c r="AX189" s="29"/>
      <c r="BE189" s="24">
        <v>10023</v>
      </c>
    </row>
    <row r="190" spans="1:57">
      <c r="A190" s="18" t="s">
        <v>57</v>
      </c>
      <c r="B190" s="19">
        <v>27196957</v>
      </c>
      <c r="C190" s="20">
        <v>46052</v>
      </c>
      <c r="D190" s="18" t="s">
        <v>58</v>
      </c>
      <c r="E190" s="18" t="s">
        <v>59</v>
      </c>
      <c r="F190" s="18" t="s">
        <v>60</v>
      </c>
      <c r="G190" s="18">
        <v>12395</v>
      </c>
      <c r="H190" s="18">
        <f>_xlfn.XLOOKUP(L190,'[1]2026 Mapping v3'!A:A,'[1]2026 Mapping v3'!F:F,0,0)</f>
        <v>86</v>
      </c>
      <c r="I190" s="18" t="b">
        <v>0</v>
      </c>
      <c r="J190" s="18" t="s">
        <v>138</v>
      </c>
      <c r="K190" s="21" t="s">
        <v>1213</v>
      </c>
      <c r="L190" s="18" t="s">
        <v>329</v>
      </c>
      <c r="M190" s="18" t="s">
        <v>98</v>
      </c>
      <c r="N190" s="18" t="s">
        <v>64</v>
      </c>
      <c r="O190" s="18" t="s">
        <v>632</v>
      </c>
      <c r="Q190" s="23" t="s">
        <v>80</v>
      </c>
      <c r="R190" s="23">
        <v>5</v>
      </c>
      <c r="S190" s="24">
        <v>7000000</v>
      </c>
      <c r="T190" s="28">
        <v>1112284</v>
      </c>
      <c r="U190" s="18" t="s">
        <v>67</v>
      </c>
      <c r="V190" s="18" t="s">
        <v>68</v>
      </c>
      <c r="W190" s="18" t="s">
        <v>69</v>
      </c>
      <c r="X190" s="20">
        <v>46052</v>
      </c>
      <c r="Y190" s="18" t="s">
        <v>633</v>
      </c>
      <c r="Z190" s="18" t="str">
        <f>_xlfn.XLOOKUP(Y190,'[1]Data Source'!A:A,'[1]Data Source'!E:E,"N/A",0)</f>
        <v>LG</v>
      </c>
      <c r="AA190" s="18" t="s">
        <v>634</v>
      </c>
      <c r="AB190" s="18" t="s">
        <v>329</v>
      </c>
      <c r="AC190" s="18" t="str">
        <f>_xlfn.XLOOKUP(L190,'[1]2026 Mapping v3'!A:A,'[1]2026 Mapping v3'!B:B,"Error",0)</f>
        <v>Nairobi West</v>
      </c>
      <c r="AD190" s="18" t="str">
        <f>_xlfn.XLOOKUP(L190,'[1]2026 Mapping v3'!A:A,'[1]2026 Mapping v3'!C:C,"Error",0)</f>
        <v>Ancetar Mulili</v>
      </c>
      <c r="AE190" s="18" t="str">
        <f>_xlfn.XLOOKUP(L190,'[1]2026 Mapping v3'!A:A,'[1]2026 Mapping v3'!D:D,"Error",0)</f>
        <v>Ancetar Mulili</v>
      </c>
      <c r="AF190" s="18" t="str">
        <f>_xlfn.XLOOKUP(L190,'[1]2026 Mapping v3'!A:A,'[1]2026 Mapping v3'!E:E,"Error",0)</f>
        <v>Bilha Wachira</v>
      </c>
      <c r="AS190" s="24">
        <v>1112284</v>
      </c>
      <c r="AT190" s="24"/>
      <c r="AU190" s="24"/>
      <c r="AV190" s="24"/>
      <c r="AX190" s="29"/>
      <c r="BE190" s="24">
        <v>1112284</v>
      </c>
    </row>
    <row r="191" spans="1:57">
      <c r="A191" s="18" t="s">
        <v>57</v>
      </c>
      <c r="B191" s="19">
        <v>27196957</v>
      </c>
      <c r="C191" s="20">
        <v>46052</v>
      </c>
      <c r="D191" s="18" t="s">
        <v>58</v>
      </c>
      <c r="E191" s="18" t="s">
        <v>59</v>
      </c>
      <c r="F191" s="18" t="s">
        <v>60</v>
      </c>
      <c r="G191" s="18">
        <v>16425</v>
      </c>
      <c r="H191" s="18">
        <f>_xlfn.XLOOKUP(L191,'[1]2026 Mapping v3'!A:A,'[1]2026 Mapping v3'!F:F,0,0)</f>
        <v>125</v>
      </c>
      <c r="I191" s="18" t="b">
        <v>0</v>
      </c>
      <c r="J191" s="18" t="s">
        <v>635</v>
      </c>
      <c r="K191" s="21" t="s">
        <v>1214</v>
      </c>
      <c r="L191" s="18" t="s">
        <v>162</v>
      </c>
      <c r="M191" s="18" t="s">
        <v>98</v>
      </c>
      <c r="N191" s="18" t="s">
        <v>64</v>
      </c>
      <c r="O191" s="18" t="s">
        <v>636</v>
      </c>
      <c r="Q191" s="23" t="s">
        <v>80</v>
      </c>
      <c r="R191" s="23">
        <v>5</v>
      </c>
      <c r="S191" s="24">
        <v>1890189</v>
      </c>
      <c r="T191" s="28">
        <v>300003</v>
      </c>
      <c r="U191" s="18" t="s">
        <v>67</v>
      </c>
      <c r="V191" s="18" t="s">
        <v>68</v>
      </c>
      <c r="W191" s="18" t="s">
        <v>69</v>
      </c>
      <c r="X191" s="20">
        <v>46052</v>
      </c>
      <c r="Y191" s="18" t="s">
        <v>544</v>
      </c>
      <c r="Z191" s="18" t="str">
        <f>_xlfn.XLOOKUP(Y191,'[1]Data Source'!A:A,'[1]Data Source'!E:E,"N/A",0)</f>
        <v>N/A</v>
      </c>
      <c r="AA191" s="18" t="s">
        <v>101</v>
      </c>
      <c r="AB191" s="18" t="s">
        <v>162</v>
      </c>
      <c r="AC191" s="18" t="str">
        <f>_xlfn.XLOOKUP(L191,'[1]2026 Mapping v3'!A:A,'[1]2026 Mapping v3'!B:B,"Error",0)</f>
        <v>Rift Valley</v>
      </c>
      <c r="AD191" s="18" t="str">
        <f>_xlfn.XLOOKUP(L191,'[1]2026 Mapping v3'!A:A,'[1]2026 Mapping v3'!C:C,"Error",0)</f>
        <v>Emily Jepchirchir</v>
      </c>
      <c r="AE191" s="18" t="str">
        <f>_xlfn.XLOOKUP(L191,'[1]2026 Mapping v3'!A:A,'[1]2026 Mapping v3'!D:D,"Error",0)</f>
        <v>Emily Jepchirchir</v>
      </c>
      <c r="AF191" s="18" t="str">
        <f>_xlfn.XLOOKUP(L191,'[1]2026 Mapping v3'!A:A,'[1]2026 Mapping v3'!E:E,"Error",0)</f>
        <v>Emily Jepchirchir</v>
      </c>
      <c r="AS191" s="24">
        <v>300003</v>
      </c>
      <c r="AT191" s="24"/>
      <c r="AU191" s="24"/>
      <c r="AV191" s="24"/>
      <c r="AX191" s="29"/>
      <c r="BE191" s="24">
        <v>300003</v>
      </c>
    </row>
    <row r="192" spans="1:57">
      <c r="A192" s="18" t="s">
        <v>57</v>
      </c>
      <c r="B192" s="19">
        <v>27196957</v>
      </c>
      <c r="C192" s="20">
        <v>46052</v>
      </c>
      <c r="D192" s="18" t="s">
        <v>58</v>
      </c>
      <c r="E192" s="18" t="s">
        <v>59</v>
      </c>
      <c r="F192" s="18" t="s">
        <v>60</v>
      </c>
      <c r="G192" s="18">
        <v>16418</v>
      </c>
      <c r="H192" s="18">
        <f>_xlfn.XLOOKUP(L192,'[1]2026 Mapping v3'!A:A,'[1]2026 Mapping v3'!F:F,0,0)</f>
        <v>125</v>
      </c>
      <c r="I192" s="18" t="b">
        <v>0</v>
      </c>
      <c r="J192" s="18" t="s">
        <v>88</v>
      </c>
      <c r="K192" s="21" t="s">
        <v>1215</v>
      </c>
      <c r="L192" s="18" t="s">
        <v>162</v>
      </c>
      <c r="M192" s="18" t="s">
        <v>98</v>
      </c>
      <c r="N192" s="18" t="s">
        <v>64</v>
      </c>
      <c r="O192" s="18" t="s">
        <v>637</v>
      </c>
      <c r="Q192" s="23" t="s">
        <v>80</v>
      </c>
      <c r="R192" s="23">
        <v>10</v>
      </c>
      <c r="S192" s="24">
        <v>12083987</v>
      </c>
      <c r="T192" s="28">
        <v>1000010</v>
      </c>
      <c r="U192" s="18" t="s">
        <v>67</v>
      </c>
      <c r="V192" s="18" t="s">
        <v>68</v>
      </c>
      <c r="W192" s="18" t="s">
        <v>69</v>
      </c>
      <c r="X192" s="20">
        <v>46052</v>
      </c>
      <c r="Y192" s="18" t="s">
        <v>638</v>
      </c>
      <c r="Z192" s="18" t="str">
        <f>_xlfn.XLOOKUP(Y192,'[1]Data Source'!A:A,'[1]Data Source'!E:E,"N/A",0)</f>
        <v>N/A</v>
      </c>
      <c r="AA192" s="18" t="s">
        <v>101</v>
      </c>
      <c r="AB192" s="18" t="s">
        <v>162</v>
      </c>
      <c r="AC192" s="18" t="str">
        <f>_xlfn.XLOOKUP(L192,'[1]2026 Mapping v3'!A:A,'[1]2026 Mapping v3'!B:B,"Error",0)</f>
        <v>Rift Valley</v>
      </c>
      <c r="AD192" s="18" t="str">
        <f>_xlfn.XLOOKUP(L192,'[1]2026 Mapping v3'!A:A,'[1]2026 Mapping v3'!C:C,"Error",0)</f>
        <v>Emily Jepchirchir</v>
      </c>
      <c r="AE192" s="18" t="str">
        <f>_xlfn.XLOOKUP(L192,'[1]2026 Mapping v3'!A:A,'[1]2026 Mapping v3'!D:D,"Error",0)</f>
        <v>Emily Jepchirchir</v>
      </c>
      <c r="AF192" s="18" t="str">
        <f>_xlfn.XLOOKUP(L192,'[1]2026 Mapping v3'!A:A,'[1]2026 Mapping v3'!E:E,"Error",0)</f>
        <v>Emily Jepchirchir</v>
      </c>
      <c r="AS192" s="24">
        <v>1000010</v>
      </c>
      <c r="AT192" s="24"/>
      <c r="AU192" s="24"/>
      <c r="AV192" s="24"/>
      <c r="AX192" s="29"/>
      <c r="BE192" s="24">
        <v>1000010</v>
      </c>
    </row>
    <row r="193" spans="1:57">
      <c r="A193" s="18" t="s">
        <v>57</v>
      </c>
      <c r="B193" s="19">
        <v>27196957</v>
      </c>
      <c r="C193" s="20">
        <v>46052</v>
      </c>
      <c r="D193" s="18" t="s">
        <v>58</v>
      </c>
      <c r="E193" s="18" t="s">
        <v>59</v>
      </c>
      <c r="F193" s="18" t="s">
        <v>60</v>
      </c>
      <c r="G193" s="18">
        <v>7691</v>
      </c>
      <c r="H193" s="18">
        <f>_xlfn.XLOOKUP(L193,'[1]2026 Mapping v3'!A:A,'[1]2026 Mapping v3'!F:F,0,0)</f>
        <v>2</v>
      </c>
      <c r="I193" s="18" t="b">
        <v>0</v>
      </c>
      <c r="J193" s="18" t="s">
        <v>639</v>
      </c>
      <c r="K193" s="21" t="s">
        <v>1216</v>
      </c>
      <c r="L193" s="18" t="s">
        <v>377</v>
      </c>
      <c r="M193" s="18" t="s">
        <v>98</v>
      </c>
      <c r="N193" s="18" t="s">
        <v>64</v>
      </c>
      <c r="O193" s="18" t="s">
        <v>640</v>
      </c>
      <c r="Q193" s="23" t="s">
        <v>80</v>
      </c>
      <c r="R193" s="23">
        <v>5</v>
      </c>
      <c r="S193" s="24">
        <v>10000000</v>
      </c>
      <c r="T193" s="28">
        <v>1587146</v>
      </c>
      <c r="U193" s="18" t="s">
        <v>67</v>
      </c>
      <c r="V193" s="18" t="s">
        <v>68</v>
      </c>
      <c r="W193" s="18" t="s">
        <v>69</v>
      </c>
      <c r="X193" s="20">
        <v>46052</v>
      </c>
      <c r="Y193" s="18" t="s">
        <v>391</v>
      </c>
      <c r="Z193" s="18" t="str">
        <f>_xlfn.XLOOKUP(Y193,'[1]Data Source'!A:A,'[1]Data Source'!E:E,"N/A",0)</f>
        <v>LG</v>
      </c>
      <c r="AA193" s="18" t="s">
        <v>392</v>
      </c>
      <c r="AB193" s="18" t="s">
        <v>377</v>
      </c>
      <c r="AC193" s="18" t="str">
        <f>_xlfn.XLOOKUP(L193,'[1]2026 Mapping v3'!A:A,'[1]2026 Mapping v3'!B:B,"Error",0)</f>
        <v>TMU</v>
      </c>
      <c r="AD193" s="18" t="str">
        <f>_xlfn.XLOOKUP(L193,'[1]2026 Mapping v3'!A:A,'[1]2026 Mapping v3'!C:C,"Error",0)</f>
        <v>Simon Wambua</v>
      </c>
      <c r="AE193" s="18" t="str">
        <f>_xlfn.XLOOKUP(L193,'[1]2026 Mapping v3'!A:A,'[1]2026 Mapping v3'!D:D,"Error",0)</f>
        <v>Joseph Kairu</v>
      </c>
      <c r="AF193" s="18" t="str">
        <f>_xlfn.XLOOKUP(L193,'[1]2026 Mapping v3'!A:A,'[1]2026 Mapping v3'!E:E,"Error",0)</f>
        <v>Debrah Rashid</v>
      </c>
      <c r="AS193" s="24">
        <v>1587146</v>
      </c>
      <c r="AT193" s="24"/>
      <c r="AU193" s="24"/>
      <c r="AV193" s="24"/>
      <c r="AX193" s="29"/>
      <c r="BE193" s="24">
        <v>1587146</v>
      </c>
    </row>
    <row r="194" spans="1:57">
      <c r="A194" s="18" t="s">
        <v>57</v>
      </c>
      <c r="B194" s="19">
        <v>27196957</v>
      </c>
      <c r="C194" s="20">
        <v>46052</v>
      </c>
      <c r="D194" s="18" t="s">
        <v>58</v>
      </c>
      <c r="E194" s="18" t="s">
        <v>59</v>
      </c>
      <c r="F194" s="18" t="s">
        <v>60</v>
      </c>
      <c r="G194" s="18">
        <v>17530</v>
      </c>
      <c r="H194" s="18">
        <f>_xlfn.XLOOKUP(L194,'[1]2026 Mapping v3'!A:A,'[1]2026 Mapping v3'!F:F,0,0)</f>
        <v>14</v>
      </c>
      <c r="I194" s="18" t="b">
        <v>0</v>
      </c>
      <c r="J194" s="18" t="s">
        <v>400</v>
      </c>
      <c r="K194" s="21" t="s">
        <v>1217</v>
      </c>
      <c r="L194" s="18" t="s">
        <v>108</v>
      </c>
      <c r="M194" s="18" t="s">
        <v>98</v>
      </c>
      <c r="N194" s="18" t="s">
        <v>64</v>
      </c>
      <c r="O194" s="18" t="s">
        <v>641</v>
      </c>
      <c r="Q194" s="23" t="s">
        <v>80</v>
      </c>
      <c r="R194" s="23">
        <v>5</v>
      </c>
      <c r="S194" s="24">
        <v>3150315</v>
      </c>
      <c r="T194" s="28">
        <v>500005</v>
      </c>
      <c r="U194" s="18" t="s">
        <v>67</v>
      </c>
      <c r="V194" s="18" t="s">
        <v>68</v>
      </c>
      <c r="W194" s="18" t="s">
        <v>69</v>
      </c>
      <c r="X194" s="20">
        <v>46052</v>
      </c>
      <c r="Y194" s="18" t="s">
        <v>111</v>
      </c>
      <c r="Z194" s="18" t="str">
        <f>_xlfn.XLOOKUP(Y194,'[1]Data Source'!A:A,'[1]Data Source'!E:E,"N/A",0)</f>
        <v>LG</v>
      </c>
      <c r="AA194" s="18" t="s">
        <v>112</v>
      </c>
      <c r="AB194" s="18" t="s">
        <v>108</v>
      </c>
      <c r="AC194" s="18" t="str">
        <f>_xlfn.XLOOKUP(L194,'[1]2026 Mapping v3'!A:A,'[1]2026 Mapping v3'!B:B,"Error",0)</f>
        <v>Rift Valley</v>
      </c>
      <c r="AD194" s="18" t="str">
        <f>_xlfn.XLOOKUP(L194,'[1]2026 Mapping v3'!A:A,'[1]2026 Mapping v3'!C:C,"Error",0)</f>
        <v>Emily Jepchirchir</v>
      </c>
      <c r="AE194" s="18" t="str">
        <f>_xlfn.XLOOKUP(L194,'[1]2026 Mapping v3'!A:A,'[1]2026 Mapping v3'!D:D,"Error",0)</f>
        <v>Emily Jepchirchir</v>
      </c>
      <c r="AF194" s="18" t="str">
        <f>_xlfn.XLOOKUP(L194,'[1]2026 Mapping v3'!A:A,'[1]2026 Mapping v3'!E:E,"Error",0)</f>
        <v>Emily Jepchirchir</v>
      </c>
      <c r="AS194" s="24">
        <v>500005</v>
      </c>
      <c r="AT194" s="24"/>
      <c r="AU194" s="24"/>
      <c r="AV194" s="24"/>
      <c r="AX194" s="29"/>
      <c r="BE194" s="24">
        <v>500005</v>
      </c>
    </row>
    <row r="195" spans="1:57">
      <c r="A195" s="18" t="s">
        <v>57</v>
      </c>
      <c r="B195" s="19">
        <v>27196957</v>
      </c>
      <c r="C195" s="20">
        <v>46052</v>
      </c>
      <c r="D195" s="18" t="s">
        <v>58</v>
      </c>
      <c r="E195" s="18" t="s">
        <v>59</v>
      </c>
      <c r="F195" s="18" t="s">
        <v>60</v>
      </c>
      <c r="G195" s="18">
        <v>17506</v>
      </c>
      <c r="H195" s="18">
        <f>_xlfn.XLOOKUP(L195,'[1]2026 Mapping v3'!A:A,'[1]2026 Mapping v3'!F:F,0,0)</f>
        <v>14</v>
      </c>
      <c r="I195" s="18" t="b">
        <v>0</v>
      </c>
      <c r="J195" s="18" t="s">
        <v>220</v>
      </c>
      <c r="K195" s="21" t="s">
        <v>1218</v>
      </c>
      <c r="L195" s="18" t="s">
        <v>108</v>
      </c>
      <c r="M195" s="18" t="s">
        <v>98</v>
      </c>
      <c r="N195" s="18" t="s">
        <v>64</v>
      </c>
      <c r="O195" s="18" t="s">
        <v>642</v>
      </c>
      <c r="Q195" s="23" t="s">
        <v>80</v>
      </c>
      <c r="R195" s="23">
        <v>5</v>
      </c>
      <c r="S195" s="24">
        <v>6930693</v>
      </c>
      <c r="T195" s="24">
        <v>100000</v>
      </c>
      <c r="U195" s="18" t="s">
        <v>67</v>
      </c>
      <c r="V195" s="18" t="s">
        <v>110</v>
      </c>
      <c r="W195" s="18" t="s">
        <v>69</v>
      </c>
      <c r="X195" s="20">
        <v>46052</v>
      </c>
      <c r="Y195" s="18" t="s">
        <v>643</v>
      </c>
      <c r="Z195" s="18" t="str">
        <f>_xlfn.XLOOKUP(Y195,'[1]Data Source'!A:A,'[1]Data Source'!E:E,"N/A",0)</f>
        <v>N/A</v>
      </c>
      <c r="AA195" s="18" t="s">
        <v>101</v>
      </c>
      <c r="AB195" s="18" t="s">
        <v>108</v>
      </c>
      <c r="AC195" s="18" t="str">
        <f>_xlfn.XLOOKUP(L195,'[1]2026 Mapping v3'!A:A,'[1]2026 Mapping v3'!B:B,"Error",0)</f>
        <v>Rift Valley</v>
      </c>
      <c r="AD195" s="18" t="str">
        <f>_xlfn.XLOOKUP(L195,'[1]2026 Mapping v3'!A:A,'[1]2026 Mapping v3'!C:C,"Error",0)</f>
        <v>Emily Jepchirchir</v>
      </c>
      <c r="AE195" s="18" t="str">
        <f>_xlfn.XLOOKUP(L195,'[1]2026 Mapping v3'!A:A,'[1]2026 Mapping v3'!D:D,"Error",0)</f>
        <v>Emily Jepchirchir</v>
      </c>
      <c r="AF195" s="18" t="str">
        <f>_xlfn.XLOOKUP(L195,'[1]2026 Mapping v3'!A:A,'[1]2026 Mapping v3'!E:E,"Error",0)</f>
        <v>Emily Jepchirchir</v>
      </c>
      <c r="AS195" s="24">
        <v>100000</v>
      </c>
      <c r="AT195" s="24"/>
      <c r="AU195" s="24"/>
      <c r="AV195" s="24"/>
      <c r="AX195" s="29"/>
      <c r="BE195" s="24">
        <v>100000</v>
      </c>
    </row>
    <row r="196" spans="1:57">
      <c r="A196" s="18" t="s">
        <v>57</v>
      </c>
      <c r="B196" s="19">
        <v>27196957</v>
      </c>
      <c r="C196" s="20">
        <v>46052</v>
      </c>
      <c r="D196" s="18" t="s">
        <v>58</v>
      </c>
      <c r="E196" s="18" t="s">
        <v>59</v>
      </c>
      <c r="F196" s="18" t="s">
        <v>60</v>
      </c>
      <c r="G196" s="18">
        <v>3853</v>
      </c>
      <c r="H196" s="18">
        <f>_xlfn.XLOOKUP(L196,'[1]2026 Mapping v3'!A:A,'[1]2026 Mapping v3'!F:F,0,0)</f>
        <v>32</v>
      </c>
      <c r="I196" s="18" t="b">
        <v>0</v>
      </c>
      <c r="J196" s="18" t="s">
        <v>559</v>
      </c>
      <c r="K196" s="21" t="s">
        <v>1219</v>
      </c>
      <c r="L196" s="18" t="s">
        <v>572</v>
      </c>
      <c r="M196" s="18" t="s">
        <v>98</v>
      </c>
      <c r="N196" s="18" t="s">
        <v>64</v>
      </c>
      <c r="O196" s="18" t="s">
        <v>644</v>
      </c>
      <c r="Q196" s="23" t="s">
        <v>80</v>
      </c>
      <c r="R196" s="23">
        <v>5</v>
      </c>
      <c r="S196" s="24">
        <v>1600000</v>
      </c>
      <c r="T196" s="28">
        <v>253946</v>
      </c>
      <c r="U196" s="18" t="s">
        <v>67</v>
      </c>
      <c r="V196" s="18" t="s">
        <v>68</v>
      </c>
      <c r="W196" s="18" t="s">
        <v>69</v>
      </c>
      <c r="X196" s="20">
        <v>46050</v>
      </c>
      <c r="Y196" s="18" t="s">
        <v>645</v>
      </c>
      <c r="Z196" s="18" t="str">
        <f>_xlfn.XLOOKUP(Y196,'[1]Data Source'!A:A,'[1]Data Source'!E:E,"N/A",0)</f>
        <v>LG</v>
      </c>
      <c r="AA196" s="18" t="s">
        <v>646</v>
      </c>
      <c r="AB196" s="18" t="s">
        <v>572</v>
      </c>
      <c r="AC196" s="18" t="str">
        <f>_xlfn.XLOOKUP(L196,'[1]2026 Mapping v3'!A:A,'[1]2026 Mapping v3'!B:B,"Error",0)</f>
        <v>Nairobi West</v>
      </c>
      <c r="AD196" s="18" t="str">
        <f>_xlfn.XLOOKUP(L196,'[1]2026 Mapping v3'!A:A,'[1]2026 Mapping v3'!C:C,"Error",0)</f>
        <v>Valentine Musyoka</v>
      </c>
      <c r="AE196" s="18" t="str">
        <f>_xlfn.XLOOKUP(L196,'[1]2026 Mapping v3'!A:A,'[1]2026 Mapping v3'!D:D,"Error",0)</f>
        <v>Ancetar Mulili</v>
      </c>
      <c r="AF196" s="18" t="str">
        <f>_xlfn.XLOOKUP(L196,'[1]2026 Mapping v3'!A:A,'[1]2026 Mapping v3'!E:E,"Error",0)</f>
        <v>Bilha Wachira</v>
      </c>
      <c r="AS196" s="24">
        <v>253946</v>
      </c>
      <c r="AT196" s="24"/>
      <c r="AU196" s="24"/>
      <c r="AV196" s="24"/>
      <c r="AX196" s="29"/>
      <c r="BE196" s="24">
        <v>253946</v>
      </c>
    </row>
    <row r="197" spans="1:57">
      <c r="A197" s="18" t="s">
        <v>57</v>
      </c>
      <c r="B197" s="19">
        <v>27196957</v>
      </c>
      <c r="C197" s="20">
        <v>46052</v>
      </c>
      <c r="D197" s="18" t="s">
        <v>58</v>
      </c>
      <c r="E197" s="18" t="s">
        <v>59</v>
      </c>
      <c r="F197" s="18" t="s">
        <v>60</v>
      </c>
      <c r="G197" s="18">
        <v>9592</v>
      </c>
      <c r="H197" s="18">
        <f>_xlfn.XLOOKUP(L197,'[1]2026 Mapping v3'!A:A,'[1]2026 Mapping v3'!F:F,0,0)</f>
        <v>125</v>
      </c>
      <c r="I197" s="18" t="b">
        <v>0</v>
      </c>
      <c r="J197" s="18" t="s">
        <v>607</v>
      </c>
      <c r="K197" s="21" t="s">
        <v>1220</v>
      </c>
      <c r="L197" s="18" t="s">
        <v>162</v>
      </c>
      <c r="M197" s="18" t="s">
        <v>98</v>
      </c>
      <c r="N197" s="18" t="s">
        <v>64</v>
      </c>
      <c r="O197" s="18" t="s">
        <v>647</v>
      </c>
      <c r="Q197" s="23" t="s">
        <v>80</v>
      </c>
      <c r="R197" s="23">
        <v>5</v>
      </c>
      <c r="S197" s="24">
        <v>1260126</v>
      </c>
      <c r="T197" s="28">
        <v>200002</v>
      </c>
      <c r="U197" s="18" t="s">
        <v>67</v>
      </c>
      <c r="V197" s="18" t="s">
        <v>68</v>
      </c>
      <c r="W197" s="18" t="s">
        <v>69</v>
      </c>
      <c r="X197" s="20">
        <v>46052</v>
      </c>
      <c r="Y197" s="18" t="s">
        <v>178</v>
      </c>
      <c r="Z197" s="18" t="str">
        <f>_xlfn.XLOOKUP(Y197,'[1]Data Source'!A:A,'[1]Data Source'!E:E,"N/A",0)</f>
        <v>UB</v>
      </c>
      <c r="AA197" s="18" t="s">
        <v>179</v>
      </c>
      <c r="AB197" s="18" t="s">
        <v>162</v>
      </c>
      <c r="AC197" s="18" t="str">
        <f>_xlfn.XLOOKUP(L197,'[1]2026 Mapping v3'!A:A,'[1]2026 Mapping v3'!B:B,"Error",0)</f>
        <v>Rift Valley</v>
      </c>
      <c r="AD197" s="18" t="str">
        <f>_xlfn.XLOOKUP(L197,'[1]2026 Mapping v3'!A:A,'[1]2026 Mapping v3'!C:C,"Error",0)</f>
        <v>Emily Jepchirchir</v>
      </c>
      <c r="AE197" s="18" t="str">
        <f>_xlfn.XLOOKUP(L197,'[1]2026 Mapping v3'!A:A,'[1]2026 Mapping v3'!D:D,"Error",0)</f>
        <v>Emily Jepchirchir</v>
      </c>
      <c r="AF197" s="18" t="str">
        <f>_xlfn.XLOOKUP(L197,'[1]2026 Mapping v3'!A:A,'[1]2026 Mapping v3'!E:E,"Error",0)</f>
        <v>Emily Jepchirchir</v>
      </c>
      <c r="AS197" s="24">
        <v>200002</v>
      </c>
      <c r="AT197" s="24"/>
      <c r="AU197" s="24"/>
      <c r="AV197" s="24"/>
      <c r="AX197" s="29"/>
      <c r="BE197" s="24">
        <v>200002</v>
      </c>
    </row>
    <row r="198" spans="1:57">
      <c r="A198" s="18" t="s">
        <v>57</v>
      </c>
      <c r="B198" s="19">
        <v>27196957</v>
      </c>
      <c r="C198" s="20">
        <v>46052</v>
      </c>
      <c r="D198" s="18" t="s">
        <v>58</v>
      </c>
      <c r="E198" s="18" t="s">
        <v>59</v>
      </c>
      <c r="F198" s="18" t="s">
        <v>60</v>
      </c>
      <c r="G198" s="18">
        <v>2180</v>
      </c>
      <c r="H198" s="18">
        <f>_xlfn.XLOOKUP(L198,'[1]2026 Mapping v3'!A:A,'[1]2026 Mapping v3'!F:F,0,0)</f>
        <v>60</v>
      </c>
      <c r="I198" s="18" t="b">
        <v>0</v>
      </c>
      <c r="J198" s="18" t="s">
        <v>261</v>
      </c>
      <c r="K198" s="21" t="s">
        <v>1221</v>
      </c>
      <c r="L198" s="18" t="s">
        <v>62</v>
      </c>
      <c r="M198" s="18" t="s">
        <v>98</v>
      </c>
      <c r="N198" s="18" t="s">
        <v>64</v>
      </c>
      <c r="O198" s="18" t="s">
        <v>648</v>
      </c>
      <c r="Q198" s="23" t="s">
        <v>80</v>
      </c>
      <c r="R198" s="23">
        <v>5</v>
      </c>
      <c r="S198" s="24">
        <v>2079208</v>
      </c>
      <c r="T198" s="28">
        <v>330000</v>
      </c>
      <c r="U198" s="18" t="s">
        <v>67</v>
      </c>
      <c r="V198" s="18" t="s">
        <v>68</v>
      </c>
      <c r="W198" s="18" t="s">
        <v>69</v>
      </c>
      <c r="X198" s="20">
        <v>46052</v>
      </c>
      <c r="Y198" s="18" t="s">
        <v>70</v>
      </c>
      <c r="Z198" s="18" t="str">
        <f>_xlfn.XLOOKUP(Y198,'[1]Data Source'!A:A,'[1]Data Source'!E:E,"N/A",0)</f>
        <v>LG</v>
      </c>
      <c r="AA198" s="18" t="s">
        <v>72</v>
      </c>
      <c r="AB198" s="18" t="s">
        <v>62</v>
      </c>
      <c r="AC198" s="18" t="str">
        <f>_xlfn.XLOOKUP(L198,'[1]2026 Mapping v3'!A:A,'[1]2026 Mapping v3'!B:B,"Error",0)</f>
        <v>Rift Valley</v>
      </c>
      <c r="AD198" s="18" t="str">
        <f>_xlfn.XLOOKUP(L198,'[1]2026 Mapping v3'!A:A,'[1]2026 Mapping v3'!C:C,"Error",0)</f>
        <v>Hillary Muganda</v>
      </c>
      <c r="AE198" s="18" t="str">
        <f>_xlfn.XLOOKUP(L198,'[1]2026 Mapping v3'!A:A,'[1]2026 Mapping v3'!D:D,"Error",0)</f>
        <v>Emily Jepchirchir</v>
      </c>
      <c r="AF198" s="18" t="str">
        <f>_xlfn.XLOOKUP(L198,'[1]2026 Mapping v3'!A:A,'[1]2026 Mapping v3'!E:E,"Error",0)</f>
        <v>Emily Jepchirchir</v>
      </c>
      <c r="AS198" s="24">
        <v>330000</v>
      </c>
      <c r="AT198" s="24"/>
      <c r="AU198" s="24"/>
      <c r="AV198" s="24"/>
      <c r="AX198" s="29"/>
      <c r="BE198" s="24">
        <v>330000</v>
      </c>
    </row>
    <row r="199" spans="1:57">
      <c r="A199" s="18" t="s">
        <v>57</v>
      </c>
      <c r="B199" s="19">
        <v>27196957</v>
      </c>
      <c r="C199" s="20">
        <v>46052</v>
      </c>
      <c r="D199" s="18" t="s">
        <v>58</v>
      </c>
      <c r="E199" s="18" t="s">
        <v>59</v>
      </c>
      <c r="F199" s="18" t="s">
        <v>60</v>
      </c>
      <c r="G199" s="18">
        <v>14973</v>
      </c>
      <c r="H199" s="18">
        <f>_xlfn.XLOOKUP(L199,'[1]2026 Mapping v3'!A:A,'[1]2026 Mapping v3'!F:F,0,0)</f>
        <v>105</v>
      </c>
      <c r="I199" s="18" t="b">
        <v>0</v>
      </c>
      <c r="J199" s="18" t="s">
        <v>649</v>
      </c>
      <c r="K199" s="21" t="s">
        <v>1222</v>
      </c>
      <c r="L199" s="18" t="s">
        <v>427</v>
      </c>
      <c r="M199" s="18" t="s">
        <v>98</v>
      </c>
      <c r="N199" s="18" t="s">
        <v>64</v>
      </c>
      <c r="O199" s="18" t="s">
        <v>650</v>
      </c>
      <c r="Q199" s="23" t="s">
        <v>80</v>
      </c>
      <c r="R199" s="23">
        <v>5</v>
      </c>
      <c r="S199" s="24">
        <v>1980000</v>
      </c>
      <c r="T199" s="28">
        <v>314259</v>
      </c>
      <c r="U199" s="18" t="s">
        <v>67</v>
      </c>
      <c r="V199" s="18" t="s">
        <v>68</v>
      </c>
      <c r="W199" s="18" t="s">
        <v>69</v>
      </c>
      <c r="X199" s="20">
        <v>46052</v>
      </c>
      <c r="Y199" s="18" t="s">
        <v>429</v>
      </c>
      <c r="Z199" s="18" t="str">
        <f>_xlfn.XLOOKUP(Y199,'[1]Data Source'!A:A,'[1]Data Source'!E:E,"N/A",0)</f>
        <v>RM</v>
      </c>
      <c r="AA199" s="18" t="s">
        <v>430</v>
      </c>
      <c r="AB199" s="18" t="s">
        <v>427</v>
      </c>
      <c r="AC199" s="18" t="str">
        <f>_xlfn.XLOOKUP(L199,'[1]2026 Mapping v3'!A:A,'[1]2026 Mapping v3'!B:B,"Error",0)</f>
        <v>Premier</v>
      </c>
      <c r="AD199" s="18" t="str">
        <f>_xlfn.XLOOKUP(L199,'[1]2026 Mapping v3'!A:A,'[1]2026 Mapping v3'!C:C,"Error",0)</f>
        <v>Joseph Kairu</v>
      </c>
      <c r="AE199" s="18" t="str">
        <f>_xlfn.XLOOKUP(L199,'[1]2026 Mapping v3'!A:A,'[1]2026 Mapping v3'!D:D,"Error",0)</f>
        <v>Joseph Kairu</v>
      </c>
      <c r="AF199" s="18" t="str">
        <f>_xlfn.XLOOKUP(L199,'[1]2026 Mapping v3'!A:A,'[1]2026 Mapping v3'!E:E,"Error",0)</f>
        <v>Debrah Rashid</v>
      </c>
      <c r="AS199" s="24">
        <v>314259</v>
      </c>
      <c r="AT199" s="24"/>
      <c r="AU199" s="24"/>
      <c r="AV199" s="24"/>
      <c r="AX199" s="29"/>
      <c r="BE199" s="24">
        <v>314259</v>
      </c>
    </row>
    <row r="200" spans="1:57">
      <c r="A200" s="18" t="s">
        <v>57</v>
      </c>
      <c r="B200" s="19">
        <v>27196957</v>
      </c>
      <c r="C200" s="20">
        <v>46052</v>
      </c>
      <c r="D200" s="18" t="s">
        <v>58</v>
      </c>
      <c r="E200" s="18" t="s">
        <v>59</v>
      </c>
      <c r="F200" s="18" t="s">
        <v>60</v>
      </c>
      <c r="H200" s="18">
        <f>_xlfn.XLOOKUP(L200,'[1]2026 Mapping v3'!A:A,'[1]2026 Mapping v3'!F:F,0,0)</f>
        <v>74</v>
      </c>
      <c r="I200" s="18" t="b">
        <v>0</v>
      </c>
      <c r="J200" s="18" t="s">
        <v>314</v>
      </c>
      <c r="K200" s="21" t="s">
        <v>1223</v>
      </c>
      <c r="L200" s="18" t="s">
        <v>651</v>
      </c>
      <c r="M200" s="18" t="s">
        <v>98</v>
      </c>
      <c r="N200" s="18" t="s">
        <v>64</v>
      </c>
      <c r="O200" s="18" t="s">
        <v>652</v>
      </c>
      <c r="Q200" s="23" t="s">
        <v>80</v>
      </c>
      <c r="R200" s="23">
        <v>5</v>
      </c>
      <c r="S200" s="24">
        <v>20000000</v>
      </c>
      <c r="T200" s="28">
        <v>3174292</v>
      </c>
      <c r="U200" s="18" t="s">
        <v>67</v>
      </c>
      <c r="V200" s="18" t="s">
        <v>68</v>
      </c>
      <c r="W200" s="18" t="s">
        <v>69</v>
      </c>
      <c r="X200" s="20">
        <v>46052</v>
      </c>
      <c r="Y200" s="18" t="s">
        <v>515</v>
      </c>
      <c r="Z200" s="18" t="str">
        <f>_xlfn.XLOOKUP(Y200,'[1]Data Source'!A:A,'[1]Data Source'!E:E,"N/A",0)</f>
        <v>LG</v>
      </c>
      <c r="AA200" s="18" t="s">
        <v>516</v>
      </c>
      <c r="AB200" s="18" t="s">
        <v>651</v>
      </c>
      <c r="AC200" s="18" t="str">
        <f>_xlfn.XLOOKUP(L200,'[1]2026 Mapping v3'!A:A,'[1]2026 Mapping v3'!B:B,"Error",0)</f>
        <v>Premier</v>
      </c>
      <c r="AD200" s="18" t="str">
        <f>_xlfn.XLOOKUP(L200,'[1]2026 Mapping v3'!A:A,'[1]2026 Mapping v3'!C:C,"Error",0)</f>
        <v>Joseph Kairu</v>
      </c>
      <c r="AE200" s="18" t="str">
        <f>_xlfn.XLOOKUP(L200,'[1]2026 Mapping v3'!A:A,'[1]2026 Mapping v3'!D:D,"Error",0)</f>
        <v>Joseph Kairu</v>
      </c>
      <c r="AF200" s="18" t="str">
        <f>_xlfn.XLOOKUP(L200,'[1]2026 Mapping v3'!A:A,'[1]2026 Mapping v3'!E:E,"Error",0)</f>
        <v>Debrah Rashid</v>
      </c>
      <c r="AS200" s="24">
        <v>3174292</v>
      </c>
      <c r="AT200" s="24"/>
      <c r="AU200" s="24"/>
      <c r="AV200" s="24"/>
      <c r="AX200" s="29"/>
      <c r="BE200" s="24">
        <v>3174292</v>
      </c>
    </row>
    <row r="201" spans="1:57">
      <c r="A201" s="18" t="s">
        <v>57</v>
      </c>
      <c r="B201" s="19">
        <v>27196957</v>
      </c>
      <c r="C201" s="20">
        <v>46052</v>
      </c>
      <c r="D201" s="18" t="s">
        <v>58</v>
      </c>
      <c r="E201" s="18" t="s">
        <v>59</v>
      </c>
      <c r="F201" s="18" t="s">
        <v>60</v>
      </c>
      <c r="G201" s="18">
        <v>1289</v>
      </c>
      <c r="H201" s="18">
        <f>_xlfn.XLOOKUP(L201,'[1]2026 Mapping v3'!A:A,'[1]2026 Mapping v3'!F:F,0,0)</f>
        <v>7</v>
      </c>
      <c r="I201" s="18" t="b">
        <v>0</v>
      </c>
      <c r="J201" s="18" t="s">
        <v>639</v>
      </c>
      <c r="K201" s="21" t="s">
        <v>1224</v>
      </c>
      <c r="L201" s="18" t="s">
        <v>653</v>
      </c>
      <c r="M201" s="18" t="s">
        <v>98</v>
      </c>
      <c r="N201" s="18" t="s">
        <v>64</v>
      </c>
      <c r="O201" s="18" t="s">
        <v>654</v>
      </c>
      <c r="Q201" s="23" t="s">
        <v>80</v>
      </c>
      <c r="R201" s="23">
        <v>5</v>
      </c>
      <c r="S201" s="24">
        <v>20000000</v>
      </c>
      <c r="T201" s="28">
        <v>3177960</v>
      </c>
      <c r="U201" s="18" t="s">
        <v>67</v>
      </c>
      <c r="V201" s="18" t="s">
        <v>68</v>
      </c>
      <c r="W201" s="18" t="s">
        <v>69</v>
      </c>
      <c r="X201" s="20">
        <v>46046</v>
      </c>
      <c r="Y201" s="18" t="s">
        <v>655</v>
      </c>
      <c r="Z201" s="18" t="str">
        <f>_xlfn.XLOOKUP(Y201,'[1]Data Source'!A:A,'[1]Data Source'!E:E,"N/A",0)</f>
        <v>LG</v>
      </c>
      <c r="AA201" s="18" t="s">
        <v>656</v>
      </c>
      <c r="AB201" s="18" t="s">
        <v>653</v>
      </c>
      <c r="AC201" s="18" t="str">
        <f>_xlfn.XLOOKUP(L201,'[1]2026 Mapping v3'!A:A,'[1]2026 Mapping v3'!B:B,"Error",0)</f>
        <v>Nairobi Central</v>
      </c>
      <c r="AD201" s="18" t="str">
        <f>_xlfn.XLOOKUP(L201,'[1]2026 Mapping v3'!A:A,'[1]2026 Mapping v3'!C:C,"Error",0)</f>
        <v>George Maina</v>
      </c>
      <c r="AE201" s="18" t="str">
        <f>_xlfn.XLOOKUP(L201,'[1]2026 Mapping v3'!A:A,'[1]2026 Mapping v3'!D:D,"Error",0)</f>
        <v>Zedekiah Mburu</v>
      </c>
      <c r="AF201" s="18" t="str">
        <f>_xlfn.XLOOKUP(L201,'[1]2026 Mapping v3'!A:A,'[1]2026 Mapping v3'!E:E,"Error",0)</f>
        <v>Bilha Wachira</v>
      </c>
      <c r="AS201" s="24">
        <v>3177960</v>
      </c>
      <c r="AT201" s="24"/>
      <c r="AU201" s="24"/>
      <c r="AV201" s="24"/>
      <c r="AX201" s="29"/>
      <c r="BE201" s="24">
        <v>3177960</v>
      </c>
    </row>
    <row r="202" spans="1:57">
      <c r="A202" s="18" t="s">
        <v>57</v>
      </c>
      <c r="B202" s="19">
        <v>27196957</v>
      </c>
      <c r="C202" s="20">
        <v>46052</v>
      </c>
      <c r="D202" s="18" t="s">
        <v>58</v>
      </c>
      <c r="E202" s="18" t="s">
        <v>59</v>
      </c>
      <c r="F202" s="18" t="s">
        <v>60</v>
      </c>
      <c r="G202" s="18">
        <v>12515</v>
      </c>
      <c r="H202" s="18">
        <f>_xlfn.XLOOKUP(L202,'[1]2026 Mapping v3'!A:A,'[1]2026 Mapping v3'!F:F,0,0)</f>
        <v>73</v>
      </c>
      <c r="I202" s="18" t="b">
        <v>0</v>
      </c>
      <c r="J202" s="18" t="s">
        <v>657</v>
      </c>
      <c r="K202" s="21" t="s">
        <v>1225</v>
      </c>
      <c r="L202" s="18" t="s">
        <v>181</v>
      </c>
      <c r="M202" s="18" t="s">
        <v>98</v>
      </c>
      <c r="N202" s="18" t="s">
        <v>64</v>
      </c>
      <c r="O202" s="18" t="s">
        <v>658</v>
      </c>
      <c r="Q202" s="23" t="s">
        <v>80</v>
      </c>
      <c r="R202" s="23">
        <v>5</v>
      </c>
      <c r="S202" s="24">
        <v>10000000</v>
      </c>
      <c r="T202" s="28">
        <v>1588980</v>
      </c>
      <c r="U202" s="18" t="s">
        <v>67</v>
      </c>
      <c r="V202" s="18" t="s">
        <v>68</v>
      </c>
      <c r="W202" s="18" t="s">
        <v>69</v>
      </c>
      <c r="X202" s="20">
        <v>46052</v>
      </c>
      <c r="Y202" s="18" t="s">
        <v>659</v>
      </c>
      <c r="Z202" s="18" t="str">
        <f>_xlfn.XLOOKUP(Y202,'[1]Data Source'!A:A,'[1]Data Source'!E:E,"N/A",0)</f>
        <v>LG</v>
      </c>
      <c r="AA202" s="18" t="s">
        <v>660</v>
      </c>
      <c r="AB202" s="18" t="s">
        <v>181</v>
      </c>
      <c r="AC202" s="18" t="str">
        <f>_xlfn.XLOOKUP(L202,'[1]2026 Mapping v3'!A:A,'[1]2026 Mapping v3'!B:B,"Error",0)</f>
        <v>Nairobi Central</v>
      </c>
      <c r="AD202" s="18" t="str">
        <f>_xlfn.XLOOKUP(L202,'[1]2026 Mapping v3'!A:A,'[1]2026 Mapping v3'!C:C,"Error",0)</f>
        <v>Zedekiah Mburu</v>
      </c>
      <c r="AE202" s="18" t="str">
        <f>_xlfn.XLOOKUP(L202,'[1]2026 Mapping v3'!A:A,'[1]2026 Mapping v3'!D:D,"Error",0)</f>
        <v>Zedekiah Mburu</v>
      </c>
      <c r="AF202" s="18" t="str">
        <f>_xlfn.XLOOKUP(L202,'[1]2026 Mapping v3'!A:A,'[1]2026 Mapping v3'!E:E,"Error",0)</f>
        <v>Bilha Wachira</v>
      </c>
      <c r="AS202" s="24">
        <v>1588980</v>
      </c>
      <c r="AT202" s="24"/>
      <c r="AU202" s="24"/>
      <c r="AV202" s="24"/>
      <c r="AX202" s="29"/>
      <c r="BE202" s="24">
        <v>1588980</v>
      </c>
    </row>
    <row r="203" spans="1:57">
      <c r="A203" s="18" t="s">
        <v>57</v>
      </c>
      <c r="B203" s="19">
        <v>27196957</v>
      </c>
      <c r="C203" s="20">
        <v>46052</v>
      </c>
      <c r="D203" s="18" t="s">
        <v>58</v>
      </c>
      <c r="E203" s="18" t="s">
        <v>59</v>
      </c>
      <c r="F203" s="18" t="s">
        <v>60</v>
      </c>
      <c r="G203" s="18">
        <v>17532</v>
      </c>
      <c r="H203" s="18">
        <f>_xlfn.XLOOKUP(L203,'[1]2026 Mapping v3'!A:A,'[1]2026 Mapping v3'!F:F,0,0)</f>
        <v>14</v>
      </c>
      <c r="I203" s="18" t="b">
        <v>0</v>
      </c>
      <c r="J203" s="18" t="s">
        <v>661</v>
      </c>
      <c r="K203" s="21" t="s">
        <v>1226</v>
      </c>
      <c r="L203" s="18" t="s">
        <v>108</v>
      </c>
      <c r="M203" s="18" t="s">
        <v>98</v>
      </c>
      <c r="N203" s="18" t="s">
        <v>64</v>
      </c>
      <c r="O203" s="18" t="s">
        <v>662</v>
      </c>
      <c r="Q203" s="23" t="s">
        <v>80</v>
      </c>
      <c r="R203" s="23">
        <v>5</v>
      </c>
      <c r="S203" s="24">
        <v>1260126</v>
      </c>
      <c r="T203" s="28">
        <v>20002</v>
      </c>
      <c r="U203" s="18" t="s">
        <v>67</v>
      </c>
      <c r="V203" s="18" t="s">
        <v>68</v>
      </c>
      <c r="W203" s="18" t="s">
        <v>69</v>
      </c>
      <c r="X203" s="20">
        <v>46052</v>
      </c>
      <c r="Y203" s="18" t="s">
        <v>663</v>
      </c>
      <c r="Z203" s="18" t="str">
        <f>_xlfn.XLOOKUP(Y203,'[1]Data Source'!A:A,'[1]Data Source'!E:E,"N/A",0)</f>
        <v>LG</v>
      </c>
      <c r="AA203" s="18" t="s">
        <v>664</v>
      </c>
      <c r="AB203" s="18" t="s">
        <v>108</v>
      </c>
      <c r="AC203" s="18" t="str">
        <f>_xlfn.XLOOKUP(L203,'[1]2026 Mapping v3'!A:A,'[1]2026 Mapping v3'!B:B,"Error",0)</f>
        <v>Rift Valley</v>
      </c>
      <c r="AD203" s="18" t="str">
        <f>_xlfn.XLOOKUP(L203,'[1]2026 Mapping v3'!A:A,'[1]2026 Mapping v3'!C:C,"Error",0)</f>
        <v>Emily Jepchirchir</v>
      </c>
      <c r="AE203" s="18" t="str">
        <f>_xlfn.XLOOKUP(L203,'[1]2026 Mapping v3'!A:A,'[1]2026 Mapping v3'!D:D,"Error",0)</f>
        <v>Emily Jepchirchir</v>
      </c>
      <c r="AF203" s="18" t="str">
        <f>_xlfn.XLOOKUP(L203,'[1]2026 Mapping v3'!A:A,'[1]2026 Mapping v3'!E:E,"Error",0)</f>
        <v>Emily Jepchirchir</v>
      </c>
      <c r="AS203" s="24">
        <v>20002</v>
      </c>
      <c r="AT203" s="24"/>
      <c r="AU203" s="24"/>
      <c r="AV203" s="24"/>
      <c r="AX203" s="29"/>
      <c r="BE203" s="24">
        <v>20002</v>
      </c>
    </row>
    <row r="204" spans="1:57">
      <c r="A204" s="18" t="s">
        <v>57</v>
      </c>
      <c r="B204" s="19">
        <v>27196957</v>
      </c>
      <c r="C204" s="20">
        <v>46052</v>
      </c>
      <c r="D204" s="18" t="s">
        <v>58</v>
      </c>
      <c r="E204" s="18" t="s">
        <v>59</v>
      </c>
      <c r="F204" s="18" t="s">
        <v>60</v>
      </c>
      <c r="G204" s="18">
        <v>11704</v>
      </c>
      <c r="H204" s="18">
        <f>_xlfn.XLOOKUP(L204,'[1]2026 Mapping v3'!A:A,'[1]2026 Mapping v3'!F:F,0,0)</f>
        <v>64</v>
      </c>
      <c r="I204" s="18" t="b">
        <v>0</v>
      </c>
      <c r="J204" s="18" t="s">
        <v>114</v>
      </c>
      <c r="K204" s="21" t="s">
        <v>1227</v>
      </c>
      <c r="L204" s="18" t="s">
        <v>416</v>
      </c>
      <c r="M204" s="18" t="s">
        <v>98</v>
      </c>
      <c r="N204" s="18" t="s">
        <v>64</v>
      </c>
      <c r="O204" s="18" t="s">
        <v>665</v>
      </c>
      <c r="Q204" s="23" t="s">
        <v>80</v>
      </c>
      <c r="R204" s="23">
        <v>5</v>
      </c>
      <c r="S204" s="24">
        <v>5544555</v>
      </c>
      <c r="T204" s="28">
        <v>80093</v>
      </c>
      <c r="U204" s="18" t="s">
        <v>67</v>
      </c>
      <c r="V204" s="18" t="s">
        <v>110</v>
      </c>
      <c r="W204" s="18" t="s">
        <v>69</v>
      </c>
      <c r="X204" s="20">
        <v>46021</v>
      </c>
      <c r="Y204" s="18" t="s">
        <v>418</v>
      </c>
      <c r="Z204" s="18" t="str">
        <f>_xlfn.XLOOKUP(Y204,'[1]Data Source'!A:A,'[1]Data Source'!E:E,"N/A",0)</f>
        <v>N/A</v>
      </c>
      <c r="AA204" s="18" t="s">
        <v>101</v>
      </c>
      <c r="AB204" s="18" t="s">
        <v>416</v>
      </c>
      <c r="AC204" s="18" t="str">
        <f>_xlfn.XLOOKUP(L204,'[1]2026 Mapping v3'!A:A,'[1]2026 Mapping v3'!B:B,"Error",0)</f>
        <v>Coast</v>
      </c>
      <c r="AD204" s="18" t="str">
        <f>_xlfn.XLOOKUP(L204,'[1]2026 Mapping v3'!A:A,'[1]2026 Mapping v3'!C:C,"Error",0)</f>
        <v>Nancy Logose</v>
      </c>
      <c r="AE204" s="18" t="str">
        <f>_xlfn.XLOOKUP(L204,'[1]2026 Mapping v3'!A:A,'[1]2026 Mapping v3'!D:D,"Error",0)</f>
        <v>Brian Khamadi</v>
      </c>
      <c r="AF204" s="18" t="str">
        <f>_xlfn.XLOOKUP(L204,'[1]2026 Mapping v3'!A:A,'[1]2026 Mapping v3'!E:E,"Error",0)</f>
        <v>Eric Njiru</v>
      </c>
      <c r="AS204" s="24">
        <v>80093</v>
      </c>
      <c r="AT204" s="24"/>
      <c r="AU204" s="24"/>
      <c r="AV204" s="24"/>
      <c r="AX204" s="29"/>
      <c r="BE204" s="24">
        <v>80093</v>
      </c>
    </row>
    <row r="205" spans="1:57">
      <c r="A205" s="18" t="s">
        <v>57</v>
      </c>
      <c r="B205" s="19">
        <v>27196957</v>
      </c>
      <c r="C205" s="20">
        <v>46052</v>
      </c>
      <c r="D205" s="18" t="s">
        <v>58</v>
      </c>
      <c r="E205" s="18" t="s">
        <v>59</v>
      </c>
      <c r="F205" s="18" t="s">
        <v>60</v>
      </c>
      <c r="G205" s="18">
        <v>15323</v>
      </c>
      <c r="H205" s="18">
        <f>_xlfn.XLOOKUP(L205,'[1]2026 Mapping v3'!A:A,'[1]2026 Mapping v3'!F:F,0,0)</f>
        <v>73</v>
      </c>
      <c r="I205" s="18" t="b">
        <v>0</v>
      </c>
      <c r="J205" s="18" t="s">
        <v>114</v>
      </c>
      <c r="K205" s="21" t="s">
        <v>1228</v>
      </c>
      <c r="L205" s="18" t="s">
        <v>181</v>
      </c>
      <c r="M205" s="18" t="s">
        <v>98</v>
      </c>
      <c r="N205" s="18" t="s">
        <v>64</v>
      </c>
      <c r="O205" s="18" t="s">
        <v>666</v>
      </c>
      <c r="Q205" s="23" t="s">
        <v>80</v>
      </c>
      <c r="R205" s="23">
        <v>5</v>
      </c>
      <c r="S205" s="24">
        <v>10000000</v>
      </c>
      <c r="T205" s="28">
        <v>1588980</v>
      </c>
      <c r="U205" s="18" t="s">
        <v>67</v>
      </c>
      <c r="V205" s="18" t="s">
        <v>68</v>
      </c>
      <c r="W205" s="18" t="s">
        <v>69</v>
      </c>
      <c r="X205" s="20">
        <v>46052</v>
      </c>
      <c r="Y205" s="18" t="s">
        <v>667</v>
      </c>
      <c r="Z205" s="18" t="str">
        <f>_xlfn.XLOOKUP(Y205,'[1]Data Source'!A:A,'[1]Data Source'!E:E,"N/A",0)</f>
        <v>LG</v>
      </c>
      <c r="AA205" s="18" t="s">
        <v>668</v>
      </c>
      <c r="AB205" s="18" t="s">
        <v>181</v>
      </c>
      <c r="AC205" s="18" t="str">
        <f>_xlfn.XLOOKUP(L205,'[1]2026 Mapping v3'!A:A,'[1]2026 Mapping v3'!B:B,"Error",0)</f>
        <v>Nairobi Central</v>
      </c>
      <c r="AD205" s="18" t="str">
        <f>_xlfn.XLOOKUP(L205,'[1]2026 Mapping v3'!A:A,'[1]2026 Mapping v3'!C:C,"Error",0)</f>
        <v>Zedekiah Mburu</v>
      </c>
      <c r="AE205" s="18" t="str">
        <f>_xlfn.XLOOKUP(L205,'[1]2026 Mapping v3'!A:A,'[1]2026 Mapping v3'!D:D,"Error",0)</f>
        <v>Zedekiah Mburu</v>
      </c>
      <c r="AF205" s="18" t="str">
        <f>_xlfn.XLOOKUP(L205,'[1]2026 Mapping v3'!A:A,'[1]2026 Mapping v3'!E:E,"Error",0)</f>
        <v>Bilha Wachira</v>
      </c>
      <c r="AS205" s="24">
        <v>1588980</v>
      </c>
      <c r="AT205" s="24"/>
      <c r="AU205" s="24"/>
      <c r="AV205" s="24"/>
      <c r="AX205" s="29"/>
      <c r="BE205" s="24">
        <v>1588980</v>
      </c>
    </row>
    <row r="206" spans="1:57">
      <c r="A206" s="18" t="s">
        <v>57</v>
      </c>
      <c r="B206" s="19">
        <v>27196957</v>
      </c>
      <c r="C206" s="20">
        <v>46052</v>
      </c>
      <c r="D206" s="18" t="s">
        <v>58</v>
      </c>
      <c r="E206" s="18" t="s">
        <v>59</v>
      </c>
      <c r="F206" s="18" t="s">
        <v>60</v>
      </c>
      <c r="G206" s="18">
        <v>16577</v>
      </c>
      <c r="H206" s="18">
        <f>_xlfn.XLOOKUP(L206,'[1]2026 Mapping v3'!A:A,'[1]2026 Mapping v3'!F:F,0,0)</f>
        <v>2</v>
      </c>
      <c r="I206" s="18" t="b">
        <v>0</v>
      </c>
      <c r="J206" s="18" t="s">
        <v>481</v>
      </c>
      <c r="K206" s="21" t="s">
        <v>1229</v>
      </c>
      <c r="L206" s="18" t="s">
        <v>377</v>
      </c>
      <c r="M206" s="18" t="s">
        <v>98</v>
      </c>
      <c r="N206" s="18" t="s">
        <v>64</v>
      </c>
      <c r="O206" s="18" t="s">
        <v>669</v>
      </c>
      <c r="Q206" s="23" t="s">
        <v>80</v>
      </c>
      <c r="R206" s="23">
        <v>5</v>
      </c>
      <c r="S206" s="24">
        <v>10000000</v>
      </c>
      <c r="T206" s="28">
        <v>1587146</v>
      </c>
      <c r="U206" s="18" t="s">
        <v>67</v>
      </c>
      <c r="V206" s="18" t="s">
        <v>68</v>
      </c>
      <c r="W206" s="18" t="s">
        <v>69</v>
      </c>
      <c r="X206" s="20">
        <v>46052</v>
      </c>
      <c r="Y206" s="18" t="s">
        <v>379</v>
      </c>
      <c r="Z206" s="18" t="str">
        <f>_xlfn.XLOOKUP(Y206,'[1]Data Source'!A:A,'[1]Data Source'!E:E,"N/A",0)</f>
        <v>LG</v>
      </c>
      <c r="AA206" s="18" t="s">
        <v>380</v>
      </c>
      <c r="AB206" s="18" t="s">
        <v>377</v>
      </c>
      <c r="AC206" s="18" t="str">
        <f>_xlfn.XLOOKUP(L206,'[1]2026 Mapping v3'!A:A,'[1]2026 Mapping v3'!B:B,"Error",0)</f>
        <v>TMU</v>
      </c>
      <c r="AD206" s="18" t="str">
        <f>_xlfn.XLOOKUP(L206,'[1]2026 Mapping v3'!A:A,'[1]2026 Mapping v3'!C:C,"Error",0)</f>
        <v>Simon Wambua</v>
      </c>
      <c r="AE206" s="18" t="str">
        <f>_xlfn.XLOOKUP(L206,'[1]2026 Mapping v3'!A:A,'[1]2026 Mapping v3'!D:D,"Error",0)</f>
        <v>Joseph Kairu</v>
      </c>
      <c r="AF206" s="18" t="str">
        <f>_xlfn.XLOOKUP(L206,'[1]2026 Mapping v3'!A:A,'[1]2026 Mapping v3'!E:E,"Error",0)</f>
        <v>Debrah Rashid</v>
      </c>
      <c r="AS206" s="24">
        <v>1587146</v>
      </c>
      <c r="AT206" s="24"/>
      <c r="AU206" s="24"/>
      <c r="AV206" s="24"/>
      <c r="AX206" s="29"/>
      <c r="BE206" s="24">
        <v>1587146</v>
      </c>
    </row>
    <row r="207" spans="1:57">
      <c r="A207" s="18" t="s">
        <v>57</v>
      </c>
      <c r="B207" s="19">
        <v>27196957</v>
      </c>
      <c r="C207" s="20">
        <v>46052</v>
      </c>
      <c r="D207" s="18" t="s">
        <v>58</v>
      </c>
      <c r="E207" s="18" t="s">
        <v>59</v>
      </c>
      <c r="F207" s="18" t="s">
        <v>60</v>
      </c>
      <c r="G207" s="18">
        <v>19244</v>
      </c>
      <c r="H207" s="18">
        <f>_xlfn.XLOOKUP(L207,'[1]2026 Mapping v3'!A:A,'[1]2026 Mapping v3'!F:F,0,0)</f>
        <v>105</v>
      </c>
      <c r="I207" s="18" t="b">
        <v>0</v>
      </c>
      <c r="J207" s="18" t="s">
        <v>597</v>
      </c>
      <c r="K207" s="21" t="s">
        <v>1230</v>
      </c>
      <c r="L207" s="18" t="s">
        <v>427</v>
      </c>
      <c r="M207" s="18" t="s">
        <v>98</v>
      </c>
      <c r="N207" s="18" t="s">
        <v>64</v>
      </c>
      <c r="O207" s="18" t="s">
        <v>670</v>
      </c>
      <c r="Q207" s="23" t="s">
        <v>80</v>
      </c>
      <c r="R207" s="23">
        <v>5</v>
      </c>
      <c r="S207" s="24">
        <v>10000000</v>
      </c>
      <c r="T207" s="28">
        <v>1588980</v>
      </c>
      <c r="U207" s="18" t="s">
        <v>67</v>
      </c>
      <c r="V207" s="18" t="s">
        <v>68</v>
      </c>
      <c r="W207" s="18" t="s">
        <v>69</v>
      </c>
      <c r="X207" s="20">
        <v>46052</v>
      </c>
      <c r="Y207" s="18" t="s">
        <v>671</v>
      </c>
      <c r="Z207" s="18" t="str">
        <f>_xlfn.XLOOKUP(Y207,'[1]Data Source'!A:A,'[1]Data Source'!E:E,"N/A",0)</f>
        <v>N/A</v>
      </c>
      <c r="AA207" s="18" t="s">
        <v>101</v>
      </c>
      <c r="AB207" s="18" t="s">
        <v>427</v>
      </c>
      <c r="AC207" s="18" t="str">
        <f>_xlfn.XLOOKUP(L207,'[1]2026 Mapping v3'!A:A,'[1]2026 Mapping v3'!B:B,"Error",0)</f>
        <v>Premier</v>
      </c>
      <c r="AD207" s="18" t="str">
        <f>_xlfn.XLOOKUP(L207,'[1]2026 Mapping v3'!A:A,'[1]2026 Mapping v3'!C:C,"Error",0)</f>
        <v>Joseph Kairu</v>
      </c>
      <c r="AE207" s="18" t="str">
        <f>_xlfn.XLOOKUP(L207,'[1]2026 Mapping v3'!A:A,'[1]2026 Mapping v3'!D:D,"Error",0)</f>
        <v>Joseph Kairu</v>
      </c>
      <c r="AF207" s="18" t="str">
        <f>_xlfn.XLOOKUP(L207,'[1]2026 Mapping v3'!A:A,'[1]2026 Mapping v3'!E:E,"Error",0)</f>
        <v>Debrah Rashid</v>
      </c>
      <c r="AS207" s="24">
        <v>1588980</v>
      </c>
      <c r="AT207" s="24"/>
      <c r="AU207" s="24"/>
      <c r="AV207" s="24"/>
      <c r="AX207" s="29"/>
      <c r="BE207" s="24">
        <v>1588980</v>
      </c>
    </row>
    <row r="208" spans="1:57">
      <c r="A208" s="18" t="s">
        <v>57</v>
      </c>
      <c r="B208" s="19">
        <v>27196957</v>
      </c>
      <c r="C208" s="20">
        <v>46052</v>
      </c>
      <c r="D208" s="18" t="s">
        <v>58</v>
      </c>
      <c r="E208" s="18" t="s">
        <v>59</v>
      </c>
      <c r="F208" s="18" t="s">
        <v>60</v>
      </c>
      <c r="G208" s="18">
        <v>15775</v>
      </c>
      <c r="H208" s="18">
        <f>_xlfn.XLOOKUP(L208,'[1]2026 Mapping v3'!A:A,'[1]2026 Mapping v3'!F:F,0,0)</f>
        <v>17</v>
      </c>
      <c r="I208" s="18" t="b">
        <v>0</v>
      </c>
      <c r="J208" s="18" t="s">
        <v>491</v>
      </c>
      <c r="K208" s="21" t="s">
        <v>1231</v>
      </c>
      <c r="L208" s="18" t="s">
        <v>325</v>
      </c>
      <c r="M208" s="18" t="s">
        <v>98</v>
      </c>
      <c r="N208" s="18" t="s">
        <v>64</v>
      </c>
      <c r="O208" s="18" t="s">
        <v>672</v>
      </c>
      <c r="Q208" s="23" t="s">
        <v>66</v>
      </c>
      <c r="R208" s="23">
        <v>5</v>
      </c>
      <c r="S208" s="24">
        <v>385000</v>
      </c>
      <c r="T208" s="28">
        <v>5007</v>
      </c>
      <c r="U208" s="18" t="s">
        <v>67</v>
      </c>
      <c r="V208" s="18" t="s">
        <v>110</v>
      </c>
      <c r="W208" s="18" t="s">
        <v>69</v>
      </c>
      <c r="X208" s="20">
        <v>46052</v>
      </c>
      <c r="Y208" s="18" t="s">
        <v>673</v>
      </c>
      <c r="Z208" s="18" t="str">
        <f>_xlfn.XLOOKUP(Y208,'[1]Data Source'!A:A,'[1]Data Source'!E:E,"N/A",0)</f>
        <v>LG</v>
      </c>
      <c r="AA208" s="18" t="s">
        <v>674</v>
      </c>
      <c r="AB208" s="18" t="s">
        <v>325</v>
      </c>
      <c r="AC208" s="18" t="str">
        <f>_xlfn.XLOOKUP(L208,'[1]2026 Mapping v3'!A:A,'[1]2026 Mapping v3'!B:B,"Error",0)</f>
        <v>Nairobi Central</v>
      </c>
      <c r="AD208" s="18" t="str">
        <f>_xlfn.XLOOKUP(L208,'[1]2026 Mapping v3'!A:A,'[1]2026 Mapping v3'!C:C,"Error",0)</f>
        <v>Zedekiah Mburu</v>
      </c>
      <c r="AE208" s="18" t="str">
        <f>_xlfn.XLOOKUP(L208,'[1]2026 Mapping v3'!A:A,'[1]2026 Mapping v3'!D:D,"Error",0)</f>
        <v>Zedekiah Mburu</v>
      </c>
      <c r="AF208" s="18" t="str">
        <f>_xlfn.XLOOKUP(L208,'[1]2026 Mapping v3'!A:A,'[1]2026 Mapping v3'!E:E,"Error",0)</f>
        <v>Bilha Wachira</v>
      </c>
      <c r="AS208" s="24">
        <v>5007</v>
      </c>
      <c r="AT208" s="24"/>
      <c r="AU208" s="24"/>
      <c r="AV208" s="24"/>
      <c r="AX208" s="29"/>
      <c r="BE208" s="24">
        <v>5007</v>
      </c>
    </row>
    <row r="209" spans="1:57">
      <c r="A209" s="18" t="s">
        <v>57</v>
      </c>
      <c r="B209" s="19">
        <v>27196957</v>
      </c>
      <c r="C209" s="20">
        <v>46052</v>
      </c>
      <c r="D209" s="18" t="s">
        <v>58</v>
      </c>
      <c r="E209" s="18" t="s">
        <v>59</v>
      </c>
      <c r="F209" s="18" t="s">
        <v>60</v>
      </c>
      <c r="G209" s="18">
        <v>2176</v>
      </c>
      <c r="H209" s="18">
        <f>_xlfn.XLOOKUP(L209,'[1]2026 Mapping v3'!A:A,'[1]2026 Mapping v3'!F:F,0,0)</f>
        <v>60</v>
      </c>
      <c r="I209" s="18" t="b">
        <v>0</v>
      </c>
      <c r="J209" s="18" t="s">
        <v>675</v>
      </c>
      <c r="K209" s="21" t="s">
        <v>1232</v>
      </c>
      <c r="L209" s="18" t="s">
        <v>62</v>
      </c>
      <c r="M209" s="18" t="s">
        <v>98</v>
      </c>
      <c r="N209" s="18" t="s">
        <v>64</v>
      </c>
      <c r="O209" s="18" t="s">
        <v>676</v>
      </c>
      <c r="Q209" s="23" t="s">
        <v>80</v>
      </c>
      <c r="R209" s="23">
        <v>5</v>
      </c>
      <c r="S209" s="24">
        <v>1000000</v>
      </c>
      <c r="T209" s="28">
        <v>158719</v>
      </c>
      <c r="U209" s="18" t="s">
        <v>67</v>
      </c>
      <c r="V209" s="18" t="s">
        <v>68</v>
      </c>
      <c r="W209" s="18" t="s">
        <v>69</v>
      </c>
      <c r="X209" s="20">
        <v>46052</v>
      </c>
      <c r="Y209" s="18" t="s">
        <v>70</v>
      </c>
      <c r="Z209" s="18" t="str">
        <f>_xlfn.XLOOKUP(Y209,'[1]Data Source'!A:A,'[1]Data Source'!E:E,"N/A",0)</f>
        <v>LG</v>
      </c>
      <c r="AA209" s="18" t="s">
        <v>72</v>
      </c>
      <c r="AB209" s="18" t="s">
        <v>62</v>
      </c>
      <c r="AC209" s="18" t="str">
        <f>_xlfn.XLOOKUP(L209,'[1]2026 Mapping v3'!A:A,'[1]2026 Mapping v3'!B:B,"Error",0)</f>
        <v>Rift Valley</v>
      </c>
      <c r="AD209" s="18" t="str">
        <f>_xlfn.XLOOKUP(L209,'[1]2026 Mapping v3'!A:A,'[1]2026 Mapping v3'!C:C,"Error",0)</f>
        <v>Hillary Muganda</v>
      </c>
      <c r="AE209" s="18" t="str">
        <f>_xlfn.XLOOKUP(L209,'[1]2026 Mapping v3'!A:A,'[1]2026 Mapping v3'!D:D,"Error",0)</f>
        <v>Emily Jepchirchir</v>
      </c>
      <c r="AF209" s="18" t="str">
        <f>_xlfn.XLOOKUP(L209,'[1]2026 Mapping v3'!A:A,'[1]2026 Mapping v3'!E:E,"Error",0)</f>
        <v>Emily Jepchirchir</v>
      </c>
      <c r="AS209" s="24">
        <v>158719</v>
      </c>
      <c r="AT209" s="24"/>
      <c r="AU209" s="24"/>
      <c r="AV209" s="24"/>
      <c r="AX209" s="29"/>
      <c r="BE209" s="24">
        <v>158719</v>
      </c>
    </row>
    <row r="210" spans="1:57">
      <c r="A210" s="18" t="s">
        <v>57</v>
      </c>
      <c r="B210" s="19">
        <v>27196957</v>
      </c>
      <c r="C210" s="20">
        <v>46052</v>
      </c>
      <c r="D210" s="18" t="s">
        <v>58</v>
      </c>
      <c r="E210" s="18" t="s">
        <v>59</v>
      </c>
      <c r="F210" s="18" t="s">
        <v>60</v>
      </c>
      <c r="G210" s="18">
        <v>16576</v>
      </c>
      <c r="H210" s="18">
        <f>_xlfn.XLOOKUP(L210,'[1]2026 Mapping v3'!A:A,'[1]2026 Mapping v3'!F:F,0,0)</f>
        <v>2</v>
      </c>
      <c r="I210" s="18" t="b">
        <v>0</v>
      </c>
      <c r="J210" s="18" t="s">
        <v>481</v>
      </c>
      <c r="K210" s="21" t="s">
        <v>1233</v>
      </c>
      <c r="L210" s="18" t="s">
        <v>377</v>
      </c>
      <c r="M210" s="18" t="s">
        <v>98</v>
      </c>
      <c r="N210" s="18" t="s">
        <v>64</v>
      </c>
      <c r="O210" s="18" t="s">
        <v>678</v>
      </c>
      <c r="Q210" s="23" t="s">
        <v>66</v>
      </c>
      <c r="R210" s="23">
        <v>10</v>
      </c>
      <c r="S210" s="24">
        <v>5000000</v>
      </c>
      <c r="T210" s="28">
        <v>373311</v>
      </c>
      <c r="U210" s="18" t="s">
        <v>67</v>
      </c>
      <c r="V210" s="18" t="s">
        <v>68</v>
      </c>
      <c r="W210" s="18" t="s">
        <v>69</v>
      </c>
      <c r="X210" s="20">
        <v>46052</v>
      </c>
      <c r="Y210" s="18" t="s">
        <v>679</v>
      </c>
      <c r="Z210" s="18" t="str">
        <f>_xlfn.XLOOKUP(Y210,'[1]Data Source'!A:A,'[1]Data Source'!E:E,"N/A",0)</f>
        <v>LG</v>
      </c>
      <c r="AA210" s="18" t="s">
        <v>677</v>
      </c>
      <c r="AB210" s="18" t="s">
        <v>377</v>
      </c>
      <c r="AC210" s="18" t="str">
        <f>_xlfn.XLOOKUP(L210,'[1]2026 Mapping v3'!A:A,'[1]2026 Mapping v3'!B:B,"Error",0)</f>
        <v>TMU</v>
      </c>
      <c r="AD210" s="18" t="str">
        <f>_xlfn.XLOOKUP(L210,'[1]2026 Mapping v3'!A:A,'[1]2026 Mapping v3'!C:C,"Error",0)</f>
        <v>Simon Wambua</v>
      </c>
      <c r="AE210" s="18" t="str">
        <f>_xlfn.XLOOKUP(L210,'[1]2026 Mapping v3'!A:A,'[1]2026 Mapping v3'!D:D,"Error",0)</f>
        <v>Joseph Kairu</v>
      </c>
      <c r="AF210" s="18" t="str">
        <f>_xlfn.XLOOKUP(L210,'[1]2026 Mapping v3'!A:A,'[1]2026 Mapping v3'!E:E,"Error",0)</f>
        <v>Debrah Rashid</v>
      </c>
      <c r="AS210" s="24">
        <v>373311</v>
      </c>
      <c r="AT210" s="24"/>
      <c r="AU210" s="24"/>
      <c r="AV210" s="24"/>
      <c r="AX210" s="29"/>
      <c r="BE210" s="24">
        <v>373311</v>
      </c>
    </row>
    <row r="211" spans="1:57">
      <c r="A211" s="18" t="s">
        <v>57</v>
      </c>
      <c r="B211" s="19">
        <v>27196957</v>
      </c>
      <c r="C211" s="20">
        <v>46052</v>
      </c>
      <c r="D211" s="18" t="s">
        <v>58</v>
      </c>
      <c r="E211" s="18" t="s">
        <v>59</v>
      </c>
      <c r="F211" s="18" t="s">
        <v>60</v>
      </c>
      <c r="G211" s="18">
        <v>18218</v>
      </c>
      <c r="H211" s="18">
        <f>_xlfn.XLOOKUP(L211,'[1]2026 Mapping v3'!A:A,'[1]2026 Mapping v3'!F:F,0,0)</f>
        <v>32</v>
      </c>
      <c r="I211" s="18" t="b">
        <v>0</v>
      </c>
      <c r="J211" s="18" t="s">
        <v>536</v>
      </c>
      <c r="K211" s="21" t="s">
        <v>1234</v>
      </c>
      <c r="L211" s="18" t="s">
        <v>572</v>
      </c>
      <c r="M211" s="18" t="s">
        <v>98</v>
      </c>
      <c r="N211" s="18" t="s">
        <v>64</v>
      </c>
      <c r="O211" s="18" t="s">
        <v>680</v>
      </c>
      <c r="Q211" s="23" t="s">
        <v>66</v>
      </c>
      <c r="R211" s="23">
        <v>6</v>
      </c>
      <c r="S211" s="24">
        <v>4000000</v>
      </c>
      <c r="T211" s="28">
        <v>42298</v>
      </c>
      <c r="U211" s="18" t="s">
        <v>67</v>
      </c>
      <c r="V211" s="18" t="s">
        <v>110</v>
      </c>
      <c r="W211" s="18" t="s">
        <v>69</v>
      </c>
      <c r="X211" s="20">
        <v>46046</v>
      </c>
      <c r="Y211" s="18" t="s">
        <v>613</v>
      </c>
      <c r="Z211" s="18" t="str">
        <f>_xlfn.XLOOKUP(Y211,'[1]Data Source'!A:A,'[1]Data Source'!E:E,"N/A",0)</f>
        <v>LG</v>
      </c>
      <c r="AA211" s="18" t="s">
        <v>552</v>
      </c>
      <c r="AB211" s="18" t="s">
        <v>572</v>
      </c>
      <c r="AC211" s="18" t="str">
        <f>_xlfn.XLOOKUP(L211,'[1]2026 Mapping v3'!A:A,'[1]2026 Mapping v3'!B:B,"Error",0)</f>
        <v>Nairobi West</v>
      </c>
      <c r="AD211" s="18" t="str">
        <f>_xlfn.XLOOKUP(L211,'[1]2026 Mapping v3'!A:A,'[1]2026 Mapping v3'!C:C,"Error",0)</f>
        <v>Valentine Musyoka</v>
      </c>
      <c r="AE211" s="18" t="str">
        <f>_xlfn.XLOOKUP(L211,'[1]2026 Mapping v3'!A:A,'[1]2026 Mapping v3'!D:D,"Error",0)</f>
        <v>Ancetar Mulili</v>
      </c>
      <c r="AF211" s="18" t="str">
        <f>_xlfn.XLOOKUP(L211,'[1]2026 Mapping v3'!A:A,'[1]2026 Mapping v3'!E:E,"Error",0)</f>
        <v>Bilha Wachira</v>
      </c>
      <c r="AS211" s="24">
        <v>42298</v>
      </c>
      <c r="AT211" s="24"/>
      <c r="AU211" s="24"/>
      <c r="AV211" s="24"/>
      <c r="AX211" s="29"/>
      <c r="BE211" s="24">
        <v>42298</v>
      </c>
    </row>
    <row r="212" spans="1:57">
      <c r="A212" s="18" t="s">
        <v>57</v>
      </c>
      <c r="B212" s="19">
        <v>27196957</v>
      </c>
      <c r="C212" s="20">
        <v>46052</v>
      </c>
      <c r="D212" s="18" t="s">
        <v>58</v>
      </c>
      <c r="E212" s="18" t="s">
        <v>59</v>
      </c>
      <c r="F212" s="18" t="s">
        <v>60</v>
      </c>
      <c r="G212" s="18">
        <v>8215</v>
      </c>
      <c r="H212" s="18">
        <f>_xlfn.XLOOKUP(L212,'[1]2026 Mapping v3'!A:A,'[1]2026 Mapping v3'!F:F,0,0)</f>
        <v>38</v>
      </c>
      <c r="I212" s="18" t="b">
        <v>0</v>
      </c>
      <c r="J212" s="18" t="s">
        <v>681</v>
      </c>
      <c r="K212" s="21" t="s">
        <v>1235</v>
      </c>
      <c r="L212" s="18" t="s">
        <v>78</v>
      </c>
      <c r="M212" s="18" t="s">
        <v>98</v>
      </c>
      <c r="N212" s="18" t="s">
        <v>64</v>
      </c>
      <c r="O212" s="18" t="s">
        <v>682</v>
      </c>
      <c r="Q212" s="23" t="s">
        <v>80</v>
      </c>
      <c r="R212" s="23">
        <v>5</v>
      </c>
      <c r="S212" s="24">
        <v>1260126</v>
      </c>
      <c r="T212" s="28">
        <v>200002</v>
      </c>
      <c r="U212" s="18" t="s">
        <v>67</v>
      </c>
      <c r="V212" s="18" t="s">
        <v>68</v>
      </c>
      <c r="W212" s="18" t="s">
        <v>69</v>
      </c>
      <c r="X212" s="20">
        <v>46052</v>
      </c>
      <c r="Y212" s="18" t="s">
        <v>81</v>
      </c>
      <c r="Z212" s="18" t="str">
        <f>_xlfn.XLOOKUP(Y212,'[1]Data Source'!A:A,'[1]Data Source'!E:E,"N/A",0)</f>
        <v>LG</v>
      </c>
      <c r="AA212" s="18" t="s">
        <v>82</v>
      </c>
      <c r="AB212" s="18" t="s">
        <v>83</v>
      </c>
      <c r="AC212" s="18" t="str">
        <f>_xlfn.XLOOKUP(L212,'[1]2026 Mapping v3'!A:A,'[1]2026 Mapping v3'!B:B,"Error",0)</f>
        <v>Western</v>
      </c>
      <c r="AD212" s="18" t="str">
        <f>_xlfn.XLOOKUP(L212,'[1]2026 Mapping v3'!A:A,'[1]2026 Mapping v3'!C:C,"Error",0)</f>
        <v>Wycliffe Oginga</v>
      </c>
      <c r="AE212" s="18" t="str">
        <f>_xlfn.XLOOKUP(L212,'[1]2026 Mapping v3'!A:A,'[1]2026 Mapping v3'!D:D,"Error",0)</f>
        <v>Sheila Adhiambo</v>
      </c>
      <c r="AF212" s="18" t="str">
        <f>_xlfn.XLOOKUP(L212,'[1]2026 Mapping v3'!A:A,'[1]2026 Mapping v3'!E:E,"Error",0)</f>
        <v>Eric Njiru</v>
      </c>
      <c r="AS212" s="24">
        <v>200002</v>
      </c>
      <c r="AT212" s="24"/>
      <c r="AU212" s="24"/>
      <c r="AV212" s="24"/>
      <c r="AX212" s="29"/>
      <c r="BE212" s="24">
        <v>200002</v>
      </c>
    </row>
    <row r="213" spans="1:57">
      <c r="A213" s="18" t="s">
        <v>57</v>
      </c>
      <c r="B213" s="19">
        <v>27196957</v>
      </c>
      <c r="C213" s="20">
        <v>46052</v>
      </c>
      <c r="D213" s="18" t="s">
        <v>58</v>
      </c>
      <c r="E213" s="18" t="s">
        <v>59</v>
      </c>
      <c r="F213" s="18" t="s">
        <v>60</v>
      </c>
      <c r="G213" s="18">
        <v>17519</v>
      </c>
      <c r="H213" s="18">
        <f>_xlfn.XLOOKUP(L213,'[1]2026 Mapping v3'!A:A,'[1]2026 Mapping v3'!F:F,0,0)</f>
        <v>14</v>
      </c>
      <c r="I213" s="18" t="b">
        <v>0</v>
      </c>
      <c r="J213" s="18" t="s">
        <v>683</v>
      </c>
      <c r="K213" s="21" t="s">
        <v>1236</v>
      </c>
      <c r="L213" s="18" t="s">
        <v>108</v>
      </c>
      <c r="M213" s="18" t="s">
        <v>98</v>
      </c>
      <c r="N213" s="18" t="s">
        <v>64</v>
      </c>
      <c r="O213" s="18" t="s">
        <v>684</v>
      </c>
      <c r="Q213" s="23" t="s">
        <v>80</v>
      </c>
      <c r="R213" s="23">
        <v>5</v>
      </c>
      <c r="S213" s="24">
        <v>3150315</v>
      </c>
      <c r="T213" s="28">
        <v>500005</v>
      </c>
      <c r="U213" s="18" t="s">
        <v>67</v>
      </c>
      <c r="V213" s="18" t="s">
        <v>68</v>
      </c>
      <c r="W213" s="18" t="s">
        <v>69</v>
      </c>
      <c r="X213" s="20">
        <v>46052</v>
      </c>
      <c r="Y213" s="18" t="s">
        <v>111</v>
      </c>
      <c r="Z213" s="18" t="str">
        <f>_xlfn.XLOOKUP(Y213,'[1]Data Source'!A:A,'[1]Data Source'!E:E,"N/A",0)</f>
        <v>LG</v>
      </c>
      <c r="AA213" s="18" t="s">
        <v>112</v>
      </c>
      <c r="AB213" s="18" t="s">
        <v>108</v>
      </c>
      <c r="AC213" s="18" t="str">
        <f>_xlfn.XLOOKUP(L213,'[1]2026 Mapping v3'!A:A,'[1]2026 Mapping v3'!B:B,"Error",0)</f>
        <v>Rift Valley</v>
      </c>
      <c r="AD213" s="18" t="str">
        <f>_xlfn.XLOOKUP(L213,'[1]2026 Mapping v3'!A:A,'[1]2026 Mapping v3'!C:C,"Error",0)</f>
        <v>Emily Jepchirchir</v>
      </c>
      <c r="AE213" s="18" t="str">
        <f>_xlfn.XLOOKUP(L213,'[1]2026 Mapping v3'!A:A,'[1]2026 Mapping v3'!D:D,"Error",0)</f>
        <v>Emily Jepchirchir</v>
      </c>
      <c r="AF213" s="18" t="str">
        <f>_xlfn.XLOOKUP(L213,'[1]2026 Mapping v3'!A:A,'[1]2026 Mapping v3'!E:E,"Error",0)</f>
        <v>Emily Jepchirchir</v>
      </c>
      <c r="AS213" s="24">
        <v>500005</v>
      </c>
      <c r="AT213" s="24"/>
      <c r="AU213" s="24"/>
      <c r="AV213" s="24"/>
      <c r="AX213" s="29"/>
      <c r="BE213" s="24">
        <v>500005</v>
      </c>
    </row>
    <row r="214" spans="1:57">
      <c r="A214" s="18" t="s">
        <v>57</v>
      </c>
      <c r="B214" s="19">
        <v>27196957</v>
      </c>
      <c r="C214" s="20">
        <v>46052</v>
      </c>
      <c r="D214" s="18" t="s">
        <v>58</v>
      </c>
      <c r="E214" s="18" t="s">
        <v>59</v>
      </c>
      <c r="F214" s="18" t="s">
        <v>60</v>
      </c>
      <c r="G214" s="18">
        <v>19239</v>
      </c>
      <c r="H214" s="18">
        <f>_xlfn.XLOOKUP(L214,'[1]2026 Mapping v3'!A:A,'[1]2026 Mapping v3'!F:F,0,0)</f>
        <v>105</v>
      </c>
      <c r="I214" s="18" t="b">
        <v>0</v>
      </c>
      <c r="J214" s="18" t="s">
        <v>454</v>
      </c>
      <c r="K214" s="21" t="s">
        <v>1237</v>
      </c>
      <c r="L214" s="18" t="s">
        <v>427</v>
      </c>
      <c r="M214" s="18" t="s">
        <v>98</v>
      </c>
      <c r="N214" s="18" t="s">
        <v>64</v>
      </c>
      <c r="O214" s="18" t="s">
        <v>685</v>
      </c>
      <c r="Q214" s="23" t="s">
        <v>80</v>
      </c>
      <c r="R214" s="23">
        <v>5</v>
      </c>
      <c r="S214" s="24">
        <v>10000000</v>
      </c>
      <c r="T214" s="28">
        <v>1588980</v>
      </c>
      <c r="U214" s="18" t="s">
        <v>67</v>
      </c>
      <c r="V214" s="18" t="s">
        <v>68</v>
      </c>
      <c r="W214" s="18" t="s">
        <v>69</v>
      </c>
      <c r="X214" s="20">
        <v>46052</v>
      </c>
      <c r="Y214" s="18" t="s">
        <v>429</v>
      </c>
      <c r="Z214" s="18" t="str">
        <f>_xlfn.XLOOKUP(Y214,'[1]Data Source'!A:A,'[1]Data Source'!E:E,"N/A",0)</f>
        <v>RM</v>
      </c>
      <c r="AA214" s="18" t="s">
        <v>430</v>
      </c>
      <c r="AB214" s="18" t="s">
        <v>427</v>
      </c>
      <c r="AC214" s="18" t="str">
        <f>_xlfn.XLOOKUP(L214,'[1]2026 Mapping v3'!A:A,'[1]2026 Mapping v3'!B:B,"Error",0)</f>
        <v>Premier</v>
      </c>
      <c r="AD214" s="18" t="str">
        <f>_xlfn.XLOOKUP(L214,'[1]2026 Mapping v3'!A:A,'[1]2026 Mapping v3'!C:C,"Error",0)</f>
        <v>Joseph Kairu</v>
      </c>
      <c r="AE214" s="18" t="str">
        <f>_xlfn.XLOOKUP(L214,'[1]2026 Mapping v3'!A:A,'[1]2026 Mapping v3'!D:D,"Error",0)</f>
        <v>Joseph Kairu</v>
      </c>
      <c r="AF214" s="18" t="str">
        <f>_xlfn.XLOOKUP(L214,'[1]2026 Mapping v3'!A:A,'[1]2026 Mapping v3'!E:E,"Error",0)</f>
        <v>Debrah Rashid</v>
      </c>
      <c r="AS214" s="24">
        <v>1588980</v>
      </c>
      <c r="AT214" s="24"/>
      <c r="AU214" s="24"/>
      <c r="AV214" s="24"/>
      <c r="AX214" s="29"/>
      <c r="BE214" s="24">
        <v>1588980</v>
      </c>
    </row>
    <row r="215" spans="1:57">
      <c r="A215" s="18" t="s">
        <v>57</v>
      </c>
      <c r="B215" s="19">
        <v>27196957</v>
      </c>
      <c r="C215" s="20">
        <v>46052</v>
      </c>
      <c r="D215" s="18" t="s">
        <v>58</v>
      </c>
      <c r="E215" s="18" t="s">
        <v>59</v>
      </c>
      <c r="F215" s="18" t="s">
        <v>60</v>
      </c>
      <c r="G215" s="18">
        <v>2177</v>
      </c>
      <c r="H215" s="18">
        <f>_xlfn.XLOOKUP(L215,'[1]2026 Mapping v3'!A:A,'[1]2026 Mapping v3'!F:F,0,0)</f>
        <v>60</v>
      </c>
      <c r="I215" s="18" t="b">
        <v>0</v>
      </c>
      <c r="J215" s="18" t="s">
        <v>686</v>
      </c>
      <c r="K215" s="21" t="s">
        <v>1238</v>
      </c>
      <c r="L215" s="18" t="s">
        <v>62</v>
      </c>
      <c r="M215" s="18" t="s">
        <v>98</v>
      </c>
      <c r="N215" s="18" t="s">
        <v>64</v>
      </c>
      <c r="O215" s="18" t="s">
        <v>687</v>
      </c>
      <c r="Q215" s="23" t="s">
        <v>80</v>
      </c>
      <c r="R215" s="23">
        <v>5</v>
      </c>
      <c r="S215" s="24">
        <v>6300630</v>
      </c>
      <c r="T215" s="28">
        <v>1000010</v>
      </c>
      <c r="U215" s="18" t="s">
        <v>67</v>
      </c>
      <c r="V215" s="18" t="s">
        <v>68</v>
      </c>
      <c r="W215" s="18" t="s">
        <v>69</v>
      </c>
      <c r="X215" s="20">
        <v>46052</v>
      </c>
      <c r="Y215" s="18" t="s">
        <v>688</v>
      </c>
      <c r="Z215" s="18" t="str">
        <f>_xlfn.XLOOKUP(Y215,'[1]Data Source'!A:A,'[1]Data Source'!E:E,"N/A",0)</f>
        <v>UB</v>
      </c>
      <c r="AA215" s="18" t="s">
        <v>689</v>
      </c>
      <c r="AB215" s="18" t="s">
        <v>62</v>
      </c>
      <c r="AC215" s="18" t="str">
        <f>_xlfn.XLOOKUP(L215,'[1]2026 Mapping v3'!A:A,'[1]2026 Mapping v3'!B:B,"Error",0)</f>
        <v>Rift Valley</v>
      </c>
      <c r="AD215" s="18" t="str">
        <f>_xlfn.XLOOKUP(L215,'[1]2026 Mapping v3'!A:A,'[1]2026 Mapping v3'!C:C,"Error",0)</f>
        <v>Hillary Muganda</v>
      </c>
      <c r="AE215" s="18" t="str">
        <f>_xlfn.XLOOKUP(L215,'[1]2026 Mapping v3'!A:A,'[1]2026 Mapping v3'!D:D,"Error",0)</f>
        <v>Emily Jepchirchir</v>
      </c>
      <c r="AF215" s="18" t="str">
        <f>_xlfn.XLOOKUP(L215,'[1]2026 Mapping v3'!A:A,'[1]2026 Mapping v3'!E:E,"Error",0)</f>
        <v>Emily Jepchirchir</v>
      </c>
      <c r="AS215" s="24">
        <v>1000010</v>
      </c>
      <c r="AT215" s="24"/>
      <c r="AU215" s="24"/>
      <c r="AV215" s="24"/>
      <c r="AX215" s="29"/>
      <c r="BE215" s="24">
        <v>1000010</v>
      </c>
    </row>
    <row r="216" spans="1:57">
      <c r="A216" s="18" t="s">
        <v>57</v>
      </c>
      <c r="B216" s="19">
        <v>27196957</v>
      </c>
      <c r="C216" s="20">
        <v>46052</v>
      </c>
      <c r="D216" s="18" t="s">
        <v>58</v>
      </c>
      <c r="E216" s="18" t="s">
        <v>59</v>
      </c>
      <c r="F216" s="18" t="s">
        <v>60</v>
      </c>
      <c r="G216" s="18">
        <v>18787</v>
      </c>
      <c r="H216" s="18">
        <f>_xlfn.XLOOKUP(L216,'[1]2026 Mapping v3'!A:A,'[1]2026 Mapping v3'!F:F,0,0)</f>
        <v>87</v>
      </c>
      <c r="I216" s="18" t="b">
        <v>0</v>
      </c>
      <c r="J216" s="18" t="s">
        <v>690</v>
      </c>
      <c r="K216" s="21" t="s">
        <v>1239</v>
      </c>
      <c r="L216" s="18" t="s">
        <v>625</v>
      </c>
      <c r="M216" s="18" t="s">
        <v>98</v>
      </c>
      <c r="N216" s="18" t="s">
        <v>64</v>
      </c>
      <c r="O216" s="18" t="s">
        <v>691</v>
      </c>
      <c r="Q216" s="23" t="s">
        <v>80</v>
      </c>
      <c r="R216" s="23">
        <v>10</v>
      </c>
      <c r="S216" s="24">
        <v>3020996</v>
      </c>
      <c r="T216" s="28">
        <v>250008</v>
      </c>
      <c r="U216" s="18" t="s">
        <v>67</v>
      </c>
      <c r="V216" s="18" t="s">
        <v>68</v>
      </c>
      <c r="W216" s="18" t="s">
        <v>69</v>
      </c>
      <c r="X216" s="20">
        <v>46052</v>
      </c>
      <c r="Y216" s="18" t="s">
        <v>692</v>
      </c>
      <c r="Z216" s="18" t="str">
        <f>_xlfn.XLOOKUP(Y216,'[1]Data Source'!A:A,'[1]Data Source'!E:E,"N/A",0)</f>
        <v>LG</v>
      </c>
      <c r="AA216" s="18" t="s">
        <v>693</v>
      </c>
      <c r="AB216" s="18" t="s">
        <v>625</v>
      </c>
      <c r="AC216" s="18" t="str">
        <f>_xlfn.XLOOKUP(L216,'[1]2026 Mapping v3'!A:A,'[1]2026 Mapping v3'!B:B,"Error",0)</f>
        <v>Nairobi East</v>
      </c>
      <c r="AD216" s="18" t="str">
        <f>_xlfn.XLOOKUP(L216,'[1]2026 Mapping v3'!A:A,'[1]2026 Mapping v3'!C:C,"Error",0)</f>
        <v>Charles Gicho</v>
      </c>
      <c r="AE216" s="18" t="str">
        <f>_xlfn.XLOOKUP(L216,'[1]2026 Mapping v3'!A:A,'[1]2026 Mapping v3'!D:D,"Error",0)</f>
        <v>Julius Mugane</v>
      </c>
      <c r="AF216" s="18" t="str">
        <f>_xlfn.XLOOKUP(L216,'[1]2026 Mapping v3'!A:A,'[1]2026 Mapping v3'!E:E,"Error",0)</f>
        <v>Debrah Rashid</v>
      </c>
      <c r="AS216" s="24">
        <v>250008</v>
      </c>
      <c r="AT216" s="24"/>
      <c r="AU216" s="24"/>
      <c r="AV216" s="24"/>
      <c r="AX216" s="29"/>
      <c r="BE216" s="24">
        <v>250008</v>
      </c>
    </row>
    <row r="217" spans="1:57">
      <c r="A217" s="18" t="s">
        <v>57</v>
      </c>
      <c r="B217" s="19">
        <v>27196957</v>
      </c>
      <c r="C217" s="20">
        <v>46052</v>
      </c>
      <c r="D217" s="18" t="s">
        <v>58</v>
      </c>
      <c r="E217" s="18" t="s">
        <v>59</v>
      </c>
      <c r="F217" s="18" t="s">
        <v>60</v>
      </c>
      <c r="G217" s="18">
        <v>11688</v>
      </c>
      <c r="H217" s="18">
        <f>_xlfn.XLOOKUP(L217,'[1]2026 Mapping v3'!A:A,'[1]2026 Mapping v3'!F:F,0,0)</f>
        <v>31</v>
      </c>
      <c r="I217" s="18" t="b">
        <v>0</v>
      </c>
      <c r="J217" s="18" t="s">
        <v>494</v>
      </c>
      <c r="K217" s="21" t="s">
        <v>1240</v>
      </c>
      <c r="L217" s="18" t="s">
        <v>267</v>
      </c>
      <c r="M217" s="18" t="s">
        <v>98</v>
      </c>
      <c r="N217" s="18" t="s">
        <v>64</v>
      </c>
      <c r="O217" s="18" t="s">
        <v>694</v>
      </c>
      <c r="Q217" s="23" t="s">
        <v>80</v>
      </c>
      <c r="R217" s="23">
        <v>5</v>
      </c>
      <c r="S217" s="24">
        <v>2241403</v>
      </c>
      <c r="T217" s="28">
        <v>400000</v>
      </c>
      <c r="U217" s="18" t="s">
        <v>67</v>
      </c>
      <c r="V217" s="18" t="s">
        <v>68</v>
      </c>
      <c r="W217" s="18" t="s">
        <v>69</v>
      </c>
      <c r="X217" s="20">
        <v>46050</v>
      </c>
      <c r="Y217" s="18" t="s">
        <v>695</v>
      </c>
      <c r="Z217" s="18" t="str">
        <f>_xlfn.XLOOKUP(Y217,'[1]Data Source'!A:A,'[1]Data Source'!E:E,"N/A",0)</f>
        <v>N/A</v>
      </c>
      <c r="AA217" s="18" t="s">
        <v>101</v>
      </c>
      <c r="AB217" s="18" t="s">
        <v>267</v>
      </c>
      <c r="AC217" s="18" t="str">
        <f>_xlfn.XLOOKUP(L217,'[1]2026 Mapping v3'!A:A,'[1]2026 Mapping v3'!B:B,"Error",0)</f>
        <v>Mt. Kenya</v>
      </c>
      <c r="AD217" s="18" t="str">
        <f>_xlfn.XLOOKUP(L217,'[1]2026 Mapping v3'!A:A,'[1]2026 Mapping v3'!C:C,"Error",0)</f>
        <v>Teresa Maina</v>
      </c>
      <c r="AE217" s="18" t="str">
        <f>_xlfn.XLOOKUP(L217,'[1]2026 Mapping v3'!A:A,'[1]2026 Mapping v3'!D:D,"Error",0)</f>
        <v>Paul Kithuka</v>
      </c>
      <c r="AF217" s="18" t="str">
        <f>_xlfn.XLOOKUP(L217,'[1]2026 Mapping v3'!A:A,'[1]2026 Mapping v3'!E:E,"Error",0)</f>
        <v>Simon Maingi</v>
      </c>
      <c r="AS217" s="24">
        <v>400000</v>
      </c>
      <c r="AT217" s="24"/>
      <c r="AU217" s="24"/>
      <c r="AV217" s="24"/>
      <c r="AX217" s="29"/>
      <c r="BE217" s="24">
        <v>400000</v>
      </c>
    </row>
    <row r="218" spans="1:57">
      <c r="A218" s="18" t="s">
        <v>57</v>
      </c>
      <c r="B218" s="19">
        <v>27196957</v>
      </c>
      <c r="C218" s="20">
        <v>46052</v>
      </c>
      <c r="D218" s="18" t="s">
        <v>58</v>
      </c>
      <c r="E218" s="18" t="s">
        <v>59</v>
      </c>
      <c r="F218" s="18" t="s">
        <v>60</v>
      </c>
      <c r="G218" s="18">
        <v>3854</v>
      </c>
      <c r="H218" s="18">
        <f>_xlfn.XLOOKUP(L218,'[1]2026 Mapping v3'!A:A,'[1]2026 Mapping v3'!F:F,0,0)</f>
        <v>32</v>
      </c>
      <c r="I218" s="18" t="b">
        <v>0</v>
      </c>
      <c r="J218" s="18" t="s">
        <v>204</v>
      </c>
      <c r="K218" s="21" t="s">
        <v>1241</v>
      </c>
      <c r="L218" s="18" t="s">
        <v>696</v>
      </c>
      <c r="M218" s="18" t="s">
        <v>98</v>
      </c>
      <c r="N218" s="18" t="s">
        <v>64</v>
      </c>
      <c r="O218" s="18" t="s">
        <v>697</v>
      </c>
      <c r="Q218" s="23" t="s">
        <v>66</v>
      </c>
      <c r="R218" s="23">
        <v>5</v>
      </c>
      <c r="S218" s="24">
        <v>10000000</v>
      </c>
      <c r="T218" s="28">
        <v>1430272</v>
      </c>
      <c r="U218" s="18" t="s">
        <v>67</v>
      </c>
      <c r="V218" s="18" t="s">
        <v>68</v>
      </c>
      <c r="W218" s="18" t="s">
        <v>69</v>
      </c>
      <c r="X218" s="20">
        <v>46050</v>
      </c>
      <c r="Y218" s="18" t="s">
        <v>613</v>
      </c>
      <c r="Z218" s="18" t="str">
        <f>_xlfn.XLOOKUP(Y218,'[1]Data Source'!A:A,'[1]Data Source'!E:E,"N/A",0)</f>
        <v>LG</v>
      </c>
      <c r="AA218" s="18" t="s">
        <v>552</v>
      </c>
      <c r="AB218" s="18" t="s">
        <v>696</v>
      </c>
      <c r="AC218" s="18" t="str">
        <f>_xlfn.XLOOKUP(L218,'[1]2026 Mapping v3'!A:A,'[1]2026 Mapping v3'!B:B,"Error",0)</f>
        <v>Nairobi West</v>
      </c>
      <c r="AD218" s="18" t="str">
        <f>_xlfn.XLOOKUP(L218,'[1]2026 Mapping v3'!A:A,'[1]2026 Mapping v3'!C:C,"Error",0)</f>
        <v>Valentine Musyoka</v>
      </c>
      <c r="AE218" s="18" t="str">
        <f>_xlfn.XLOOKUP(L218,'[1]2026 Mapping v3'!A:A,'[1]2026 Mapping v3'!D:D,"Error",0)</f>
        <v>Ancetar Mulili</v>
      </c>
      <c r="AF218" s="18" t="str">
        <f>_xlfn.XLOOKUP(L218,'[1]2026 Mapping v3'!A:A,'[1]2026 Mapping v3'!E:E,"Error",0)</f>
        <v>Bilha Wachira</v>
      </c>
      <c r="AS218" s="24">
        <v>1430272</v>
      </c>
      <c r="AT218" s="24"/>
      <c r="AU218" s="24"/>
      <c r="AV218" s="24"/>
      <c r="AX218" s="29"/>
      <c r="BE218" s="24">
        <v>1430272</v>
      </c>
    </row>
    <row r="219" spans="1:57">
      <c r="A219" s="18" t="s">
        <v>57</v>
      </c>
      <c r="B219" s="19">
        <v>27196957</v>
      </c>
      <c r="C219" s="20">
        <v>46052</v>
      </c>
      <c r="D219" s="18" t="s">
        <v>58</v>
      </c>
      <c r="E219" s="18" t="s">
        <v>59</v>
      </c>
      <c r="F219" s="18" t="s">
        <v>60</v>
      </c>
      <c r="G219" s="18">
        <v>16579</v>
      </c>
      <c r="H219" s="18">
        <f>_xlfn.XLOOKUP(L219,'[1]2026 Mapping v3'!A:A,'[1]2026 Mapping v3'!F:F,0,0)</f>
        <v>2</v>
      </c>
      <c r="I219" s="18" t="b">
        <v>0</v>
      </c>
      <c r="J219" s="18" t="s">
        <v>698</v>
      </c>
      <c r="K219" s="21" t="s">
        <v>1242</v>
      </c>
      <c r="L219" s="18" t="s">
        <v>377</v>
      </c>
      <c r="M219" s="18" t="s">
        <v>98</v>
      </c>
      <c r="N219" s="18" t="s">
        <v>64</v>
      </c>
      <c r="O219" s="18" t="s">
        <v>699</v>
      </c>
      <c r="Q219" s="23" t="s">
        <v>80</v>
      </c>
      <c r="R219" s="23">
        <v>5</v>
      </c>
      <c r="S219" s="24">
        <v>10000000</v>
      </c>
      <c r="T219" s="28">
        <v>1587146</v>
      </c>
      <c r="U219" s="18" t="s">
        <v>67</v>
      </c>
      <c r="V219" s="18" t="s">
        <v>68</v>
      </c>
      <c r="W219" s="18" t="s">
        <v>69</v>
      </c>
      <c r="X219" s="20">
        <v>46052</v>
      </c>
      <c r="Y219" s="18" t="s">
        <v>391</v>
      </c>
      <c r="Z219" s="18" t="str">
        <f>_xlfn.XLOOKUP(Y219,'[1]Data Source'!A:A,'[1]Data Source'!E:E,"N/A",0)</f>
        <v>LG</v>
      </c>
      <c r="AA219" s="18" t="s">
        <v>392</v>
      </c>
      <c r="AB219" s="18" t="s">
        <v>377</v>
      </c>
      <c r="AC219" s="18" t="str">
        <f>_xlfn.XLOOKUP(L219,'[1]2026 Mapping v3'!A:A,'[1]2026 Mapping v3'!B:B,"Error",0)</f>
        <v>TMU</v>
      </c>
      <c r="AD219" s="18" t="str">
        <f>_xlfn.XLOOKUP(L219,'[1]2026 Mapping v3'!A:A,'[1]2026 Mapping v3'!C:C,"Error",0)</f>
        <v>Simon Wambua</v>
      </c>
      <c r="AE219" s="18" t="str">
        <f>_xlfn.XLOOKUP(L219,'[1]2026 Mapping v3'!A:A,'[1]2026 Mapping v3'!D:D,"Error",0)</f>
        <v>Joseph Kairu</v>
      </c>
      <c r="AF219" s="18" t="str">
        <f>_xlfn.XLOOKUP(L219,'[1]2026 Mapping v3'!A:A,'[1]2026 Mapping v3'!E:E,"Error",0)</f>
        <v>Debrah Rashid</v>
      </c>
      <c r="AS219" s="24">
        <v>1587146</v>
      </c>
      <c r="AT219" s="24"/>
      <c r="AU219" s="24"/>
      <c r="AV219" s="24"/>
      <c r="AX219" s="29"/>
      <c r="BE219" s="24">
        <v>1587146</v>
      </c>
    </row>
    <row r="220" spans="1:57">
      <c r="A220" s="18" t="s">
        <v>57</v>
      </c>
      <c r="B220" s="19">
        <v>27196957</v>
      </c>
      <c r="C220" s="20">
        <v>46052</v>
      </c>
      <c r="D220" s="18" t="s">
        <v>58</v>
      </c>
      <c r="E220" s="18" t="s">
        <v>59</v>
      </c>
      <c r="F220" s="18" t="s">
        <v>60</v>
      </c>
      <c r="G220" s="18">
        <v>14399</v>
      </c>
      <c r="H220" s="18">
        <f>_xlfn.XLOOKUP(L220,'[1]2026 Mapping v3'!A:A,'[1]2026 Mapping v3'!F:F,0,0)</f>
        <v>74</v>
      </c>
      <c r="I220" s="18" t="b">
        <v>0</v>
      </c>
      <c r="J220" s="18" t="s">
        <v>564</v>
      </c>
      <c r="K220" s="21" t="s">
        <v>1243</v>
      </c>
      <c r="L220" s="18" t="s">
        <v>651</v>
      </c>
      <c r="M220" s="18" t="s">
        <v>63</v>
      </c>
      <c r="N220" s="18" t="s">
        <v>64</v>
      </c>
      <c r="O220" s="18" t="s">
        <v>700</v>
      </c>
      <c r="Q220" s="23" t="s">
        <v>80</v>
      </c>
      <c r="R220" s="23">
        <v>10</v>
      </c>
      <c r="S220" s="24">
        <v>261440</v>
      </c>
      <c r="T220" s="28">
        <v>2000</v>
      </c>
      <c r="U220" s="18" t="s">
        <v>67</v>
      </c>
      <c r="V220" s="18" t="s">
        <v>110</v>
      </c>
      <c r="W220" s="18" t="s">
        <v>69</v>
      </c>
      <c r="X220" s="20">
        <v>46032</v>
      </c>
      <c r="Y220" s="18" t="s">
        <v>405</v>
      </c>
      <c r="Z220" s="18" t="str">
        <f>_xlfn.XLOOKUP(Y220,'[1]Data Source'!A:A,'[1]Data Source'!E:E,"N/A",0)</f>
        <v>LG</v>
      </c>
      <c r="AA220" s="18" t="s">
        <v>396</v>
      </c>
      <c r="AB220" s="18" t="s">
        <v>651</v>
      </c>
      <c r="AC220" s="18" t="str">
        <f>_xlfn.XLOOKUP(L220,'[1]2026 Mapping v3'!A:A,'[1]2026 Mapping v3'!B:B,"Error",0)</f>
        <v>Premier</v>
      </c>
      <c r="AD220" s="18" t="str">
        <f>_xlfn.XLOOKUP(L220,'[1]2026 Mapping v3'!A:A,'[1]2026 Mapping v3'!C:C,"Error",0)</f>
        <v>Joseph Kairu</v>
      </c>
      <c r="AE220" s="18" t="str">
        <f>_xlfn.XLOOKUP(L220,'[1]2026 Mapping v3'!A:A,'[1]2026 Mapping v3'!D:D,"Error",0)</f>
        <v>Joseph Kairu</v>
      </c>
      <c r="AF220" s="18" t="str">
        <f>_xlfn.XLOOKUP(L220,'[1]2026 Mapping v3'!A:A,'[1]2026 Mapping v3'!E:E,"Error",0)</f>
        <v>Debrah Rashid</v>
      </c>
      <c r="AS220" s="24">
        <v>2000</v>
      </c>
      <c r="AT220" s="24"/>
      <c r="AU220" s="24"/>
      <c r="AV220" s="24"/>
      <c r="AX220" s="29"/>
      <c r="BE220" s="24">
        <v>2000</v>
      </c>
    </row>
    <row r="221" spans="1:57">
      <c r="A221" s="18" t="s">
        <v>57</v>
      </c>
      <c r="B221" s="19">
        <v>27196957</v>
      </c>
      <c r="C221" s="20">
        <v>46052</v>
      </c>
      <c r="D221" s="18" t="s">
        <v>58</v>
      </c>
      <c r="E221" s="18" t="s">
        <v>59</v>
      </c>
      <c r="F221" s="18" t="s">
        <v>60</v>
      </c>
      <c r="G221" s="18">
        <v>13762</v>
      </c>
      <c r="H221" s="18">
        <f>_xlfn.XLOOKUP(L221,'[1]2026 Mapping v3'!A:A,'[1]2026 Mapping v3'!F:F,0,0)</f>
        <v>51</v>
      </c>
      <c r="I221" s="18" t="b">
        <v>0</v>
      </c>
      <c r="J221" s="18" t="s">
        <v>102</v>
      </c>
      <c r="K221" s="21" t="s">
        <v>1244</v>
      </c>
      <c r="L221" s="18" t="s">
        <v>501</v>
      </c>
      <c r="M221" s="18" t="s">
        <v>63</v>
      </c>
      <c r="N221" s="18" t="s">
        <v>64</v>
      </c>
      <c r="O221" s="18" t="s">
        <v>701</v>
      </c>
      <c r="Q221" s="23" t="s">
        <v>66</v>
      </c>
      <c r="R221" s="23">
        <v>18</v>
      </c>
      <c r="S221" s="24">
        <v>5611670</v>
      </c>
      <c r="T221" s="28">
        <v>200000</v>
      </c>
      <c r="U221" s="18" t="s">
        <v>67</v>
      </c>
      <c r="V221" s="18" t="s">
        <v>68</v>
      </c>
      <c r="W221" s="18" t="s">
        <v>69</v>
      </c>
      <c r="X221" s="20">
        <v>46052</v>
      </c>
      <c r="Y221" s="18" t="s">
        <v>503</v>
      </c>
      <c r="Z221" s="18" t="str">
        <f>_xlfn.XLOOKUP(Y221,'[1]Data Source'!A:A,'[1]Data Source'!E:E,"N/A",0)</f>
        <v>LG</v>
      </c>
      <c r="AA221" s="18" t="s">
        <v>504</v>
      </c>
      <c r="AB221" s="18" t="s">
        <v>501</v>
      </c>
      <c r="AC221" s="18" t="str">
        <f>_xlfn.XLOOKUP(L221,'[1]2026 Mapping v3'!A:A,'[1]2026 Mapping v3'!B:B,"Error",0)</f>
        <v>Mt. Kenya</v>
      </c>
      <c r="AD221" s="18" t="str">
        <f>_xlfn.XLOOKUP(L221,'[1]2026 Mapping v3'!A:A,'[1]2026 Mapping v3'!C:C,"Error",0)</f>
        <v>Morgan Mwangi</v>
      </c>
      <c r="AE221" s="18" t="str">
        <f>_xlfn.XLOOKUP(L221,'[1]2026 Mapping v3'!A:A,'[1]2026 Mapping v3'!D:D,"Error",0)</f>
        <v>Paul Kithuka</v>
      </c>
      <c r="AF221" s="18" t="str">
        <f>_xlfn.XLOOKUP(L221,'[1]2026 Mapping v3'!A:A,'[1]2026 Mapping v3'!E:E,"Error",0)</f>
        <v>Simon Maingi</v>
      </c>
      <c r="AS221" s="24">
        <v>200000</v>
      </c>
      <c r="AT221" s="24"/>
      <c r="AU221" s="24"/>
      <c r="AV221" s="24"/>
      <c r="AX221" s="29"/>
      <c r="BE221" s="24">
        <v>200000</v>
      </c>
    </row>
    <row r="222" spans="1:57">
      <c r="A222" s="18" t="s">
        <v>57</v>
      </c>
      <c r="B222" s="19">
        <v>27196957</v>
      </c>
      <c r="C222" s="20">
        <v>46052</v>
      </c>
      <c r="D222" s="18" t="s">
        <v>58</v>
      </c>
      <c r="E222" s="18" t="s">
        <v>59</v>
      </c>
      <c r="F222" s="18" t="s">
        <v>60</v>
      </c>
      <c r="G222" s="18">
        <v>10161</v>
      </c>
      <c r="H222" s="18">
        <f>_xlfn.XLOOKUP(L222,'[1]2026 Mapping v3'!A:A,'[1]2026 Mapping v3'!F:F,0,0)</f>
        <v>30</v>
      </c>
      <c r="I222" s="18" t="b">
        <v>0</v>
      </c>
      <c r="J222" s="18" t="s">
        <v>702</v>
      </c>
      <c r="K222" s="21" t="s">
        <v>1245</v>
      </c>
      <c r="L222" s="18" t="s">
        <v>703</v>
      </c>
      <c r="M222" s="18" t="s">
        <v>63</v>
      </c>
      <c r="N222" s="18" t="s">
        <v>64</v>
      </c>
      <c r="O222" s="18" t="s">
        <v>704</v>
      </c>
      <c r="Q222" s="23" t="s">
        <v>80</v>
      </c>
      <c r="R222" s="23">
        <v>13</v>
      </c>
      <c r="S222" s="24">
        <v>350430</v>
      </c>
      <c r="T222" s="28">
        <v>2050</v>
      </c>
      <c r="U222" s="18" t="s">
        <v>67</v>
      </c>
      <c r="V222" s="18" t="s">
        <v>110</v>
      </c>
      <c r="W222" s="18" t="s">
        <v>69</v>
      </c>
      <c r="X222" s="20">
        <v>46052</v>
      </c>
      <c r="Y222" s="18" t="s">
        <v>705</v>
      </c>
      <c r="Z222" s="18" t="str">
        <f>_xlfn.XLOOKUP(Y222,'[1]Data Source'!A:A,'[1]Data Source'!E:E,"N/A",0)</f>
        <v>N/A</v>
      </c>
      <c r="AA222" s="18" t="s">
        <v>101</v>
      </c>
      <c r="AB222" s="18" t="s">
        <v>703</v>
      </c>
      <c r="AC222" s="18" t="str">
        <f>_xlfn.XLOOKUP(L222,'[1]2026 Mapping v3'!A:A,'[1]2026 Mapping v3'!B:B,"Error",0)</f>
        <v>Rift Valley</v>
      </c>
      <c r="AD222" s="18" t="str">
        <f>_xlfn.XLOOKUP(L222,'[1]2026 Mapping v3'!A:A,'[1]2026 Mapping v3'!C:C,"Error",0)</f>
        <v>Emily Jepchirchir</v>
      </c>
      <c r="AE222" s="18" t="str">
        <f>_xlfn.XLOOKUP(L222,'[1]2026 Mapping v3'!A:A,'[1]2026 Mapping v3'!D:D,"Error",0)</f>
        <v>Emily Jepchirchir</v>
      </c>
      <c r="AF222" s="18" t="str">
        <f>_xlfn.XLOOKUP(L222,'[1]2026 Mapping v3'!A:A,'[1]2026 Mapping v3'!E:E,"Error",0)</f>
        <v>Emily Jepchirchir</v>
      </c>
      <c r="AS222" s="24">
        <v>2050</v>
      </c>
      <c r="AT222" s="24"/>
      <c r="AU222" s="24"/>
      <c r="AV222" s="24"/>
      <c r="AX222" s="29"/>
      <c r="BE222" s="24">
        <v>2050</v>
      </c>
    </row>
    <row r="223" spans="1:57">
      <c r="A223" s="18" t="s">
        <v>57</v>
      </c>
      <c r="B223" s="19">
        <v>27196957</v>
      </c>
      <c r="C223" s="20">
        <v>46052</v>
      </c>
      <c r="D223" s="18" t="s">
        <v>58</v>
      </c>
      <c r="E223" s="18" t="s">
        <v>59</v>
      </c>
      <c r="F223" s="18" t="s">
        <v>60</v>
      </c>
      <c r="G223" s="18">
        <v>10275</v>
      </c>
      <c r="H223" s="18">
        <f>_xlfn.XLOOKUP(L223,'[1]2026 Mapping v3'!A:A,'[1]2026 Mapping v3'!F:F,0,0)</f>
        <v>27</v>
      </c>
      <c r="I223" s="18" t="b">
        <v>0</v>
      </c>
      <c r="J223" s="18" t="s">
        <v>171</v>
      </c>
      <c r="K223" s="21" t="s">
        <v>1246</v>
      </c>
      <c r="L223" s="18" t="s">
        <v>509</v>
      </c>
      <c r="M223" s="18" t="s">
        <v>63</v>
      </c>
      <c r="N223" s="18" t="s">
        <v>64</v>
      </c>
      <c r="O223" s="18" t="s">
        <v>706</v>
      </c>
      <c r="Q223" s="23" t="s">
        <v>80</v>
      </c>
      <c r="R223" s="23">
        <v>5</v>
      </c>
      <c r="S223" s="24">
        <v>123460</v>
      </c>
      <c r="T223" s="28">
        <v>2000</v>
      </c>
      <c r="U223" s="18" t="s">
        <v>67</v>
      </c>
      <c r="V223" s="18" t="s">
        <v>110</v>
      </c>
      <c r="W223" s="18" t="s">
        <v>69</v>
      </c>
      <c r="X223" s="20">
        <v>46052</v>
      </c>
      <c r="Y223" s="18" t="s">
        <v>707</v>
      </c>
      <c r="Z223" s="18" t="str">
        <f>_xlfn.XLOOKUP(Y223,'[1]Data Source'!A:A,'[1]Data Source'!E:E,"N/A",0)</f>
        <v>N/A</v>
      </c>
      <c r="AA223" s="18" t="s">
        <v>101</v>
      </c>
      <c r="AB223" s="18" t="s">
        <v>509</v>
      </c>
      <c r="AC223" s="18" t="str">
        <f>_xlfn.XLOOKUP(L223,'[1]2026 Mapping v3'!A:A,'[1]2026 Mapping v3'!B:B,"Error",0)</f>
        <v>Rift Valley</v>
      </c>
      <c r="AD223" s="18" t="str">
        <f>_xlfn.XLOOKUP(L223,'[1]2026 Mapping v3'!A:A,'[1]2026 Mapping v3'!C:C,"Error",0)</f>
        <v>Hillary Muganda</v>
      </c>
      <c r="AE223" s="18" t="str">
        <f>_xlfn.XLOOKUP(L223,'[1]2026 Mapping v3'!A:A,'[1]2026 Mapping v3'!D:D,"Error",0)</f>
        <v>Emily Jepchirchir</v>
      </c>
      <c r="AF223" s="18" t="str">
        <f>_xlfn.XLOOKUP(L223,'[1]2026 Mapping v3'!A:A,'[1]2026 Mapping v3'!E:E,"Error",0)</f>
        <v>Emily Jepchirchir</v>
      </c>
      <c r="AS223" s="24">
        <v>2000</v>
      </c>
      <c r="AT223" s="24"/>
      <c r="AU223" s="24"/>
      <c r="AV223" s="24"/>
      <c r="AX223" s="29"/>
      <c r="BE223" s="24">
        <v>2000</v>
      </c>
    </row>
    <row r="224" spans="1:57">
      <c r="A224" s="18" t="s">
        <v>57</v>
      </c>
      <c r="B224" s="19">
        <v>27196957</v>
      </c>
      <c r="C224" s="20">
        <v>46052</v>
      </c>
      <c r="D224" s="18" t="s">
        <v>58</v>
      </c>
      <c r="E224" s="18" t="s">
        <v>59</v>
      </c>
      <c r="F224" s="18" t="s">
        <v>60</v>
      </c>
      <c r="G224" s="18">
        <v>11760</v>
      </c>
      <c r="H224" s="18">
        <f>_xlfn.XLOOKUP(L224,'[1]2026 Mapping v3'!A:A,'[1]2026 Mapping v3'!F:F,0,0)</f>
        <v>40</v>
      </c>
      <c r="I224" s="18" t="b">
        <v>0</v>
      </c>
      <c r="J224" s="18" t="s">
        <v>708</v>
      </c>
      <c r="K224" s="21" t="s">
        <v>1247</v>
      </c>
      <c r="L224" s="18" t="s">
        <v>244</v>
      </c>
      <c r="M224" s="18" t="s">
        <v>63</v>
      </c>
      <c r="N224" s="18" t="s">
        <v>64</v>
      </c>
      <c r="O224" s="18" t="s">
        <v>710</v>
      </c>
      <c r="Q224" s="23" t="s">
        <v>66</v>
      </c>
      <c r="R224" s="23">
        <v>18</v>
      </c>
      <c r="S224" s="24">
        <v>925930</v>
      </c>
      <c r="T224" s="28">
        <v>3000</v>
      </c>
      <c r="U224" s="18" t="s">
        <v>67</v>
      </c>
      <c r="V224" s="18" t="s">
        <v>68</v>
      </c>
      <c r="W224" s="18" t="s">
        <v>69</v>
      </c>
      <c r="X224" s="20">
        <v>46046</v>
      </c>
      <c r="Y224" s="18" t="s">
        <v>711</v>
      </c>
      <c r="Z224" s="18" t="str">
        <f>_xlfn.XLOOKUP(Y224,'[1]Data Source'!A:A,'[1]Data Source'!E:E,"N/A",0)</f>
        <v>LG</v>
      </c>
      <c r="AA224" s="18" t="s">
        <v>709</v>
      </c>
      <c r="AB224" s="18" t="s">
        <v>244</v>
      </c>
      <c r="AC224" s="18" t="str">
        <f>_xlfn.XLOOKUP(L224,'[1]2026 Mapping v3'!A:A,'[1]2026 Mapping v3'!B:B,"Error",0)</f>
        <v>Rift Valley</v>
      </c>
      <c r="AD224" s="18" t="str">
        <f>_xlfn.XLOOKUP(L224,'[1]2026 Mapping v3'!A:A,'[1]2026 Mapping v3'!C:C,"Error",0)</f>
        <v>Hillary Muganda</v>
      </c>
      <c r="AE224" s="18" t="str">
        <f>_xlfn.XLOOKUP(L224,'[1]2026 Mapping v3'!A:A,'[1]2026 Mapping v3'!D:D,"Error",0)</f>
        <v>Emily Jepchirchir</v>
      </c>
      <c r="AF224" s="18" t="str">
        <f>_xlfn.XLOOKUP(L224,'[1]2026 Mapping v3'!A:A,'[1]2026 Mapping v3'!E:E,"Error",0)</f>
        <v>Emily Jepchirchir</v>
      </c>
      <c r="AS224" s="24">
        <v>3000</v>
      </c>
      <c r="AT224" s="24"/>
      <c r="AU224" s="24"/>
      <c r="AV224" s="24"/>
      <c r="AX224" s="29"/>
      <c r="BE224" s="24">
        <v>3000</v>
      </c>
    </row>
    <row r="225" spans="1:57">
      <c r="A225" s="18" t="s">
        <v>57</v>
      </c>
      <c r="B225" s="19">
        <v>27196957</v>
      </c>
      <c r="C225" s="20">
        <v>46052</v>
      </c>
      <c r="D225" s="18" t="s">
        <v>58</v>
      </c>
      <c r="E225" s="18" t="s">
        <v>59</v>
      </c>
      <c r="F225" s="18" t="s">
        <v>60</v>
      </c>
      <c r="G225" s="18">
        <v>11504</v>
      </c>
      <c r="H225" s="18">
        <f>_xlfn.XLOOKUP(L225,'[1]2026 Mapping v3'!A:A,'[1]2026 Mapping v3'!F:F,0,0)</f>
        <v>2</v>
      </c>
      <c r="I225" s="18" t="b">
        <v>0</v>
      </c>
      <c r="J225" s="18" t="s">
        <v>639</v>
      </c>
      <c r="K225" s="21" t="s">
        <v>1248</v>
      </c>
      <c r="L225" s="18" t="s">
        <v>377</v>
      </c>
      <c r="M225" s="18" t="s">
        <v>63</v>
      </c>
      <c r="N225" s="18" t="s">
        <v>64</v>
      </c>
      <c r="O225" s="18" t="s">
        <v>712</v>
      </c>
      <c r="Q225" s="23" t="s">
        <v>66</v>
      </c>
      <c r="R225" s="23">
        <v>18</v>
      </c>
      <c r="S225" s="24">
        <v>4965000</v>
      </c>
      <c r="T225" s="28">
        <v>15066</v>
      </c>
      <c r="U225" s="18" t="s">
        <v>67</v>
      </c>
      <c r="V225" s="18" t="s">
        <v>110</v>
      </c>
      <c r="W225" s="18" t="s">
        <v>69</v>
      </c>
      <c r="X225" s="20">
        <v>46052</v>
      </c>
      <c r="Y225" s="18" t="s">
        <v>713</v>
      </c>
      <c r="Z225" s="18" t="str">
        <f>_xlfn.XLOOKUP(Y225,'[1]Data Source'!A:A,'[1]Data Source'!E:E,"N/A",0)</f>
        <v>LG</v>
      </c>
      <c r="AA225" s="18" t="s">
        <v>714</v>
      </c>
      <c r="AB225" s="18" t="s">
        <v>377</v>
      </c>
      <c r="AC225" s="18" t="str">
        <f>_xlfn.XLOOKUP(L225,'[1]2026 Mapping v3'!A:A,'[1]2026 Mapping v3'!B:B,"Error",0)</f>
        <v>TMU</v>
      </c>
      <c r="AD225" s="18" t="str">
        <f>_xlfn.XLOOKUP(L225,'[1]2026 Mapping v3'!A:A,'[1]2026 Mapping v3'!C:C,"Error",0)</f>
        <v>Simon Wambua</v>
      </c>
      <c r="AE225" s="18" t="str">
        <f>_xlfn.XLOOKUP(L225,'[1]2026 Mapping v3'!A:A,'[1]2026 Mapping v3'!D:D,"Error",0)</f>
        <v>Joseph Kairu</v>
      </c>
      <c r="AF225" s="18" t="str">
        <f>_xlfn.XLOOKUP(L225,'[1]2026 Mapping v3'!A:A,'[1]2026 Mapping v3'!E:E,"Error",0)</f>
        <v>Debrah Rashid</v>
      </c>
      <c r="AS225" s="24">
        <v>15066</v>
      </c>
      <c r="AT225" s="24"/>
      <c r="AU225" s="24"/>
      <c r="AV225" s="24"/>
      <c r="AX225" s="29"/>
      <c r="BE225" s="24">
        <v>15066</v>
      </c>
    </row>
    <row r="226" spans="1:57">
      <c r="A226" s="18" t="s">
        <v>57</v>
      </c>
      <c r="B226" s="19">
        <v>27196957</v>
      </c>
      <c r="C226" s="20">
        <v>46052</v>
      </c>
      <c r="D226" s="18" t="s">
        <v>58</v>
      </c>
      <c r="E226" s="18" t="s">
        <v>59</v>
      </c>
      <c r="F226" s="18" t="s">
        <v>60</v>
      </c>
      <c r="G226" s="18">
        <v>11117</v>
      </c>
      <c r="H226" s="18">
        <f>_xlfn.XLOOKUP(L226,'[1]2026 Mapping v3'!A:A,'[1]2026 Mapping v3'!F:F,0,0)</f>
        <v>12</v>
      </c>
      <c r="I226" s="18" t="b">
        <v>0</v>
      </c>
      <c r="J226" s="18" t="s">
        <v>314</v>
      </c>
      <c r="K226" s="21" t="s">
        <v>1249</v>
      </c>
      <c r="L226" s="18" t="s">
        <v>488</v>
      </c>
      <c r="M226" s="18" t="s">
        <v>63</v>
      </c>
      <c r="N226" s="18" t="s">
        <v>64</v>
      </c>
      <c r="O226" s="18" t="s">
        <v>715</v>
      </c>
      <c r="Q226" s="23" t="s">
        <v>66</v>
      </c>
      <c r="R226" s="23">
        <v>5</v>
      </c>
      <c r="S226" s="24">
        <v>137170</v>
      </c>
      <c r="T226" s="28">
        <v>2000</v>
      </c>
      <c r="U226" s="18" t="s">
        <v>67</v>
      </c>
      <c r="V226" s="18" t="s">
        <v>110</v>
      </c>
      <c r="W226" s="18" t="s">
        <v>69</v>
      </c>
      <c r="X226" s="20">
        <v>46045</v>
      </c>
      <c r="Y226" s="18" t="s">
        <v>490</v>
      </c>
      <c r="Z226" s="18" t="str">
        <f>_xlfn.XLOOKUP(Y226,'[1]Data Source'!A:A,'[1]Data Source'!E:E,"N/A",0)</f>
        <v>N/A</v>
      </c>
      <c r="AA226" s="18" t="s">
        <v>101</v>
      </c>
      <c r="AB226" s="18" t="s">
        <v>488</v>
      </c>
      <c r="AC226" s="18" t="str">
        <f>_xlfn.XLOOKUP(L226,'[1]2026 Mapping v3'!A:A,'[1]2026 Mapping v3'!B:B,"Error",0)</f>
        <v>Coast</v>
      </c>
      <c r="AD226" s="18" t="str">
        <f>_xlfn.XLOOKUP(L226,'[1]2026 Mapping v3'!A:A,'[1]2026 Mapping v3'!C:C,"Error",0)</f>
        <v>Nancy Logose</v>
      </c>
      <c r="AE226" s="18" t="str">
        <f>_xlfn.XLOOKUP(L226,'[1]2026 Mapping v3'!A:A,'[1]2026 Mapping v3'!D:D,"Error",0)</f>
        <v>Brian Khamadi</v>
      </c>
      <c r="AF226" s="18" t="str">
        <f>_xlfn.XLOOKUP(L226,'[1]2026 Mapping v3'!A:A,'[1]2026 Mapping v3'!E:E,"Error",0)</f>
        <v>Eric Njiru</v>
      </c>
      <c r="AS226" s="24">
        <v>2000</v>
      </c>
      <c r="AT226" s="24"/>
      <c r="AU226" s="24"/>
      <c r="AV226" s="24"/>
      <c r="AX226" s="29"/>
      <c r="BE226" s="24">
        <v>2000</v>
      </c>
    </row>
    <row r="227" spans="1:57">
      <c r="A227" s="18" t="s">
        <v>57</v>
      </c>
      <c r="B227" s="19">
        <v>27196957</v>
      </c>
      <c r="C227" s="20">
        <v>46052</v>
      </c>
      <c r="D227" s="18" t="s">
        <v>58</v>
      </c>
      <c r="E227" s="18" t="s">
        <v>59</v>
      </c>
      <c r="F227" s="18" t="s">
        <v>60</v>
      </c>
      <c r="G227" s="18">
        <v>6191</v>
      </c>
      <c r="H227" s="18">
        <f>_xlfn.XLOOKUP(L227,'[1]2026 Mapping v3'!A:A,'[1]2026 Mapping v3'!F:F,0,0)</f>
        <v>80</v>
      </c>
      <c r="I227" s="18" t="b">
        <v>0</v>
      </c>
      <c r="J227" s="18" t="s">
        <v>716</v>
      </c>
      <c r="K227" s="21" t="s">
        <v>1250</v>
      </c>
      <c r="L227" s="18" t="s">
        <v>566</v>
      </c>
      <c r="M227" s="18" t="s">
        <v>63</v>
      </c>
      <c r="N227" s="18" t="s">
        <v>64</v>
      </c>
      <c r="O227" s="18" t="s">
        <v>717</v>
      </c>
      <c r="Q227" s="23" t="s">
        <v>66</v>
      </c>
      <c r="R227" s="23">
        <v>18</v>
      </c>
      <c r="S227" s="24">
        <v>4000000</v>
      </c>
      <c r="T227" s="28">
        <v>14256</v>
      </c>
      <c r="U227" s="18" t="s">
        <v>67</v>
      </c>
      <c r="V227" s="18" t="s">
        <v>68</v>
      </c>
      <c r="W227" s="18" t="s">
        <v>69</v>
      </c>
      <c r="X227" s="20">
        <v>46046</v>
      </c>
      <c r="Y227" s="18" t="s">
        <v>718</v>
      </c>
      <c r="Z227" s="18" t="str">
        <f>_xlfn.XLOOKUP(Y227,'[1]Data Source'!A:A,'[1]Data Source'!E:E,"N/A",0)</f>
        <v>N/A</v>
      </c>
      <c r="AA227" s="18" t="s">
        <v>101</v>
      </c>
      <c r="AB227" s="18" t="s">
        <v>570</v>
      </c>
      <c r="AC227" s="18" t="str">
        <f>_xlfn.XLOOKUP(L227,'[1]2026 Mapping v3'!A:A,'[1]2026 Mapping v3'!B:B,"Error",0)</f>
        <v>Nairobi East</v>
      </c>
      <c r="AD227" s="18" t="str">
        <f>_xlfn.XLOOKUP(L227,'[1]2026 Mapping v3'!A:A,'[1]2026 Mapping v3'!C:C,"Error",0)</f>
        <v>Julius Mugane</v>
      </c>
      <c r="AE227" s="18" t="str">
        <f>_xlfn.XLOOKUP(L227,'[1]2026 Mapping v3'!A:A,'[1]2026 Mapping v3'!D:D,"Error",0)</f>
        <v>Julius Mugane</v>
      </c>
      <c r="AF227" s="18" t="str">
        <f>_xlfn.XLOOKUP(L227,'[1]2026 Mapping v3'!A:A,'[1]2026 Mapping v3'!E:E,"Error",0)</f>
        <v>Debrah Rashid</v>
      </c>
      <c r="AS227" s="24">
        <v>14256</v>
      </c>
      <c r="AT227" s="24"/>
      <c r="AU227" s="24"/>
      <c r="AV227" s="24"/>
      <c r="AX227" s="29"/>
      <c r="BE227" s="24">
        <v>14256</v>
      </c>
    </row>
    <row r="228" spans="1:57">
      <c r="A228" s="18" t="s">
        <v>57</v>
      </c>
      <c r="B228" s="19">
        <v>27196957</v>
      </c>
      <c r="C228" s="20">
        <v>46052</v>
      </c>
      <c r="D228" s="18" t="s">
        <v>58</v>
      </c>
      <c r="E228" s="18" t="s">
        <v>59</v>
      </c>
      <c r="F228" s="18" t="s">
        <v>60</v>
      </c>
      <c r="G228" s="18">
        <v>14327</v>
      </c>
      <c r="H228" s="18">
        <f>_xlfn.XLOOKUP(L228,'[1]2026 Mapping v3'!A:A,'[1]2026 Mapping v3'!F:F,0,0)</f>
        <v>2</v>
      </c>
      <c r="I228" s="18" t="b">
        <v>0</v>
      </c>
      <c r="J228" s="18" t="s">
        <v>338</v>
      </c>
      <c r="K228" s="21" t="s">
        <v>1251</v>
      </c>
      <c r="L228" s="18" t="s">
        <v>377</v>
      </c>
      <c r="M228" s="18" t="s">
        <v>63</v>
      </c>
      <c r="N228" s="18" t="s">
        <v>64</v>
      </c>
      <c r="O228" s="18" t="s">
        <v>720</v>
      </c>
      <c r="Q228" s="23" t="s">
        <v>66</v>
      </c>
      <c r="R228" s="23">
        <v>18</v>
      </c>
      <c r="S228" s="24">
        <v>5625000</v>
      </c>
      <c r="T228" s="28">
        <v>200475</v>
      </c>
      <c r="U228" s="18" t="s">
        <v>67</v>
      </c>
      <c r="V228" s="18" t="s">
        <v>68</v>
      </c>
      <c r="W228" s="18" t="s">
        <v>69</v>
      </c>
      <c r="X228" s="20">
        <v>46052</v>
      </c>
      <c r="Y228" s="18" t="s">
        <v>721</v>
      </c>
      <c r="Z228" s="18" t="str">
        <f>_xlfn.XLOOKUP(Y228,'[1]Data Source'!A:A,'[1]Data Source'!E:E,"N/A",0)</f>
        <v>LG</v>
      </c>
      <c r="AA228" s="18" t="s">
        <v>719</v>
      </c>
      <c r="AB228" s="18" t="s">
        <v>377</v>
      </c>
      <c r="AC228" s="18" t="str">
        <f>_xlfn.XLOOKUP(L228,'[1]2026 Mapping v3'!A:A,'[1]2026 Mapping v3'!B:B,"Error",0)</f>
        <v>TMU</v>
      </c>
      <c r="AD228" s="18" t="str">
        <f>_xlfn.XLOOKUP(L228,'[1]2026 Mapping v3'!A:A,'[1]2026 Mapping v3'!C:C,"Error",0)</f>
        <v>Simon Wambua</v>
      </c>
      <c r="AE228" s="18" t="str">
        <f>_xlfn.XLOOKUP(L228,'[1]2026 Mapping v3'!A:A,'[1]2026 Mapping v3'!D:D,"Error",0)</f>
        <v>Joseph Kairu</v>
      </c>
      <c r="AF228" s="18" t="str">
        <f>_xlfn.XLOOKUP(L228,'[1]2026 Mapping v3'!A:A,'[1]2026 Mapping v3'!E:E,"Error",0)</f>
        <v>Debrah Rashid</v>
      </c>
      <c r="AS228" s="24">
        <v>200475</v>
      </c>
      <c r="AT228" s="24"/>
      <c r="AU228" s="24"/>
      <c r="AV228" s="24"/>
      <c r="AX228" s="29"/>
      <c r="BE228" s="24">
        <v>200475</v>
      </c>
    </row>
    <row r="229" spans="1:57">
      <c r="A229" s="18" t="s">
        <v>57</v>
      </c>
      <c r="B229" s="19">
        <v>27196957</v>
      </c>
      <c r="C229" s="20">
        <v>46052</v>
      </c>
      <c r="D229" s="18" t="s">
        <v>58</v>
      </c>
      <c r="E229" s="18" t="s">
        <v>59</v>
      </c>
      <c r="F229" s="18" t="s">
        <v>60</v>
      </c>
      <c r="G229" s="18">
        <v>14329</v>
      </c>
      <c r="H229" s="18">
        <f>_xlfn.XLOOKUP(L229,'[1]2026 Mapping v3'!A:A,'[1]2026 Mapping v3'!F:F,0,0)</f>
        <v>2</v>
      </c>
      <c r="I229" s="18" t="b">
        <v>0</v>
      </c>
      <c r="J229" s="18" t="s">
        <v>279</v>
      </c>
      <c r="K229" s="21" t="s">
        <v>1252</v>
      </c>
      <c r="L229" s="18" t="s">
        <v>377</v>
      </c>
      <c r="M229" s="18" t="s">
        <v>63</v>
      </c>
      <c r="N229" s="18" t="s">
        <v>64</v>
      </c>
      <c r="O229" s="18" t="s">
        <v>722</v>
      </c>
      <c r="Q229" s="23" t="s">
        <v>66</v>
      </c>
      <c r="R229" s="23">
        <v>18</v>
      </c>
      <c r="S229" s="24">
        <v>5625000</v>
      </c>
      <c r="T229" s="28">
        <v>200475</v>
      </c>
      <c r="U229" s="18" t="s">
        <v>67</v>
      </c>
      <c r="V229" s="18" t="s">
        <v>68</v>
      </c>
      <c r="W229" s="18" t="s">
        <v>69</v>
      </c>
      <c r="X229" s="20">
        <v>46046</v>
      </c>
      <c r="Y229" s="18" t="s">
        <v>723</v>
      </c>
      <c r="Z229" s="18" t="str">
        <f>_xlfn.XLOOKUP(Y229,'[1]Data Source'!A:A,'[1]Data Source'!E:E,"N/A",0)</f>
        <v>LG</v>
      </c>
      <c r="AA229" s="18" t="s">
        <v>724</v>
      </c>
      <c r="AB229" s="18" t="s">
        <v>377</v>
      </c>
      <c r="AC229" s="18" t="str">
        <f>_xlfn.XLOOKUP(L229,'[1]2026 Mapping v3'!A:A,'[1]2026 Mapping v3'!B:B,"Error",0)</f>
        <v>TMU</v>
      </c>
      <c r="AD229" s="18" t="str">
        <f>_xlfn.XLOOKUP(L229,'[1]2026 Mapping v3'!A:A,'[1]2026 Mapping v3'!C:C,"Error",0)</f>
        <v>Simon Wambua</v>
      </c>
      <c r="AE229" s="18" t="str">
        <f>_xlfn.XLOOKUP(L229,'[1]2026 Mapping v3'!A:A,'[1]2026 Mapping v3'!D:D,"Error",0)</f>
        <v>Joseph Kairu</v>
      </c>
      <c r="AF229" s="18" t="str">
        <f>_xlfn.XLOOKUP(L229,'[1]2026 Mapping v3'!A:A,'[1]2026 Mapping v3'!E:E,"Error",0)</f>
        <v>Debrah Rashid</v>
      </c>
      <c r="AS229" s="24">
        <v>200475</v>
      </c>
      <c r="AT229" s="24"/>
      <c r="AU229" s="24"/>
      <c r="AV229" s="24"/>
      <c r="AX229" s="29"/>
      <c r="BE229" s="24">
        <v>200475</v>
      </c>
    </row>
    <row r="230" spans="1:57">
      <c r="A230" s="18" t="s">
        <v>57</v>
      </c>
      <c r="B230" s="19">
        <v>27196957</v>
      </c>
      <c r="C230" s="20">
        <v>46052</v>
      </c>
      <c r="D230" s="18" t="s">
        <v>58</v>
      </c>
      <c r="E230" s="18" t="s">
        <v>59</v>
      </c>
      <c r="F230" s="18" t="s">
        <v>60</v>
      </c>
      <c r="G230" s="18">
        <v>13131</v>
      </c>
      <c r="H230" s="18">
        <f>_xlfn.XLOOKUP(L230,'[1]2026 Mapping v3'!A:A,'[1]2026 Mapping v3'!F:F,0,0)</f>
        <v>12</v>
      </c>
      <c r="I230" s="18" t="b">
        <v>0</v>
      </c>
      <c r="J230" s="18" t="s">
        <v>415</v>
      </c>
      <c r="K230" s="21" t="s">
        <v>1253</v>
      </c>
      <c r="L230" s="18" t="s">
        <v>488</v>
      </c>
      <c r="M230" s="18" t="s">
        <v>63</v>
      </c>
      <c r="N230" s="18" t="s">
        <v>64</v>
      </c>
      <c r="O230" s="18" t="s">
        <v>725</v>
      </c>
      <c r="Q230" s="23" t="s">
        <v>80</v>
      </c>
      <c r="R230" s="23">
        <v>18</v>
      </c>
      <c r="S230" s="24">
        <v>5050510</v>
      </c>
      <c r="T230" s="28">
        <v>200000</v>
      </c>
      <c r="U230" s="18" t="s">
        <v>67</v>
      </c>
      <c r="V230" s="18" t="s">
        <v>68</v>
      </c>
      <c r="W230" s="18" t="s">
        <v>69</v>
      </c>
      <c r="X230" s="20">
        <v>46050</v>
      </c>
      <c r="Y230" s="18" t="s">
        <v>726</v>
      </c>
      <c r="Z230" s="18" t="str">
        <f>_xlfn.XLOOKUP(Y230,'[1]Data Source'!A:A,'[1]Data Source'!E:E,"N/A",0)</f>
        <v>N/A</v>
      </c>
      <c r="AA230" s="18" t="s">
        <v>101</v>
      </c>
      <c r="AB230" s="18" t="s">
        <v>488</v>
      </c>
      <c r="AC230" s="18" t="str">
        <f>_xlfn.XLOOKUP(L230,'[1]2026 Mapping v3'!A:A,'[1]2026 Mapping v3'!B:B,"Error",0)</f>
        <v>Coast</v>
      </c>
      <c r="AD230" s="18" t="str">
        <f>_xlfn.XLOOKUP(L230,'[1]2026 Mapping v3'!A:A,'[1]2026 Mapping v3'!C:C,"Error",0)</f>
        <v>Nancy Logose</v>
      </c>
      <c r="AE230" s="18" t="str">
        <f>_xlfn.XLOOKUP(L230,'[1]2026 Mapping v3'!A:A,'[1]2026 Mapping v3'!D:D,"Error",0)</f>
        <v>Brian Khamadi</v>
      </c>
      <c r="AF230" s="18" t="str">
        <f>_xlfn.XLOOKUP(L230,'[1]2026 Mapping v3'!A:A,'[1]2026 Mapping v3'!E:E,"Error",0)</f>
        <v>Eric Njiru</v>
      </c>
      <c r="AS230" s="24">
        <v>200000</v>
      </c>
      <c r="AT230" s="24"/>
      <c r="AU230" s="24"/>
      <c r="AV230" s="24"/>
      <c r="AX230" s="29"/>
      <c r="BE230" s="24">
        <v>200000</v>
      </c>
    </row>
    <row r="231" spans="1:57">
      <c r="A231" s="18" t="s">
        <v>57</v>
      </c>
      <c r="B231" s="19">
        <v>27196957</v>
      </c>
      <c r="C231" s="20">
        <v>46052</v>
      </c>
      <c r="D231" s="18" t="s">
        <v>58</v>
      </c>
      <c r="E231" s="18" t="s">
        <v>59</v>
      </c>
      <c r="F231" s="18" t="s">
        <v>60</v>
      </c>
      <c r="G231" s="18">
        <v>5133</v>
      </c>
      <c r="H231" s="18">
        <f>_xlfn.XLOOKUP(L231,'[1]2026 Mapping v3'!A:A,'[1]2026 Mapping v3'!F:F,0,0)</f>
        <v>81</v>
      </c>
      <c r="I231" s="18" t="b">
        <v>0</v>
      </c>
      <c r="J231" s="18" t="s">
        <v>198</v>
      </c>
      <c r="K231" s="21" t="s">
        <v>1254</v>
      </c>
      <c r="L231" s="18" t="s">
        <v>727</v>
      </c>
      <c r="M231" s="18" t="s">
        <v>63</v>
      </c>
      <c r="N231" s="18" t="s">
        <v>64</v>
      </c>
      <c r="O231" s="18" t="s">
        <v>728</v>
      </c>
      <c r="Q231" s="23" t="s">
        <v>80</v>
      </c>
      <c r="R231" s="23">
        <v>10</v>
      </c>
      <c r="S231" s="24">
        <v>1960780</v>
      </c>
      <c r="T231" s="28">
        <v>15000</v>
      </c>
      <c r="U231" s="18" t="s">
        <v>67</v>
      </c>
      <c r="V231" s="18" t="s">
        <v>110</v>
      </c>
      <c r="W231" s="18" t="s">
        <v>69</v>
      </c>
      <c r="X231" s="20">
        <v>46052</v>
      </c>
      <c r="Y231" s="18" t="s">
        <v>729</v>
      </c>
      <c r="Z231" s="18" t="str">
        <f>_xlfn.XLOOKUP(Y231,'[1]Data Source'!A:A,'[1]Data Source'!E:E,"N/A",0)</f>
        <v>LG</v>
      </c>
      <c r="AA231" s="18" t="s">
        <v>730</v>
      </c>
      <c r="AB231" s="18" t="s">
        <v>727</v>
      </c>
      <c r="AC231" s="18" t="str">
        <f>_xlfn.XLOOKUP(L231,'[1]2026 Mapping v3'!A:A,'[1]2026 Mapping v3'!B:B,"Error",0)</f>
        <v>Nairobi East</v>
      </c>
      <c r="AD231" s="18" t="str">
        <f>_xlfn.XLOOKUP(L231,'[1]2026 Mapping v3'!A:A,'[1]2026 Mapping v3'!C:C,"Error",0)</f>
        <v>Julius Mugane</v>
      </c>
      <c r="AE231" s="18" t="str">
        <f>_xlfn.XLOOKUP(L231,'[1]2026 Mapping v3'!A:A,'[1]2026 Mapping v3'!D:D,"Error",0)</f>
        <v>Julius Mugane</v>
      </c>
      <c r="AF231" s="18" t="str">
        <f>_xlfn.XLOOKUP(L231,'[1]2026 Mapping v3'!A:A,'[1]2026 Mapping v3'!E:E,"Error",0)</f>
        <v>Debrah Rashid</v>
      </c>
      <c r="AS231" s="24">
        <v>15000</v>
      </c>
      <c r="AT231" s="24"/>
      <c r="AU231" s="24"/>
      <c r="AV231" s="24"/>
      <c r="AX231" s="29"/>
      <c r="BE231" s="24">
        <v>15000</v>
      </c>
    </row>
    <row r="232" spans="1:57">
      <c r="A232" s="18" t="s">
        <v>57</v>
      </c>
      <c r="B232" s="19">
        <v>27196957</v>
      </c>
      <c r="C232" s="20">
        <v>46052</v>
      </c>
      <c r="D232" s="18" t="s">
        <v>58</v>
      </c>
      <c r="E232" s="18" t="s">
        <v>59</v>
      </c>
      <c r="F232" s="18" t="s">
        <v>60</v>
      </c>
      <c r="G232" s="18">
        <v>13119</v>
      </c>
      <c r="H232" s="18">
        <f>_xlfn.XLOOKUP(L232,'[1]2026 Mapping v3'!A:A,'[1]2026 Mapping v3'!F:F,0,0)</f>
        <v>12</v>
      </c>
      <c r="I232" s="18" t="b">
        <v>0</v>
      </c>
      <c r="J232" s="18" t="s">
        <v>186</v>
      </c>
      <c r="K232" s="21" t="s">
        <v>1255</v>
      </c>
      <c r="L232" s="18" t="s">
        <v>488</v>
      </c>
      <c r="M232" s="18" t="s">
        <v>63</v>
      </c>
      <c r="N232" s="18" t="s">
        <v>64</v>
      </c>
      <c r="O232" s="18" t="s">
        <v>731</v>
      </c>
      <c r="Q232" s="23" t="s">
        <v>80</v>
      </c>
      <c r="R232" s="23">
        <v>10</v>
      </c>
      <c r="S232" s="24">
        <v>261440</v>
      </c>
      <c r="T232" s="28">
        <v>2000</v>
      </c>
      <c r="U232" s="18" t="s">
        <v>67</v>
      </c>
      <c r="V232" s="18" t="s">
        <v>110</v>
      </c>
      <c r="W232" s="18" t="s">
        <v>69</v>
      </c>
      <c r="X232" s="20">
        <v>46380</v>
      </c>
      <c r="Y232" s="18" t="s">
        <v>732</v>
      </c>
      <c r="Z232" s="18" t="str">
        <f>_xlfn.XLOOKUP(Y232,'[1]Data Source'!A:A,'[1]Data Source'!E:E,"N/A",0)</f>
        <v>LG</v>
      </c>
      <c r="AA232" s="18" t="s">
        <v>733</v>
      </c>
      <c r="AB232" s="18" t="s">
        <v>488</v>
      </c>
      <c r="AC232" s="18" t="str">
        <f>_xlfn.XLOOKUP(L232,'[1]2026 Mapping v3'!A:A,'[1]2026 Mapping v3'!B:B,"Error",0)</f>
        <v>Coast</v>
      </c>
      <c r="AD232" s="18" t="str">
        <f>_xlfn.XLOOKUP(L232,'[1]2026 Mapping v3'!A:A,'[1]2026 Mapping v3'!C:C,"Error",0)</f>
        <v>Nancy Logose</v>
      </c>
      <c r="AE232" s="18" t="str">
        <f>_xlfn.XLOOKUP(L232,'[1]2026 Mapping v3'!A:A,'[1]2026 Mapping v3'!D:D,"Error",0)</f>
        <v>Brian Khamadi</v>
      </c>
      <c r="AF232" s="18" t="str">
        <f>_xlfn.XLOOKUP(L232,'[1]2026 Mapping v3'!A:A,'[1]2026 Mapping v3'!E:E,"Error",0)</f>
        <v>Eric Njiru</v>
      </c>
      <c r="AS232" s="24">
        <v>2000</v>
      </c>
      <c r="AT232" s="24"/>
      <c r="AU232" s="24"/>
      <c r="AV232" s="24"/>
      <c r="AX232" s="29"/>
      <c r="BE232" s="24">
        <v>2000</v>
      </c>
    </row>
    <row r="233" spans="1:57">
      <c r="A233" s="18" t="s">
        <v>57</v>
      </c>
      <c r="B233" s="19">
        <v>27196957</v>
      </c>
      <c r="C233" s="20">
        <v>46052</v>
      </c>
      <c r="D233" s="18" t="s">
        <v>58</v>
      </c>
      <c r="E233" s="18" t="s">
        <v>59</v>
      </c>
      <c r="F233" s="18" t="s">
        <v>60</v>
      </c>
      <c r="G233" s="18">
        <v>13107</v>
      </c>
      <c r="H233" s="18">
        <f>_xlfn.XLOOKUP(L233,'[1]2026 Mapping v3'!A:A,'[1]2026 Mapping v3'!F:F,0,0)</f>
        <v>12</v>
      </c>
      <c r="I233" s="18" t="b">
        <v>0</v>
      </c>
      <c r="J233" s="18" t="s">
        <v>186</v>
      </c>
      <c r="K233" s="21" t="s">
        <v>1256</v>
      </c>
      <c r="L233" s="18" t="s">
        <v>488</v>
      </c>
      <c r="M233" s="18" t="s">
        <v>63</v>
      </c>
      <c r="N233" s="18" t="s">
        <v>64</v>
      </c>
      <c r="O233" s="18" t="s">
        <v>734</v>
      </c>
      <c r="Q233" s="23">
        <v>10</v>
      </c>
      <c r="R233" s="23">
        <v>10</v>
      </c>
      <c r="S233" s="24">
        <v>261440</v>
      </c>
      <c r="T233" s="28">
        <v>2000</v>
      </c>
      <c r="U233" s="18" t="s">
        <v>67</v>
      </c>
      <c r="V233" s="18" t="s">
        <v>110</v>
      </c>
      <c r="W233" s="18" t="s">
        <v>69</v>
      </c>
      <c r="X233" s="20">
        <v>46382</v>
      </c>
      <c r="Y233" s="18" t="s">
        <v>732</v>
      </c>
      <c r="Z233" s="18" t="str">
        <f>_xlfn.XLOOKUP(Y233,'[1]Data Source'!A:A,'[1]Data Source'!E:E,"N/A",0)</f>
        <v>LG</v>
      </c>
      <c r="AA233" s="18" t="s">
        <v>733</v>
      </c>
      <c r="AB233" s="18" t="s">
        <v>488</v>
      </c>
      <c r="AC233" s="18" t="str">
        <f>_xlfn.XLOOKUP(L233,'[1]2026 Mapping v3'!A:A,'[1]2026 Mapping v3'!B:B,"Error",0)</f>
        <v>Coast</v>
      </c>
      <c r="AD233" s="18" t="str">
        <f>_xlfn.XLOOKUP(L233,'[1]2026 Mapping v3'!A:A,'[1]2026 Mapping v3'!C:C,"Error",0)</f>
        <v>Nancy Logose</v>
      </c>
      <c r="AE233" s="18" t="str">
        <f>_xlfn.XLOOKUP(L233,'[1]2026 Mapping v3'!A:A,'[1]2026 Mapping v3'!D:D,"Error",0)</f>
        <v>Brian Khamadi</v>
      </c>
      <c r="AF233" s="18" t="str">
        <f>_xlfn.XLOOKUP(L233,'[1]2026 Mapping v3'!A:A,'[1]2026 Mapping v3'!E:E,"Error",0)</f>
        <v>Eric Njiru</v>
      </c>
      <c r="AS233" s="24">
        <v>2000</v>
      </c>
      <c r="AT233" s="24"/>
      <c r="AU233" s="24"/>
      <c r="AV233" s="24"/>
      <c r="AX233" s="29"/>
      <c r="BE233" s="24">
        <v>2000</v>
      </c>
    </row>
    <row r="234" spans="1:57">
      <c r="A234" s="18" t="s">
        <v>57</v>
      </c>
      <c r="B234" s="19">
        <v>27196957</v>
      </c>
      <c r="C234" s="20">
        <v>46052</v>
      </c>
      <c r="D234" s="18" t="s">
        <v>58</v>
      </c>
      <c r="E234" s="18" t="s">
        <v>59</v>
      </c>
      <c r="F234" s="18" t="s">
        <v>60</v>
      </c>
      <c r="G234" s="18">
        <v>12632</v>
      </c>
      <c r="H234" s="18">
        <f>_xlfn.XLOOKUP(L234,'[1]2026 Mapping v3'!A:A,'[1]2026 Mapping v3'!F:F,0,0)</f>
        <v>39</v>
      </c>
      <c r="I234" s="18" t="b">
        <v>0</v>
      </c>
      <c r="J234" s="18" t="s">
        <v>735</v>
      </c>
      <c r="K234" s="21" t="s">
        <v>1257</v>
      </c>
      <c r="L234" s="18" t="s">
        <v>211</v>
      </c>
      <c r="M234" s="18" t="s">
        <v>63</v>
      </c>
      <c r="N234" s="18" t="s">
        <v>64</v>
      </c>
      <c r="O234" s="18" t="s">
        <v>736</v>
      </c>
      <c r="Q234" s="23" t="s">
        <v>80</v>
      </c>
      <c r="R234" s="23">
        <v>10</v>
      </c>
      <c r="S234" s="24">
        <v>261440</v>
      </c>
      <c r="T234" s="28">
        <v>2000</v>
      </c>
      <c r="U234" s="18" t="s">
        <v>67</v>
      </c>
      <c r="V234" s="18" t="s">
        <v>110</v>
      </c>
      <c r="W234" s="18" t="s">
        <v>69</v>
      </c>
      <c r="X234" s="20">
        <v>46050</v>
      </c>
      <c r="Y234" s="18" t="s">
        <v>737</v>
      </c>
      <c r="Z234" s="18" t="s">
        <v>71</v>
      </c>
      <c r="AA234" s="18" t="s">
        <v>101</v>
      </c>
      <c r="AB234" s="18" t="s">
        <v>214</v>
      </c>
      <c r="AC234" s="18" t="str">
        <f>_xlfn.XLOOKUP(L234,'[1]2026 Mapping v3'!A:A,'[1]2026 Mapping v3'!B:B,"Error",0)</f>
        <v>Western</v>
      </c>
      <c r="AD234" s="18" t="str">
        <f>_xlfn.XLOOKUP(L234,'[1]2026 Mapping v3'!A:A,'[1]2026 Mapping v3'!C:C,"Error",0)</f>
        <v>Sheila Adhiambo</v>
      </c>
      <c r="AE234" s="18" t="str">
        <f>_xlfn.XLOOKUP(L234,'[1]2026 Mapping v3'!A:A,'[1]2026 Mapping v3'!D:D,"Error",0)</f>
        <v>Sheila Adhiambo</v>
      </c>
      <c r="AF234" s="18" t="str">
        <f>_xlfn.XLOOKUP(L234,'[1]2026 Mapping v3'!A:A,'[1]2026 Mapping v3'!E:E,"Error",0)</f>
        <v>Eric Njiru</v>
      </c>
      <c r="AS234" s="24">
        <v>2000</v>
      </c>
      <c r="AT234" s="24"/>
      <c r="AU234" s="24"/>
      <c r="AV234" s="24"/>
      <c r="AX234" s="29"/>
      <c r="BE234" s="24">
        <v>2000</v>
      </c>
    </row>
    <row r="235" spans="1:57">
      <c r="A235" s="18" t="s">
        <v>57</v>
      </c>
      <c r="B235" s="19">
        <v>27196957</v>
      </c>
      <c r="C235" s="20">
        <v>46052</v>
      </c>
      <c r="D235" s="18" t="s">
        <v>58</v>
      </c>
      <c r="E235" s="18" t="s">
        <v>59</v>
      </c>
      <c r="F235" s="18" t="s">
        <v>60</v>
      </c>
      <c r="G235" s="18">
        <v>12807</v>
      </c>
      <c r="H235" s="18">
        <f>_xlfn.XLOOKUP(L235,'[1]2026 Mapping v3'!A:A,'[1]2026 Mapping v3'!F:F,0,0)</f>
        <v>17</v>
      </c>
      <c r="I235" s="18" t="b">
        <v>0</v>
      </c>
      <c r="J235" s="18" t="s">
        <v>233</v>
      </c>
      <c r="K235" s="21" t="s">
        <v>1258</v>
      </c>
      <c r="L235" s="18" t="s">
        <v>325</v>
      </c>
      <c r="M235" s="18" t="s">
        <v>63</v>
      </c>
      <c r="N235" s="18" t="s">
        <v>64</v>
      </c>
      <c r="O235" s="18" t="s">
        <v>738</v>
      </c>
      <c r="Q235" s="23" t="s">
        <v>80</v>
      </c>
      <c r="R235" s="23">
        <v>10</v>
      </c>
      <c r="S235" s="24">
        <v>3565060</v>
      </c>
      <c r="T235" s="28">
        <v>300000</v>
      </c>
      <c r="U235" s="18" t="s">
        <v>67</v>
      </c>
      <c r="V235" s="18" t="s">
        <v>68</v>
      </c>
      <c r="W235" s="18" t="s">
        <v>69</v>
      </c>
      <c r="X235" s="20">
        <v>46046</v>
      </c>
      <c r="Y235" s="18" t="s">
        <v>369</v>
      </c>
      <c r="Z235" s="18" t="s">
        <v>71</v>
      </c>
      <c r="AA235" s="18" t="s">
        <v>101</v>
      </c>
      <c r="AB235" s="18" t="s">
        <v>325</v>
      </c>
      <c r="AC235" s="18" t="str">
        <f>_xlfn.XLOOKUP(L235,'[1]2026 Mapping v3'!A:A,'[1]2026 Mapping v3'!B:B,"Error",0)</f>
        <v>Nairobi Central</v>
      </c>
      <c r="AD235" s="18" t="str">
        <f>_xlfn.XLOOKUP(L235,'[1]2026 Mapping v3'!A:A,'[1]2026 Mapping v3'!C:C,"Error",0)</f>
        <v>Zedekiah Mburu</v>
      </c>
      <c r="AE235" s="18" t="str">
        <f>_xlfn.XLOOKUP(L235,'[1]2026 Mapping v3'!A:A,'[1]2026 Mapping v3'!D:D,"Error",0)</f>
        <v>Zedekiah Mburu</v>
      </c>
      <c r="AF235" s="18" t="str">
        <f>_xlfn.XLOOKUP(L235,'[1]2026 Mapping v3'!A:A,'[1]2026 Mapping v3'!E:E,"Error",0)</f>
        <v>Bilha Wachira</v>
      </c>
      <c r="AS235" s="24">
        <v>300000</v>
      </c>
      <c r="AT235" s="24"/>
      <c r="AU235" s="24"/>
      <c r="AV235" s="24"/>
      <c r="AX235" s="29"/>
      <c r="BE235" s="24">
        <v>300000</v>
      </c>
    </row>
    <row r="236" spans="1:57">
      <c r="A236" s="18" t="s">
        <v>349</v>
      </c>
      <c r="B236" s="19">
        <v>27196957</v>
      </c>
      <c r="C236" s="20">
        <v>46052</v>
      </c>
      <c r="D236" s="18" t="s">
        <v>58</v>
      </c>
      <c r="E236" s="18" t="s">
        <v>59</v>
      </c>
      <c r="F236" s="18" t="s">
        <v>60</v>
      </c>
      <c r="G236" s="18">
        <v>15282</v>
      </c>
      <c r="H236" s="18">
        <v>21</v>
      </c>
      <c r="I236" s="18" t="b">
        <v>0</v>
      </c>
      <c r="J236" s="18" t="s">
        <v>320</v>
      </c>
      <c r="K236" s="21" t="s">
        <v>1259</v>
      </c>
      <c r="L236" s="18" t="s">
        <v>351</v>
      </c>
      <c r="M236" s="18" t="s">
        <v>98</v>
      </c>
      <c r="N236" s="18" t="s">
        <v>64</v>
      </c>
      <c r="Q236" s="23" t="s">
        <v>80</v>
      </c>
      <c r="R236" s="23">
        <v>10</v>
      </c>
      <c r="S236" s="24">
        <v>1000000</v>
      </c>
      <c r="T236" s="28">
        <v>7541</v>
      </c>
      <c r="U236" s="18" t="s">
        <v>67</v>
      </c>
      <c r="V236" s="18" t="s">
        <v>110</v>
      </c>
      <c r="W236" s="18" t="s">
        <v>69</v>
      </c>
      <c r="X236" s="20">
        <v>46077</v>
      </c>
      <c r="Y236" s="18" t="s">
        <v>739</v>
      </c>
      <c r="Z236" s="18" t="str">
        <f>_xlfn.XLOOKUP(Y236,'[1]Data Source'!A:A,'[1]Data Source'!E:E,"N/A",0)</f>
        <v>ALAK</v>
      </c>
      <c r="AA236" s="18" t="s">
        <v>101</v>
      </c>
      <c r="AB236" s="18" t="str">
        <f t="shared" ref="AB236:AB237" si="14">L236</f>
        <v>Fortis Branch</v>
      </c>
      <c r="AC236" s="18" t="str">
        <f>_xlfn.XLOOKUP(L236,'[1]2026 Mapping v3'!A:A,'[1]2026 Mapping v3'!B:B,"Error",0)</f>
        <v>Alternative Channels</v>
      </c>
      <c r="AD236" s="18" t="str">
        <f>_xlfn.XLOOKUP(L236,'[1]2026 Mapping v3'!A:A,'[1]2026 Mapping v3'!C:C,"Error",0)</f>
        <v>Selestine Magayu</v>
      </c>
      <c r="AE236" s="18" t="str">
        <f>_xlfn.XLOOKUP(L236,'[1]2026 Mapping v3'!A:A,'[1]2026 Mapping v3'!D:D,"Error",0)</f>
        <v>Eric Njiru</v>
      </c>
      <c r="AF236" s="18" t="str">
        <f>_xlfn.XLOOKUP(L236,'[1]2026 Mapping v3'!A:A,'[1]2026 Mapping v3'!E:E,"Error",0)</f>
        <v>Eric Njiru</v>
      </c>
      <c r="AS236" s="24">
        <v>7541</v>
      </c>
      <c r="AT236" s="24"/>
      <c r="AU236" s="24"/>
      <c r="AV236" s="24"/>
      <c r="AX236" s="29"/>
      <c r="BE236" s="24">
        <v>7541</v>
      </c>
    </row>
    <row r="237" spans="1:57">
      <c r="A237" s="18" t="s">
        <v>349</v>
      </c>
      <c r="B237" s="19">
        <v>27196957</v>
      </c>
      <c r="C237" s="20">
        <v>46052</v>
      </c>
      <c r="D237" s="18" t="s">
        <v>58</v>
      </c>
      <c r="E237" s="18" t="s">
        <v>59</v>
      </c>
      <c r="F237" s="18" t="s">
        <v>60</v>
      </c>
      <c r="G237" s="18">
        <v>15282</v>
      </c>
      <c r="H237" s="18">
        <v>21</v>
      </c>
      <c r="I237" s="18" t="b">
        <v>0</v>
      </c>
      <c r="J237" s="18" t="s">
        <v>481</v>
      </c>
      <c r="K237" s="21" t="s">
        <v>1260</v>
      </c>
      <c r="L237" s="18" t="s">
        <v>351</v>
      </c>
      <c r="M237" s="18" t="s">
        <v>98</v>
      </c>
      <c r="N237" s="18" t="s">
        <v>64</v>
      </c>
      <c r="Q237" s="23" t="s">
        <v>80</v>
      </c>
      <c r="R237" s="23">
        <v>10</v>
      </c>
      <c r="S237" s="24">
        <v>1400000</v>
      </c>
      <c r="T237" s="28">
        <v>10557</v>
      </c>
      <c r="U237" s="18" t="s">
        <v>67</v>
      </c>
      <c r="V237" s="18" t="s">
        <v>110</v>
      </c>
      <c r="W237" s="18" t="s">
        <v>69</v>
      </c>
      <c r="X237" s="20">
        <v>46052</v>
      </c>
      <c r="Y237" s="18" t="s">
        <v>739</v>
      </c>
      <c r="Z237" s="18" t="str">
        <f>_xlfn.XLOOKUP(Y237,'[1]Data Source'!A:A,'[1]Data Source'!E:E,"N/A",0)</f>
        <v>ALAK</v>
      </c>
      <c r="AA237" s="18" t="s">
        <v>101</v>
      </c>
      <c r="AB237" s="18" t="str">
        <f t="shared" si="14"/>
        <v>Fortis Branch</v>
      </c>
      <c r="AC237" s="18" t="str">
        <f>_xlfn.XLOOKUP(L237,'[1]2026 Mapping v3'!A:A,'[1]2026 Mapping v3'!B:B,"Error",0)</f>
        <v>Alternative Channels</v>
      </c>
      <c r="AD237" s="18" t="str">
        <f>_xlfn.XLOOKUP(L237,'[1]2026 Mapping v3'!A:A,'[1]2026 Mapping v3'!C:C,"Error",0)</f>
        <v>Selestine Magayu</v>
      </c>
      <c r="AE237" s="18" t="str">
        <f>_xlfn.XLOOKUP(L237,'[1]2026 Mapping v3'!A:A,'[1]2026 Mapping v3'!D:D,"Error",0)</f>
        <v>Eric Njiru</v>
      </c>
      <c r="AF237" s="18" t="str">
        <f>_xlfn.XLOOKUP(L237,'[1]2026 Mapping v3'!A:A,'[1]2026 Mapping v3'!E:E,"Error",0)</f>
        <v>Eric Njiru</v>
      </c>
      <c r="AS237" s="24">
        <v>10557</v>
      </c>
      <c r="AT237" s="24"/>
      <c r="AU237" s="24"/>
      <c r="AV237" s="24"/>
      <c r="AX237" s="29"/>
      <c r="BE237" s="24">
        <v>10557</v>
      </c>
    </row>
    <row r="238" spans="1:57">
      <c r="A238" s="18" t="s">
        <v>128</v>
      </c>
      <c r="B238" s="19">
        <v>27196957</v>
      </c>
      <c r="C238" s="20">
        <v>46052</v>
      </c>
      <c r="D238" s="18" t="s">
        <v>58</v>
      </c>
      <c r="E238" s="18" t="s">
        <v>59</v>
      </c>
      <c r="F238" s="18" t="s">
        <v>60</v>
      </c>
      <c r="G238" s="18">
        <v>4825</v>
      </c>
      <c r="H238" s="18">
        <f>_xlfn.XLOOKUP(L238,'[1]2026 Mapping v3'!A:A,'[1]2026 Mapping v3'!F:F,0,0)</f>
        <v>0</v>
      </c>
      <c r="I238" s="18" t="b">
        <v>0</v>
      </c>
      <c r="J238" s="18" t="s">
        <v>740</v>
      </c>
      <c r="K238" s="21" t="s">
        <v>1261</v>
      </c>
      <c r="L238" s="18" t="str">
        <f t="shared" ref="L238:L239" si="15">Y238</f>
        <v>HISA0010</v>
      </c>
      <c r="M238" s="18" t="s">
        <v>98</v>
      </c>
      <c r="N238" s="18" t="s">
        <v>64</v>
      </c>
      <c r="O238" s="18" t="s">
        <v>741</v>
      </c>
      <c r="Q238" s="23" t="s">
        <v>80</v>
      </c>
      <c r="R238" s="23">
        <v>5</v>
      </c>
      <c r="S238" s="24">
        <v>7000000</v>
      </c>
      <c r="T238" s="28">
        <v>1001294</v>
      </c>
      <c r="U238" s="18" t="s">
        <v>67</v>
      </c>
      <c r="V238" s="18" t="s">
        <v>68</v>
      </c>
      <c r="W238" s="18" t="s">
        <v>69</v>
      </c>
      <c r="X238" s="20">
        <v>46051</v>
      </c>
      <c r="Y238" s="18" t="s">
        <v>742</v>
      </c>
      <c r="Z238" s="18" t="str">
        <f>_xlfn.XLOOKUP(Y238,'[1]Data Source'!A:A,'[1]Data Source'!E:E,"N/A",0)</f>
        <v>ALAK</v>
      </c>
      <c r="AA238" s="18" t="s">
        <v>743</v>
      </c>
      <c r="AB238" s="18" t="str">
        <f t="shared" ref="AB238:AB239" si="16">Y238</f>
        <v>HISA0010</v>
      </c>
      <c r="AC238" s="18" t="s">
        <v>124</v>
      </c>
      <c r="AD238" s="18" t="s">
        <v>123</v>
      </c>
      <c r="AE238" s="18" t="s">
        <v>87</v>
      </c>
      <c r="AF238" s="18" t="s">
        <v>87</v>
      </c>
      <c r="AS238" s="24">
        <v>1001294</v>
      </c>
      <c r="AT238" s="24"/>
      <c r="AU238" s="24"/>
      <c r="AV238" s="24"/>
      <c r="AX238" s="29"/>
      <c r="BE238" s="24">
        <v>1001294</v>
      </c>
    </row>
    <row r="239" spans="1:57">
      <c r="A239" s="18" t="s">
        <v>128</v>
      </c>
      <c r="B239" s="19">
        <v>27196957</v>
      </c>
      <c r="C239" s="20">
        <v>46052</v>
      </c>
      <c r="D239" s="18" t="s">
        <v>58</v>
      </c>
      <c r="E239" s="18" t="s">
        <v>59</v>
      </c>
      <c r="F239" s="18" t="s">
        <v>60</v>
      </c>
      <c r="G239" s="18">
        <v>4822</v>
      </c>
      <c r="H239" s="18">
        <f>_xlfn.XLOOKUP(L239,'[1]2026 Mapping v3'!A:A,'[1]2026 Mapping v3'!F:F,0,0)</f>
        <v>12</v>
      </c>
      <c r="I239" s="18" t="b">
        <v>0</v>
      </c>
      <c r="J239" s="18" t="s">
        <v>649</v>
      </c>
      <c r="K239" s="21" t="s">
        <v>1262</v>
      </c>
      <c r="L239" s="18" t="str">
        <f t="shared" si="15"/>
        <v>HISA001</v>
      </c>
      <c r="M239" s="18" t="s">
        <v>63</v>
      </c>
      <c r="N239" s="18" t="s">
        <v>64</v>
      </c>
      <c r="O239" s="18" t="s">
        <v>744</v>
      </c>
      <c r="Q239" s="23" t="s">
        <v>80</v>
      </c>
      <c r="R239" s="23">
        <v>10</v>
      </c>
      <c r="S239" s="24">
        <v>6646192</v>
      </c>
      <c r="T239" s="28">
        <v>50111</v>
      </c>
      <c r="U239" s="18" t="s">
        <v>67</v>
      </c>
      <c r="V239" s="18" t="s">
        <v>110</v>
      </c>
      <c r="W239" s="18" t="s">
        <v>69</v>
      </c>
      <c r="X239" s="20">
        <v>46073</v>
      </c>
      <c r="Y239" s="18" t="s">
        <v>131</v>
      </c>
      <c r="Z239" s="18" t="str">
        <f>_xlfn.XLOOKUP(Y239,'[1]Data Source'!A:A,'[1]Data Source'!E:E,"N/A",0)</f>
        <v>ALAK</v>
      </c>
      <c r="AA239" s="18" t="s">
        <v>132</v>
      </c>
      <c r="AB239" s="18" t="str">
        <f t="shared" si="16"/>
        <v>HISA001</v>
      </c>
      <c r="AC239" s="18" t="str">
        <f>_xlfn.XLOOKUP(L239,'[1]2026 Mapping v3'!A:A,'[1]2026 Mapping v3'!B:B,"Error",0)</f>
        <v>Alternative Channels</v>
      </c>
      <c r="AD239" s="18" t="str">
        <f>_xlfn.XLOOKUP(L239,'[1]2026 Mapping v3'!A:A,'[1]2026 Mapping v3'!C:C,"Error",0)</f>
        <v>Eric Njiru</v>
      </c>
      <c r="AE239" s="18" t="str">
        <f>_xlfn.XLOOKUP(L239,'[1]2026 Mapping v3'!A:A,'[1]2026 Mapping v3'!D:D,"Error",0)</f>
        <v>Eric Njiru</v>
      </c>
      <c r="AF239" s="18" t="str">
        <f>_xlfn.XLOOKUP(L239,'[1]2026 Mapping v3'!A:A,'[1]2026 Mapping v3'!E:E,"Error",0)</f>
        <v>Eric Njiru</v>
      </c>
      <c r="AS239" s="24">
        <v>50111</v>
      </c>
      <c r="AT239" s="24"/>
      <c r="AU239" s="24"/>
      <c r="AV239" s="24"/>
      <c r="AX239" s="29"/>
      <c r="BE239" s="24">
        <v>50111</v>
      </c>
    </row>
    <row r="240" spans="1:57">
      <c r="A240" s="18" t="s">
        <v>113</v>
      </c>
      <c r="B240" s="19">
        <v>27196957</v>
      </c>
      <c r="C240" s="20">
        <v>46052</v>
      </c>
      <c r="D240" s="18" t="s">
        <v>58</v>
      </c>
      <c r="E240" s="18" t="s">
        <v>59</v>
      </c>
      <c r="F240" s="18" t="s">
        <v>60</v>
      </c>
      <c r="G240" s="18">
        <v>17982</v>
      </c>
      <c r="H240" s="18">
        <f>_xlfn.XLOOKUP(L240,'[1]2026 Mapping v3'!A:A,'[1]2026 Mapping v3'!F:F,0,0)</f>
        <v>95</v>
      </c>
      <c r="I240" s="18" t="b">
        <v>0</v>
      </c>
      <c r="J240" s="18" t="s">
        <v>200</v>
      </c>
      <c r="K240" s="21" t="s">
        <v>1263</v>
      </c>
      <c r="L240" s="18" t="s">
        <v>745</v>
      </c>
      <c r="M240" s="18" t="s">
        <v>98</v>
      </c>
      <c r="N240" s="18" t="s">
        <v>64</v>
      </c>
      <c r="Q240" s="23" t="s">
        <v>66</v>
      </c>
      <c r="R240" s="23">
        <v>20</v>
      </c>
      <c r="S240" s="24">
        <v>1866974</v>
      </c>
      <c r="T240" s="28">
        <v>500000</v>
      </c>
      <c r="U240" s="18" t="s">
        <v>67</v>
      </c>
      <c r="V240" s="18" t="s">
        <v>158</v>
      </c>
      <c r="W240" s="18" t="s">
        <v>69</v>
      </c>
      <c r="X240" s="20">
        <v>46052</v>
      </c>
      <c r="Y240" s="18" t="s">
        <v>746</v>
      </c>
      <c r="Z240" s="18" t="str">
        <f>_xlfn.XLOOKUP(Y240,'[1]Data Source'!A:A,'[1]Data Source'!E:E,"N/A",0)</f>
        <v>ALAK</v>
      </c>
      <c r="AA240" s="18" t="s">
        <v>747</v>
      </c>
      <c r="AB240" s="18" t="s">
        <v>745</v>
      </c>
      <c r="AC240" s="18" t="str">
        <f>_xlfn.XLOOKUP(L240,'[1]2026 Mapping v3'!A:A,'[1]2026 Mapping v3'!B:B,"Error",0)</f>
        <v>Rift Valley</v>
      </c>
      <c r="AD240" s="18" t="str">
        <f>_xlfn.XLOOKUP(L240,'[1]2026 Mapping v3'!A:A,'[1]2026 Mapping v3'!C:C,"Error",0)</f>
        <v>Jane Nduta</v>
      </c>
      <c r="AE240" s="18" t="str">
        <f>_xlfn.XLOOKUP(L240,'[1]2026 Mapping v3'!A:A,'[1]2026 Mapping v3'!D:D,"Error",0)</f>
        <v>Emily Jepchirchir</v>
      </c>
      <c r="AF240" s="18" t="str">
        <f>_xlfn.XLOOKUP(L240,'[1]2026 Mapping v3'!A:A,'[1]2026 Mapping v3'!E:E,"Error",0)</f>
        <v>Emily Jepchirchir</v>
      </c>
      <c r="AS240" s="24">
        <v>500000</v>
      </c>
      <c r="AT240" s="24"/>
      <c r="AU240" s="24"/>
      <c r="AV240" s="24"/>
      <c r="AX240" s="29"/>
      <c r="BE240" s="24">
        <v>500000</v>
      </c>
    </row>
    <row r="241" spans="1:57">
      <c r="A241" s="18" t="s">
        <v>57</v>
      </c>
      <c r="B241" s="19">
        <v>27196957</v>
      </c>
      <c r="C241" s="20">
        <v>46053</v>
      </c>
      <c r="D241" s="18" t="s">
        <v>58</v>
      </c>
      <c r="E241" s="18" t="s">
        <v>59</v>
      </c>
      <c r="F241" s="18" t="s">
        <v>60</v>
      </c>
      <c r="G241" s="18">
        <v>18214</v>
      </c>
      <c r="H241" s="18">
        <f>_xlfn.XLOOKUP(L241,'[1]2026 Mapping v3'!A:A,'[1]2026 Mapping v3'!F:F,0,0)</f>
        <v>32</v>
      </c>
      <c r="I241" s="18" t="b">
        <v>0</v>
      </c>
      <c r="J241" s="18" t="s">
        <v>204</v>
      </c>
      <c r="K241" s="21" t="s">
        <v>1264</v>
      </c>
      <c r="L241" s="18" t="s">
        <v>572</v>
      </c>
      <c r="M241" s="18" t="s">
        <v>98</v>
      </c>
      <c r="N241" s="18" t="s">
        <v>64</v>
      </c>
      <c r="O241" s="18" t="s">
        <v>748</v>
      </c>
      <c r="Q241" s="23" t="s">
        <v>66</v>
      </c>
      <c r="R241" s="23">
        <v>5</v>
      </c>
      <c r="S241" s="24">
        <v>10000000</v>
      </c>
      <c r="T241" s="28">
        <v>1430272</v>
      </c>
      <c r="U241" s="18" t="s">
        <v>67</v>
      </c>
      <c r="V241" s="18" t="s">
        <v>68</v>
      </c>
      <c r="W241" s="18" t="s">
        <v>69</v>
      </c>
      <c r="X241" s="20">
        <v>46052</v>
      </c>
      <c r="Y241" s="18" t="s">
        <v>613</v>
      </c>
      <c r="Z241" s="18" t="str">
        <f>_xlfn.XLOOKUP(Y241,'[1]Data Source'!A:A,'[1]Data Source'!E:E,"N/A",0)</f>
        <v>LG</v>
      </c>
      <c r="AA241" s="18" t="s">
        <v>552</v>
      </c>
      <c r="AB241" s="18" t="s">
        <v>572</v>
      </c>
      <c r="AC241" s="18" t="str">
        <f>_xlfn.XLOOKUP(L241,'[1]2026 Mapping v3'!A:A,'[1]2026 Mapping v3'!B:B,"Error",0)</f>
        <v>Nairobi West</v>
      </c>
      <c r="AD241" s="18" t="str">
        <f>_xlfn.XLOOKUP(L241,'[1]2026 Mapping v3'!A:A,'[1]2026 Mapping v3'!C:C,"Error",0)</f>
        <v>Valentine Musyoka</v>
      </c>
      <c r="AE241" s="18" t="str">
        <f>_xlfn.XLOOKUP(L241,'[1]2026 Mapping v3'!A:A,'[1]2026 Mapping v3'!D:D,"Error",0)</f>
        <v>Ancetar Mulili</v>
      </c>
      <c r="AF241" s="18" t="str">
        <f>_xlfn.XLOOKUP(L241,'[1]2026 Mapping v3'!A:A,'[1]2026 Mapping v3'!E:E,"Error",0)</f>
        <v>Bilha Wachira</v>
      </c>
      <c r="AS241" s="24">
        <v>1430272</v>
      </c>
      <c r="AT241" s="24"/>
      <c r="AU241" s="24"/>
      <c r="AV241" s="24"/>
      <c r="AX241" s="29"/>
      <c r="BE241" s="24">
        <v>1430272</v>
      </c>
    </row>
    <row r="242" spans="1:57">
      <c r="A242" s="18" t="s">
        <v>57</v>
      </c>
      <c r="B242" s="19">
        <v>27196957</v>
      </c>
      <c r="C242" s="20">
        <v>46053</v>
      </c>
      <c r="D242" s="18" t="s">
        <v>58</v>
      </c>
      <c r="E242" s="18" t="s">
        <v>59</v>
      </c>
      <c r="F242" s="18" t="s">
        <v>60</v>
      </c>
      <c r="G242" s="18">
        <v>15291</v>
      </c>
      <c r="H242" s="18">
        <f>_xlfn.XLOOKUP(L242,'[1]2026 Mapping v3'!A:A,'[1]2026 Mapping v3'!F:F,0,0)</f>
        <v>71</v>
      </c>
      <c r="I242" s="18" t="b">
        <v>0</v>
      </c>
      <c r="J242" s="18" t="s">
        <v>749</v>
      </c>
      <c r="K242" s="21" t="s">
        <v>1265</v>
      </c>
      <c r="L242" s="18" t="s">
        <v>89</v>
      </c>
      <c r="M242" s="18" t="s">
        <v>98</v>
      </c>
      <c r="N242" s="18" t="s">
        <v>64</v>
      </c>
      <c r="O242" s="18" t="s">
        <v>750</v>
      </c>
      <c r="Q242" s="23" t="s">
        <v>80</v>
      </c>
      <c r="R242" s="23">
        <v>5</v>
      </c>
      <c r="S242" s="24">
        <v>4410440</v>
      </c>
      <c r="T242" s="28">
        <v>700007</v>
      </c>
      <c r="V242" s="18" t="s">
        <v>68</v>
      </c>
      <c r="W242" s="18" t="s">
        <v>69</v>
      </c>
      <c r="X242" s="20">
        <v>46052</v>
      </c>
      <c r="Z242" s="18" t="str">
        <f>_xlfn.XLOOKUP(Y242,'[1]Data Source'!A:A,'[1]Data Source'!E:E,"N/A",0)</f>
        <v>ALAK</v>
      </c>
      <c r="AA242" s="18">
        <v>0</v>
      </c>
      <c r="AB242" s="18" t="s">
        <v>89</v>
      </c>
      <c r="AC242" s="18" t="str">
        <f>_xlfn.XLOOKUP(L242,'[1]2026 Mapping v3'!A:A,'[1]2026 Mapping v3'!B:B,"Error",0)</f>
        <v>Queensway</v>
      </c>
      <c r="AD242" s="18" t="str">
        <f>_xlfn.XLOOKUP(L242,'[1]2026 Mapping v3'!A:A,'[1]2026 Mapping v3'!C:C,"Error",0)</f>
        <v>Nina Kifani</v>
      </c>
      <c r="AE242" s="18" t="str">
        <f>_xlfn.XLOOKUP(L242,'[1]2026 Mapping v3'!A:A,'[1]2026 Mapping v3'!D:D,"Error",0)</f>
        <v>Nina Kifani</v>
      </c>
      <c r="AF242" s="18" t="str">
        <f>_xlfn.XLOOKUP(L242,'[1]2026 Mapping v3'!A:A,'[1]2026 Mapping v3'!E:E,"Error",0)</f>
        <v>Bilha Wachira</v>
      </c>
      <c r="AS242" s="24">
        <v>700007</v>
      </c>
      <c r="AT242" s="24"/>
      <c r="AU242" s="24"/>
      <c r="AV242" s="24"/>
      <c r="AX242" s="29"/>
      <c r="BE242" s="24">
        <v>700007</v>
      </c>
    </row>
    <row r="243" spans="1:57">
      <c r="A243" s="18" t="s">
        <v>57</v>
      </c>
      <c r="B243" s="19">
        <v>27196957</v>
      </c>
      <c r="C243" s="20">
        <v>46053</v>
      </c>
      <c r="D243" s="18" t="s">
        <v>58</v>
      </c>
      <c r="E243" s="18" t="s">
        <v>59</v>
      </c>
      <c r="F243" s="18" t="s">
        <v>60</v>
      </c>
      <c r="G243" s="18">
        <v>15273</v>
      </c>
      <c r="H243" s="18">
        <f>_xlfn.XLOOKUP(L243,'[1]2026 Mapping v3'!A:A,'[1]2026 Mapping v3'!F:F,0,0)</f>
        <v>87</v>
      </c>
      <c r="I243" s="18" t="b">
        <v>0</v>
      </c>
      <c r="J243" s="18" t="s">
        <v>279</v>
      </c>
      <c r="K243" s="21" t="s">
        <v>1266</v>
      </c>
      <c r="L243" s="18" t="s">
        <v>625</v>
      </c>
      <c r="M243" s="18" t="s">
        <v>98</v>
      </c>
      <c r="N243" s="18" t="s">
        <v>64</v>
      </c>
      <c r="O243" s="18" t="s">
        <v>751</v>
      </c>
      <c r="Q243" s="23" t="s">
        <v>66</v>
      </c>
      <c r="R243" s="23">
        <v>10</v>
      </c>
      <c r="S243" s="24">
        <v>1000000</v>
      </c>
      <c r="T243" s="28">
        <v>7524</v>
      </c>
      <c r="U243" s="18" t="s">
        <v>67</v>
      </c>
      <c r="V243" s="18" t="s">
        <v>110</v>
      </c>
      <c r="W243" s="18" t="s">
        <v>69</v>
      </c>
      <c r="X243" s="20">
        <v>46052</v>
      </c>
      <c r="Y243" s="18" t="s">
        <v>692</v>
      </c>
      <c r="Z243" s="18" t="str">
        <f>_xlfn.XLOOKUP(Y243,'[1]Data Source'!A:A,'[1]Data Source'!E:E,"N/A",0)</f>
        <v>LG</v>
      </c>
      <c r="AA243" s="18" t="s">
        <v>693</v>
      </c>
      <c r="AB243" s="18" t="s">
        <v>625</v>
      </c>
      <c r="AC243" s="18" t="str">
        <f>_xlfn.XLOOKUP(L243,'[1]2026 Mapping v3'!A:A,'[1]2026 Mapping v3'!B:B,"Error",0)</f>
        <v>Nairobi East</v>
      </c>
      <c r="AD243" s="18" t="str">
        <f>_xlfn.XLOOKUP(L243,'[1]2026 Mapping v3'!A:A,'[1]2026 Mapping v3'!C:C,"Error",0)</f>
        <v>Charles Gicho</v>
      </c>
      <c r="AE243" s="18" t="str">
        <f>_xlfn.XLOOKUP(L243,'[1]2026 Mapping v3'!A:A,'[1]2026 Mapping v3'!D:D,"Error",0)</f>
        <v>Julius Mugane</v>
      </c>
      <c r="AF243" s="18" t="str">
        <f>_xlfn.XLOOKUP(L243,'[1]2026 Mapping v3'!A:A,'[1]2026 Mapping v3'!E:E,"Error",0)</f>
        <v>Debrah Rashid</v>
      </c>
      <c r="AS243" s="24">
        <v>7524</v>
      </c>
      <c r="AT243" s="24"/>
      <c r="AU243" s="24"/>
      <c r="AV243" s="24"/>
      <c r="AX243" s="29"/>
      <c r="BE243" s="24">
        <v>7524</v>
      </c>
    </row>
    <row r="244" spans="1:57">
      <c r="A244" s="18" t="s">
        <v>57</v>
      </c>
      <c r="B244" s="19">
        <v>27196957</v>
      </c>
      <c r="C244" s="20">
        <v>46053</v>
      </c>
      <c r="D244" s="18" t="s">
        <v>58</v>
      </c>
      <c r="E244" s="18" t="s">
        <v>59</v>
      </c>
      <c r="F244" s="18" t="s">
        <v>60</v>
      </c>
      <c r="G244" s="18">
        <v>15274</v>
      </c>
      <c r="H244" s="18">
        <f>_xlfn.XLOOKUP(L244,'[1]2026 Mapping v3'!A:A,'[1]2026 Mapping v3'!F:F,0,0)</f>
        <v>87</v>
      </c>
      <c r="I244" s="18" t="b">
        <v>0</v>
      </c>
      <c r="J244" s="18" t="s">
        <v>279</v>
      </c>
      <c r="K244" s="21" t="s">
        <v>1267</v>
      </c>
      <c r="L244" s="18" t="s">
        <v>625</v>
      </c>
      <c r="M244" s="18" t="s">
        <v>98</v>
      </c>
      <c r="N244" s="18" t="s">
        <v>64</v>
      </c>
      <c r="O244" s="18" t="s">
        <v>752</v>
      </c>
      <c r="Q244" s="23" t="s">
        <v>66</v>
      </c>
      <c r="R244" s="23">
        <v>5</v>
      </c>
      <c r="S244" s="24">
        <v>1000000</v>
      </c>
      <c r="T244" s="28">
        <v>12986</v>
      </c>
      <c r="U244" s="18" t="s">
        <v>67</v>
      </c>
      <c r="V244" s="18" t="s">
        <v>110</v>
      </c>
      <c r="W244" s="18" t="s">
        <v>69</v>
      </c>
      <c r="X244" s="20">
        <v>46046</v>
      </c>
      <c r="Y244" s="18" t="s">
        <v>692</v>
      </c>
      <c r="Z244" s="18" t="str">
        <f>_xlfn.XLOOKUP(Y244,'[1]Data Source'!A:A,'[1]Data Source'!E:E,"N/A",0)</f>
        <v>LG</v>
      </c>
      <c r="AA244" s="18" t="s">
        <v>693</v>
      </c>
      <c r="AB244" s="18" t="s">
        <v>625</v>
      </c>
      <c r="AC244" s="18" t="str">
        <f>_xlfn.XLOOKUP(L244,'[1]2026 Mapping v3'!A:A,'[1]2026 Mapping v3'!B:B,"Error",0)</f>
        <v>Nairobi East</v>
      </c>
      <c r="AD244" s="18" t="str">
        <f>_xlfn.XLOOKUP(L244,'[1]2026 Mapping v3'!A:A,'[1]2026 Mapping v3'!C:C,"Error",0)</f>
        <v>Charles Gicho</v>
      </c>
      <c r="AE244" s="18" t="str">
        <f>_xlfn.XLOOKUP(L244,'[1]2026 Mapping v3'!A:A,'[1]2026 Mapping v3'!D:D,"Error",0)</f>
        <v>Julius Mugane</v>
      </c>
      <c r="AF244" s="18" t="str">
        <f>_xlfn.XLOOKUP(L244,'[1]2026 Mapping v3'!A:A,'[1]2026 Mapping v3'!E:E,"Error",0)</f>
        <v>Debrah Rashid</v>
      </c>
      <c r="AS244" s="24">
        <v>12986</v>
      </c>
      <c r="AT244" s="24"/>
      <c r="AU244" s="24"/>
      <c r="AV244" s="24"/>
      <c r="AX244" s="29"/>
      <c r="BE244" s="24">
        <v>12986</v>
      </c>
    </row>
    <row r="245" spans="1:57">
      <c r="A245" s="18" t="s">
        <v>57</v>
      </c>
      <c r="B245" s="19">
        <v>27196957</v>
      </c>
      <c r="C245" s="20">
        <v>46053</v>
      </c>
      <c r="D245" s="18" t="s">
        <v>58</v>
      </c>
      <c r="E245" s="18" t="s">
        <v>59</v>
      </c>
      <c r="F245" s="18" t="s">
        <v>60</v>
      </c>
      <c r="G245" s="18">
        <v>12821</v>
      </c>
      <c r="H245" s="18">
        <f>_xlfn.XLOOKUP(L245,'[1]2026 Mapping v3'!A:A,'[1]2026 Mapping v3'!F:F,0,0)</f>
        <v>15</v>
      </c>
      <c r="I245" s="18" t="b">
        <v>0</v>
      </c>
      <c r="J245" s="18" t="s">
        <v>114</v>
      </c>
      <c r="K245" s="21" t="s">
        <v>1268</v>
      </c>
      <c r="L245" s="18" t="s">
        <v>517</v>
      </c>
      <c r="M245" s="18" t="s">
        <v>98</v>
      </c>
      <c r="N245" s="18" t="s">
        <v>64</v>
      </c>
      <c r="O245" s="18" t="s">
        <v>753</v>
      </c>
      <c r="Q245" s="23" t="s">
        <v>80</v>
      </c>
      <c r="R245" s="23">
        <v>5</v>
      </c>
      <c r="S245" s="24">
        <v>1120112</v>
      </c>
      <c r="T245" s="28">
        <v>160006</v>
      </c>
      <c r="U245" s="18" t="s">
        <v>67</v>
      </c>
      <c r="V245" s="18" t="s">
        <v>68</v>
      </c>
      <c r="W245" s="18" t="s">
        <v>69</v>
      </c>
      <c r="X245" s="20">
        <v>46052</v>
      </c>
      <c r="Y245" s="18" t="s">
        <v>754</v>
      </c>
      <c r="Z245" s="18" t="str">
        <f>_xlfn.XLOOKUP(Y245,'[1]Data Source'!A:A,'[1]Data Source'!E:E,"N/A",0)</f>
        <v>N/A</v>
      </c>
      <c r="AA245" s="18" t="s">
        <v>101</v>
      </c>
      <c r="AB245" s="18" t="s">
        <v>517</v>
      </c>
      <c r="AC245" s="18" t="str">
        <f>_xlfn.XLOOKUP(L245,'[1]2026 Mapping v3'!A:A,'[1]2026 Mapping v3'!B:B,"Error",0)</f>
        <v>Mt. Kenya</v>
      </c>
      <c r="AD245" s="18" t="str">
        <f>_xlfn.XLOOKUP(L245,'[1]2026 Mapping v3'!A:A,'[1]2026 Mapping v3'!C:C,"Error",0)</f>
        <v>Teresa Maina</v>
      </c>
      <c r="AE245" s="18" t="str">
        <f>_xlfn.XLOOKUP(L245,'[1]2026 Mapping v3'!A:A,'[1]2026 Mapping v3'!D:D,"Error",0)</f>
        <v>Paul Kithuka</v>
      </c>
      <c r="AF245" s="18" t="str">
        <f>_xlfn.XLOOKUP(L245,'[1]2026 Mapping v3'!A:A,'[1]2026 Mapping v3'!E:E,"Error",0)</f>
        <v>Simon Maingi</v>
      </c>
      <c r="AS245" s="24">
        <v>160006</v>
      </c>
      <c r="AT245" s="24"/>
      <c r="AU245" s="24"/>
      <c r="AV245" s="24"/>
      <c r="AX245" s="29"/>
      <c r="BE245" s="24">
        <v>160006</v>
      </c>
    </row>
    <row r="246" spans="1:57">
      <c r="A246" s="18" t="s">
        <v>57</v>
      </c>
      <c r="B246" s="19">
        <v>27196957</v>
      </c>
      <c r="C246" s="20">
        <v>46053</v>
      </c>
      <c r="D246" s="18" t="s">
        <v>58</v>
      </c>
      <c r="E246" s="18" t="s">
        <v>59</v>
      </c>
      <c r="F246" s="18" t="s">
        <v>60</v>
      </c>
      <c r="G246" s="18">
        <v>17266</v>
      </c>
      <c r="H246" s="18">
        <f>_xlfn.XLOOKUP(L246,'[1]2026 Mapping v3'!A:A,'[1]2026 Mapping v3'!F:F,0,0)</f>
        <v>105</v>
      </c>
      <c r="I246" s="18" t="b">
        <v>0</v>
      </c>
      <c r="J246" s="18" t="s">
        <v>198</v>
      </c>
      <c r="K246" s="21" t="s">
        <v>1269</v>
      </c>
      <c r="L246" s="18" t="s">
        <v>427</v>
      </c>
      <c r="M246" s="18" t="s">
        <v>98</v>
      </c>
      <c r="N246" s="18" t="s">
        <v>64</v>
      </c>
      <c r="O246" s="18" t="s">
        <v>755</v>
      </c>
      <c r="Q246" s="23" t="s">
        <v>80</v>
      </c>
      <c r="R246" s="23">
        <v>5</v>
      </c>
      <c r="S246" s="24">
        <v>10000000</v>
      </c>
      <c r="T246" s="28">
        <v>1588980</v>
      </c>
      <c r="U246" s="18" t="s">
        <v>67</v>
      </c>
      <c r="V246" s="18" t="s">
        <v>68</v>
      </c>
      <c r="W246" s="18" t="s">
        <v>69</v>
      </c>
      <c r="X246" s="20">
        <v>46042</v>
      </c>
      <c r="Y246" s="18" t="s">
        <v>429</v>
      </c>
      <c r="Z246" s="18" t="str">
        <f>_xlfn.XLOOKUP(Y246,'[1]Data Source'!A:A,'[1]Data Source'!E:E,"N/A",0)</f>
        <v>RM</v>
      </c>
      <c r="AA246" s="18" t="s">
        <v>430</v>
      </c>
      <c r="AB246" s="18" t="s">
        <v>427</v>
      </c>
      <c r="AC246" s="18" t="str">
        <f>_xlfn.XLOOKUP(L246,'[1]2026 Mapping v3'!A:A,'[1]2026 Mapping v3'!B:B,"Error",0)</f>
        <v>Premier</v>
      </c>
      <c r="AD246" s="18" t="str">
        <f>_xlfn.XLOOKUP(L246,'[1]2026 Mapping v3'!A:A,'[1]2026 Mapping v3'!C:C,"Error",0)</f>
        <v>Joseph Kairu</v>
      </c>
      <c r="AE246" s="18" t="str">
        <f>_xlfn.XLOOKUP(L246,'[1]2026 Mapping v3'!A:A,'[1]2026 Mapping v3'!D:D,"Error",0)</f>
        <v>Joseph Kairu</v>
      </c>
      <c r="AF246" s="18" t="str">
        <f>_xlfn.XLOOKUP(L246,'[1]2026 Mapping v3'!A:A,'[1]2026 Mapping v3'!E:E,"Error",0)</f>
        <v>Debrah Rashid</v>
      </c>
      <c r="AS246" s="24">
        <v>1588980</v>
      </c>
      <c r="AT246" s="24"/>
      <c r="AU246" s="24"/>
      <c r="AV246" s="24"/>
      <c r="AX246" s="29"/>
      <c r="BE246" s="24">
        <v>1588980</v>
      </c>
    </row>
    <row r="247" spans="1:57">
      <c r="A247" s="18" t="s">
        <v>57</v>
      </c>
      <c r="B247" s="19">
        <v>27196957</v>
      </c>
      <c r="C247" s="20">
        <v>46053</v>
      </c>
      <c r="D247" s="18" t="s">
        <v>58</v>
      </c>
      <c r="E247" s="18" t="s">
        <v>59</v>
      </c>
      <c r="F247" s="18" t="s">
        <v>60</v>
      </c>
      <c r="G247" s="18">
        <v>11212</v>
      </c>
      <c r="H247" s="18">
        <f>_xlfn.XLOOKUP(L247,'[1]2026 Mapping v3'!A:A,'[1]2026 Mapping v3'!F:F,0,0)</f>
        <v>80</v>
      </c>
      <c r="I247" s="18" t="b">
        <v>0</v>
      </c>
      <c r="J247" s="18" t="s">
        <v>607</v>
      </c>
      <c r="K247" s="21" t="s">
        <v>1270</v>
      </c>
      <c r="L247" s="18" t="s">
        <v>566</v>
      </c>
      <c r="M247" s="18" t="s">
        <v>98</v>
      </c>
      <c r="N247" s="18" t="s">
        <v>64</v>
      </c>
      <c r="O247" s="18" t="s">
        <v>756</v>
      </c>
      <c r="Q247" s="23" t="s">
        <v>66</v>
      </c>
      <c r="R247" s="23">
        <v>5</v>
      </c>
      <c r="S247" s="24">
        <v>2800000</v>
      </c>
      <c r="T247" s="28">
        <v>400474</v>
      </c>
      <c r="U247" s="18" t="s">
        <v>67</v>
      </c>
      <c r="V247" s="18" t="s">
        <v>68</v>
      </c>
      <c r="W247" s="18" t="s">
        <v>69</v>
      </c>
      <c r="X247" s="20">
        <v>46046</v>
      </c>
      <c r="Z247" s="18" t="str">
        <f>_xlfn.XLOOKUP(Y247,'[1]Data Source'!A:A,'[1]Data Source'!E:E,"N/A",0)</f>
        <v>ALAK</v>
      </c>
      <c r="AA247" s="18" t="s">
        <v>101</v>
      </c>
      <c r="AB247" s="18" t="s">
        <v>570</v>
      </c>
      <c r="AC247" s="18" t="str">
        <f>_xlfn.XLOOKUP(L247,'[1]2026 Mapping v3'!A:A,'[1]2026 Mapping v3'!B:B,"Error",0)</f>
        <v>Nairobi East</v>
      </c>
      <c r="AD247" s="18" t="str">
        <f>_xlfn.XLOOKUP(L247,'[1]2026 Mapping v3'!A:A,'[1]2026 Mapping v3'!C:C,"Error",0)</f>
        <v>Julius Mugane</v>
      </c>
      <c r="AE247" s="18" t="str">
        <f>_xlfn.XLOOKUP(L247,'[1]2026 Mapping v3'!A:A,'[1]2026 Mapping v3'!D:D,"Error",0)</f>
        <v>Julius Mugane</v>
      </c>
      <c r="AF247" s="18" t="str">
        <f>_xlfn.XLOOKUP(L247,'[1]2026 Mapping v3'!A:A,'[1]2026 Mapping v3'!E:E,"Error",0)</f>
        <v>Debrah Rashid</v>
      </c>
      <c r="AS247" s="24">
        <v>400474</v>
      </c>
      <c r="AT247" s="24"/>
      <c r="AU247" s="24"/>
      <c r="AV247" s="24"/>
      <c r="AX247" s="29"/>
      <c r="BE247" s="24">
        <v>400474</v>
      </c>
    </row>
    <row r="248" spans="1:57">
      <c r="A248" s="18" t="s">
        <v>57</v>
      </c>
      <c r="B248" s="19">
        <v>27196957</v>
      </c>
      <c r="C248" s="20">
        <v>46053</v>
      </c>
      <c r="D248" s="18" t="s">
        <v>58</v>
      </c>
      <c r="E248" s="18" t="s">
        <v>59</v>
      </c>
      <c r="F248" s="18" t="s">
        <v>60</v>
      </c>
      <c r="G248" s="18">
        <v>13761</v>
      </c>
      <c r="H248" s="18">
        <f>_xlfn.XLOOKUP(L248,'[1]2026 Mapping v3'!A:A,'[1]2026 Mapping v3'!F:F,0,0)</f>
        <v>51</v>
      </c>
      <c r="I248" s="18" t="b">
        <v>0</v>
      </c>
      <c r="J248" s="18" t="s">
        <v>180</v>
      </c>
      <c r="K248" s="21" t="s">
        <v>1271</v>
      </c>
      <c r="L248" s="18" t="s">
        <v>501</v>
      </c>
      <c r="M248" s="18" t="s">
        <v>63</v>
      </c>
      <c r="N248" s="18" t="s">
        <v>64</v>
      </c>
      <c r="O248" s="18" t="s">
        <v>757</v>
      </c>
      <c r="Q248" s="23" t="s">
        <v>80</v>
      </c>
      <c r="R248" s="23">
        <v>18</v>
      </c>
      <c r="S248" s="24">
        <v>3787880</v>
      </c>
      <c r="T248" s="28">
        <v>150000</v>
      </c>
      <c r="U248" s="18" t="s">
        <v>67</v>
      </c>
      <c r="V248" s="18" t="s">
        <v>68</v>
      </c>
      <c r="W248" s="18" t="s">
        <v>69</v>
      </c>
      <c r="X248" s="20">
        <v>46052</v>
      </c>
      <c r="Y248" s="18" t="s">
        <v>503</v>
      </c>
      <c r="Z248" s="18" t="str">
        <f>_xlfn.XLOOKUP(Y248,'[1]Data Source'!A:A,'[1]Data Source'!E:E,"N/A",0)</f>
        <v>LG</v>
      </c>
      <c r="AA248" s="18" t="s">
        <v>504</v>
      </c>
      <c r="AB248" s="18" t="s">
        <v>501</v>
      </c>
      <c r="AC248" s="18" t="str">
        <f>_xlfn.XLOOKUP(L248,'[1]2026 Mapping v3'!A:A,'[1]2026 Mapping v3'!B:B,"Error",0)</f>
        <v>Mt. Kenya</v>
      </c>
      <c r="AD248" s="18" t="str">
        <f>_xlfn.XLOOKUP(L248,'[1]2026 Mapping v3'!A:A,'[1]2026 Mapping v3'!C:C,"Error",0)</f>
        <v>Morgan Mwangi</v>
      </c>
      <c r="AE248" s="18" t="str">
        <f>_xlfn.XLOOKUP(L248,'[1]2026 Mapping v3'!A:A,'[1]2026 Mapping v3'!D:D,"Error",0)</f>
        <v>Paul Kithuka</v>
      </c>
      <c r="AF248" s="18" t="str">
        <f>_xlfn.XLOOKUP(L248,'[1]2026 Mapping v3'!A:A,'[1]2026 Mapping v3'!E:E,"Error",0)</f>
        <v>Simon Maingi</v>
      </c>
      <c r="AS248" s="24">
        <v>150000</v>
      </c>
      <c r="AT248" s="24"/>
      <c r="AU248" s="24"/>
      <c r="AV248" s="24"/>
      <c r="AX248" s="29"/>
      <c r="BE248" s="24">
        <v>150000</v>
      </c>
    </row>
    <row r="249" spans="1:57">
      <c r="A249" s="18" t="s">
        <v>57</v>
      </c>
      <c r="B249" s="19">
        <v>27196957</v>
      </c>
      <c r="C249" s="20">
        <v>46053</v>
      </c>
      <c r="D249" s="18" t="s">
        <v>58</v>
      </c>
      <c r="E249" s="18" t="s">
        <v>59</v>
      </c>
      <c r="F249" s="18" t="s">
        <v>60</v>
      </c>
      <c r="G249" s="18">
        <v>2139</v>
      </c>
      <c r="H249" s="18">
        <f>_xlfn.XLOOKUP(L249,'[1]2026 Mapping v3'!A:A,'[1]2026 Mapping v3'!F:F,0,0)</f>
        <v>80</v>
      </c>
      <c r="I249" s="18" t="b">
        <v>0</v>
      </c>
      <c r="J249" s="18" t="s">
        <v>758</v>
      </c>
      <c r="K249" s="21" t="s">
        <v>1272</v>
      </c>
      <c r="L249" s="18" t="s">
        <v>566</v>
      </c>
      <c r="M249" s="18" t="s">
        <v>98</v>
      </c>
      <c r="N249" s="18" t="s">
        <v>64</v>
      </c>
      <c r="O249" s="18" t="s">
        <v>759</v>
      </c>
      <c r="Q249" s="23" t="s">
        <v>66</v>
      </c>
      <c r="R249" s="23">
        <v>5</v>
      </c>
      <c r="S249" s="24">
        <v>2000000</v>
      </c>
      <c r="T249" s="28">
        <v>286059</v>
      </c>
      <c r="U249" s="18" t="s">
        <v>67</v>
      </c>
      <c r="V249" s="18" t="s">
        <v>68</v>
      </c>
      <c r="W249" s="18" t="s">
        <v>69</v>
      </c>
      <c r="X249" s="20">
        <v>46046</v>
      </c>
      <c r="Y249" s="18" t="s">
        <v>568</v>
      </c>
      <c r="Z249" s="18" t="str">
        <f>_xlfn.XLOOKUP(Y249,'[1]Data Source'!A:A,'[1]Data Source'!E:E,"N/A",0)</f>
        <v>UB</v>
      </c>
      <c r="AA249" s="18" t="s">
        <v>569</v>
      </c>
      <c r="AB249" s="18" t="s">
        <v>570</v>
      </c>
      <c r="AC249" s="18" t="str">
        <f>_xlfn.XLOOKUP(L249,'[1]2026 Mapping v3'!A:A,'[1]2026 Mapping v3'!B:B,"Error",0)</f>
        <v>Nairobi East</v>
      </c>
      <c r="AD249" s="18" t="str">
        <f>_xlfn.XLOOKUP(L249,'[1]2026 Mapping v3'!A:A,'[1]2026 Mapping v3'!C:C,"Error",0)</f>
        <v>Julius Mugane</v>
      </c>
      <c r="AE249" s="18" t="str">
        <f>_xlfn.XLOOKUP(L249,'[1]2026 Mapping v3'!A:A,'[1]2026 Mapping v3'!D:D,"Error",0)</f>
        <v>Julius Mugane</v>
      </c>
      <c r="AF249" s="18" t="str">
        <f>_xlfn.XLOOKUP(L249,'[1]2026 Mapping v3'!A:A,'[1]2026 Mapping v3'!E:E,"Error",0)</f>
        <v>Debrah Rashid</v>
      </c>
      <c r="AS249" s="24">
        <v>286059</v>
      </c>
      <c r="AT249" s="24"/>
      <c r="AU249" s="24"/>
      <c r="AV249" s="24"/>
      <c r="AX249" s="29"/>
      <c r="BE249" s="24">
        <v>286059</v>
      </c>
    </row>
    <row r="250" spans="1:57">
      <c r="A250" s="18" t="s">
        <v>57</v>
      </c>
      <c r="B250" s="19">
        <v>27196957</v>
      </c>
      <c r="C250" s="20">
        <v>46053</v>
      </c>
      <c r="D250" s="18" t="s">
        <v>58</v>
      </c>
      <c r="E250" s="18" t="s">
        <v>59</v>
      </c>
      <c r="F250" s="18" t="s">
        <v>60</v>
      </c>
      <c r="G250" s="18">
        <v>13277</v>
      </c>
      <c r="H250" s="18">
        <f>_xlfn.XLOOKUP(L250,'[1]2026 Mapping v3'!A:A,'[1]2026 Mapping v3'!F:F,0,0)</f>
        <v>68</v>
      </c>
      <c r="I250" s="18" t="b">
        <v>0</v>
      </c>
      <c r="J250" s="18" t="s">
        <v>474</v>
      </c>
      <c r="K250" s="21" t="s">
        <v>1273</v>
      </c>
      <c r="L250" s="18" t="s">
        <v>431</v>
      </c>
      <c r="M250" s="18" t="s">
        <v>98</v>
      </c>
      <c r="N250" s="18" t="s">
        <v>64</v>
      </c>
      <c r="O250" s="18" t="s">
        <v>760</v>
      </c>
      <c r="Q250" s="23" t="s">
        <v>80</v>
      </c>
      <c r="R250" s="23">
        <v>10</v>
      </c>
      <c r="S250" s="24">
        <v>1993857</v>
      </c>
      <c r="T250" s="28">
        <v>15000</v>
      </c>
      <c r="U250" s="18" t="s">
        <v>67</v>
      </c>
      <c r="V250" s="18" t="s">
        <v>110</v>
      </c>
      <c r="W250" s="18" t="s">
        <v>69</v>
      </c>
      <c r="X250" s="20">
        <v>46023</v>
      </c>
      <c r="Y250" s="18" t="s">
        <v>761</v>
      </c>
      <c r="Z250" s="18" t="str">
        <f>_xlfn.XLOOKUP(Y250,'[1]Data Source'!A:A,'[1]Data Source'!E:E,"N/A",0)</f>
        <v>LG</v>
      </c>
      <c r="AA250" s="18" t="s">
        <v>762</v>
      </c>
      <c r="AB250" s="18" t="s">
        <v>431</v>
      </c>
      <c r="AC250" s="18" t="str">
        <f>_xlfn.XLOOKUP(L250,'[1]2026 Mapping v3'!A:A,'[1]2026 Mapping v3'!B:B,"Error",0)</f>
        <v>Nairobi Central</v>
      </c>
      <c r="AD250" s="18" t="str">
        <f>_xlfn.XLOOKUP(L250,'[1]2026 Mapping v3'!A:A,'[1]2026 Mapping v3'!C:C,"Error",0)</f>
        <v>Zedekiah Mburu</v>
      </c>
      <c r="AE250" s="18" t="str">
        <f>_xlfn.XLOOKUP(L250,'[1]2026 Mapping v3'!A:A,'[1]2026 Mapping v3'!D:D,"Error",0)</f>
        <v>Zedekiah Mburu</v>
      </c>
      <c r="AF250" s="18" t="str">
        <f>_xlfn.XLOOKUP(L250,'[1]2026 Mapping v3'!A:A,'[1]2026 Mapping v3'!E:E,"Error",0)</f>
        <v>Bilha Wachira</v>
      </c>
      <c r="AS250" s="24">
        <v>15000</v>
      </c>
      <c r="AT250" s="24"/>
      <c r="AU250" s="24"/>
      <c r="AV250" s="24"/>
      <c r="AX250" s="29"/>
      <c r="BE250" s="24">
        <v>15000</v>
      </c>
    </row>
    <row r="251" spans="1:57">
      <c r="A251" s="18" t="s">
        <v>57</v>
      </c>
      <c r="B251" s="19">
        <v>27196957</v>
      </c>
      <c r="C251" s="20">
        <v>46053</v>
      </c>
      <c r="D251" s="18" t="s">
        <v>58</v>
      </c>
      <c r="E251" s="18" t="s">
        <v>59</v>
      </c>
      <c r="F251" s="18" t="s">
        <v>60</v>
      </c>
      <c r="G251" s="18">
        <v>18219</v>
      </c>
      <c r="H251" s="18">
        <f>_xlfn.XLOOKUP(L251,'[1]2026 Mapping v3'!A:A,'[1]2026 Mapping v3'!F:F,0,0)</f>
        <v>32</v>
      </c>
      <c r="I251" s="18" t="b">
        <v>0</v>
      </c>
      <c r="J251" s="18" t="s">
        <v>763</v>
      </c>
      <c r="K251" s="21" t="s">
        <v>1274</v>
      </c>
      <c r="L251" s="18" t="s">
        <v>572</v>
      </c>
      <c r="M251" s="18" t="s">
        <v>98</v>
      </c>
      <c r="N251" s="18" t="s">
        <v>64</v>
      </c>
      <c r="O251" s="18" t="s">
        <v>764</v>
      </c>
      <c r="Q251" s="23" t="s">
        <v>66</v>
      </c>
      <c r="R251" s="23">
        <v>5</v>
      </c>
      <c r="S251" s="24">
        <v>1000000</v>
      </c>
      <c r="T251" s="28">
        <v>13003</v>
      </c>
      <c r="U251" s="18" t="s">
        <v>67</v>
      </c>
      <c r="V251" s="18" t="s">
        <v>110</v>
      </c>
      <c r="W251" s="18" t="s">
        <v>69</v>
      </c>
      <c r="X251" s="20">
        <v>46023</v>
      </c>
      <c r="Y251" s="18" t="s">
        <v>613</v>
      </c>
      <c r="Z251" s="18" t="str">
        <f>_xlfn.XLOOKUP(Y251,'[1]Data Source'!A:A,'[1]Data Source'!E:E,"N/A",0)</f>
        <v>LG</v>
      </c>
      <c r="AA251" s="18" t="s">
        <v>552</v>
      </c>
      <c r="AB251" s="18" t="s">
        <v>572</v>
      </c>
      <c r="AC251" s="18" t="str">
        <f>_xlfn.XLOOKUP(L251,'[1]2026 Mapping v3'!A:A,'[1]2026 Mapping v3'!B:B,"Error",0)</f>
        <v>Nairobi West</v>
      </c>
      <c r="AD251" s="18" t="str">
        <f>_xlfn.XLOOKUP(L251,'[1]2026 Mapping v3'!A:A,'[1]2026 Mapping v3'!C:C,"Error",0)</f>
        <v>Valentine Musyoka</v>
      </c>
      <c r="AE251" s="18" t="str">
        <f>_xlfn.XLOOKUP(L251,'[1]2026 Mapping v3'!A:A,'[1]2026 Mapping v3'!D:D,"Error",0)</f>
        <v>Ancetar Mulili</v>
      </c>
      <c r="AF251" s="18" t="str">
        <f>_xlfn.XLOOKUP(L251,'[1]2026 Mapping v3'!A:A,'[1]2026 Mapping v3'!E:E,"Error",0)</f>
        <v>Bilha Wachira</v>
      </c>
      <c r="AS251" s="24">
        <v>13003</v>
      </c>
      <c r="AT251" s="24"/>
      <c r="AU251" s="24"/>
      <c r="AV251" s="24"/>
      <c r="AX251" s="29"/>
      <c r="BE251" s="24">
        <v>13003</v>
      </c>
    </row>
    <row r="252" spans="1:57">
      <c r="A252" s="18" t="s">
        <v>57</v>
      </c>
      <c r="B252" s="19">
        <v>27196957</v>
      </c>
      <c r="C252" s="20">
        <v>46053</v>
      </c>
      <c r="D252" s="18" t="s">
        <v>58</v>
      </c>
      <c r="E252" s="18" t="s">
        <v>59</v>
      </c>
      <c r="F252" s="18" t="s">
        <v>60</v>
      </c>
      <c r="G252" s="18">
        <v>17265</v>
      </c>
      <c r="H252" s="18">
        <f>_xlfn.XLOOKUP(L252,'[1]2026 Mapping v3'!A:A,'[1]2026 Mapping v3'!F:F,0,0)</f>
        <v>105</v>
      </c>
      <c r="I252" s="18" t="b">
        <v>0</v>
      </c>
      <c r="J252" s="18" t="s">
        <v>765</v>
      </c>
      <c r="K252" s="21" t="s">
        <v>1275</v>
      </c>
      <c r="L252" s="18" t="s">
        <v>427</v>
      </c>
      <c r="M252" s="18" t="s">
        <v>98</v>
      </c>
      <c r="N252" s="18" t="s">
        <v>64</v>
      </c>
      <c r="O252" s="18" t="s">
        <v>766</v>
      </c>
      <c r="Q252" s="23" t="s">
        <v>80</v>
      </c>
      <c r="R252" s="23">
        <v>5</v>
      </c>
      <c r="S252" s="24">
        <v>10000000</v>
      </c>
      <c r="T252" s="28">
        <v>1588980</v>
      </c>
      <c r="U252" s="18" t="s">
        <v>67</v>
      </c>
      <c r="V252" s="18" t="s">
        <v>68</v>
      </c>
      <c r="W252" s="18" t="s">
        <v>69</v>
      </c>
      <c r="X252" s="20">
        <v>46052</v>
      </c>
      <c r="Y252" s="18" t="s">
        <v>429</v>
      </c>
      <c r="Z252" s="18" t="str">
        <f>_xlfn.XLOOKUP(Y252,'[1]Data Source'!A:A,'[1]Data Source'!E:E,"N/A",0)</f>
        <v>RM</v>
      </c>
      <c r="AA252" s="18" t="s">
        <v>430</v>
      </c>
      <c r="AB252" s="18" t="s">
        <v>427</v>
      </c>
      <c r="AC252" s="18" t="str">
        <f>_xlfn.XLOOKUP(L252,'[1]2026 Mapping v3'!A:A,'[1]2026 Mapping v3'!B:B,"Error",0)</f>
        <v>Premier</v>
      </c>
      <c r="AD252" s="18" t="str">
        <f>_xlfn.XLOOKUP(L252,'[1]2026 Mapping v3'!A:A,'[1]2026 Mapping v3'!C:C,"Error",0)</f>
        <v>Joseph Kairu</v>
      </c>
      <c r="AE252" s="18" t="str">
        <f>_xlfn.XLOOKUP(L252,'[1]2026 Mapping v3'!A:A,'[1]2026 Mapping v3'!D:D,"Error",0)</f>
        <v>Joseph Kairu</v>
      </c>
      <c r="AF252" s="18" t="str">
        <f>_xlfn.XLOOKUP(L252,'[1]2026 Mapping v3'!A:A,'[1]2026 Mapping v3'!E:E,"Error",0)</f>
        <v>Debrah Rashid</v>
      </c>
      <c r="AS252" s="24">
        <v>1588980</v>
      </c>
      <c r="AT252" s="24"/>
      <c r="AU252" s="24"/>
      <c r="AV252" s="24"/>
      <c r="AX252" s="29"/>
      <c r="BE252" s="24">
        <v>1588980</v>
      </c>
    </row>
    <row r="253" spans="1:57">
      <c r="A253" s="18" t="s">
        <v>57</v>
      </c>
      <c r="B253" s="19">
        <v>27196957</v>
      </c>
      <c r="C253" s="20">
        <v>46053</v>
      </c>
      <c r="D253" s="18" t="s">
        <v>58</v>
      </c>
      <c r="E253" s="18" t="s">
        <v>59</v>
      </c>
      <c r="F253" s="18" t="s">
        <v>60</v>
      </c>
      <c r="G253" s="18">
        <v>14619</v>
      </c>
      <c r="H253" s="18">
        <f>_xlfn.XLOOKUP(L253,'[1]2026 Mapping v3'!A:A,'[1]2026 Mapping v3'!F:F,0,0)</f>
        <v>51</v>
      </c>
      <c r="I253" s="18" t="b">
        <v>0</v>
      </c>
      <c r="J253" s="18" t="s">
        <v>562</v>
      </c>
      <c r="K253" s="21" t="s">
        <v>1276</v>
      </c>
      <c r="L253" s="18" t="s">
        <v>501</v>
      </c>
      <c r="M253" s="18" t="s">
        <v>98</v>
      </c>
      <c r="N253" s="18" t="s">
        <v>64</v>
      </c>
      <c r="O253" s="18" t="s">
        <v>767</v>
      </c>
      <c r="Q253" s="23" t="s">
        <v>80</v>
      </c>
      <c r="R253" s="23">
        <v>5</v>
      </c>
      <c r="S253" s="24">
        <v>1450000</v>
      </c>
      <c r="T253" s="28">
        <v>230142</v>
      </c>
      <c r="U253" s="18" t="s">
        <v>67</v>
      </c>
      <c r="V253" s="18" t="s">
        <v>68</v>
      </c>
      <c r="W253" s="18" t="s">
        <v>69</v>
      </c>
      <c r="X253" s="20">
        <v>46081</v>
      </c>
      <c r="Y253" s="18" t="s">
        <v>768</v>
      </c>
      <c r="Z253" s="18" t="str">
        <f>_xlfn.XLOOKUP(Y253,'[1]Data Source'!A:A,'[1]Data Source'!E:E,"N/A",0)</f>
        <v>LG</v>
      </c>
      <c r="AA253" s="18" t="s">
        <v>769</v>
      </c>
      <c r="AB253" s="18" t="s">
        <v>501</v>
      </c>
      <c r="AC253" s="18" t="str">
        <f>_xlfn.XLOOKUP(L253,'[1]2026 Mapping v3'!A:A,'[1]2026 Mapping v3'!B:B,"Error",0)</f>
        <v>Mt. Kenya</v>
      </c>
      <c r="AD253" s="18" t="str">
        <f>_xlfn.XLOOKUP(L253,'[1]2026 Mapping v3'!A:A,'[1]2026 Mapping v3'!C:C,"Error",0)</f>
        <v>Morgan Mwangi</v>
      </c>
      <c r="AE253" s="18" t="str">
        <f>_xlfn.XLOOKUP(L253,'[1]2026 Mapping v3'!A:A,'[1]2026 Mapping v3'!D:D,"Error",0)</f>
        <v>Paul Kithuka</v>
      </c>
      <c r="AF253" s="18" t="str">
        <f>_xlfn.XLOOKUP(L253,'[1]2026 Mapping v3'!A:A,'[1]2026 Mapping v3'!E:E,"Error",0)</f>
        <v>Simon Maingi</v>
      </c>
      <c r="AS253" s="24">
        <v>230142</v>
      </c>
      <c r="AT253" s="24"/>
      <c r="AU253" s="24"/>
      <c r="AV253" s="24"/>
      <c r="AX253" s="29"/>
      <c r="BE253" s="24">
        <v>230142</v>
      </c>
    </row>
    <row r="254" spans="1:57">
      <c r="A254" s="18" t="s">
        <v>57</v>
      </c>
      <c r="B254" s="19">
        <v>27196957</v>
      </c>
      <c r="C254" s="20">
        <v>46053</v>
      </c>
      <c r="D254" s="18" t="s">
        <v>58</v>
      </c>
      <c r="E254" s="18" t="s">
        <v>59</v>
      </c>
      <c r="F254" s="18" t="s">
        <v>60</v>
      </c>
      <c r="G254" s="18">
        <v>3442</v>
      </c>
      <c r="H254" s="18">
        <f>_xlfn.XLOOKUP(L254,'[1]2026 Mapping v3'!A:A,'[1]2026 Mapping v3'!F:F,0,0)</f>
        <v>7</v>
      </c>
      <c r="I254" s="18" t="b">
        <v>0</v>
      </c>
      <c r="J254" s="18" t="s">
        <v>459</v>
      </c>
      <c r="K254" s="21" t="s">
        <v>1277</v>
      </c>
      <c r="L254" s="18" t="s">
        <v>653</v>
      </c>
      <c r="M254" s="18" t="s">
        <v>98</v>
      </c>
      <c r="N254" s="18" t="s">
        <v>64</v>
      </c>
      <c r="O254" s="18" t="s">
        <v>770</v>
      </c>
      <c r="Q254" s="23" t="s">
        <v>80</v>
      </c>
      <c r="R254" s="23">
        <v>5</v>
      </c>
      <c r="S254" s="24">
        <v>10000000</v>
      </c>
      <c r="T254" s="28">
        <v>1588980</v>
      </c>
      <c r="U254" s="18" t="s">
        <v>67</v>
      </c>
      <c r="V254" s="18" t="s">
        <v>68</v>
      </c>
      <c r="W254" s="18" t="s">
        <v>69</v>
      </c>
      <c r="X254" s="20">
        <v>46032</v>
      </c>
      <c r="Y254" s="18" t="s">
        <v>771</v>
      </c>
      <c r="Z254" s="18" t="str">
        <f>_xlfn.XLOOKUP(Y254,'[1]Data Source'!A:A,'[1]Data Source'!E:E,"N/A",0)</f>
        <v>LG</v>
      </c>
      <c r="AA254" s="18" t="s">
        <v>772</v>
      </c>
      <c r="AB254" s="18" t="s">
        <v>653</v>
      </c>
      <c r="AC254" s="18" t="str">
        <f>_xlfn.XLOOKUP(L254,'[1]2026 Mapping v3'!A:A,'[1]2026 Mapping v3'!B:B,"Error",0)</f>
        <v>Nairobi Central</v>
      </c>
      <c r="AD254" s="18" t="str">
        <f>_xlfn.XLOOKUP(L254,'[1]2026 Mapping v3'!A:A,'[1]2026 Mapping v3'!C:C,"Error",0)</f>
        <v>George Maina</v>
      </c>
      <c r="AE254" s="18" t="str">
        <f>_xlfn.XLOOKUP(L254,'[1]2026 Mapping v3'!A:A,'[1]2026 Mapping v3'!D:D,"Error",0)</f>
        <v>Zedekiah Mburu</v>
      </c>
      <c r="AF254" s="18" t="str">
        <f>_xlfn.XLOOKUP(L254,'[1]2026 Mapping v3'!A:A,'[1]2026 Mapping v3'!E:E,"Error",0)</f>
        <v>Bilha Wachira</v>
      </c>
      <c r="AS254" s="24">
        <v>1588980</v>
      </c>
      <c r="AT254" s="24"/>
      <c r="AU254" s="24"/>
      <c r="AV254" s="24"/>
      <c r="AX254" s="29"/>
      <c r="BE254" s="24">
        <v>1588980</v>
      </c>
    </row>
    <row r="255" spans="1:57">
      <c r="A255" s="18" t="s">
        <v>57</v>
      </c>
      <c r="B255" s="19">
        <v>27196957</v>
      </c>
      <c r="C255" s="20">
        <v>46053</v>
      </c>
      <c r="D255" s="18" t="s">
        <v>58</v>
      </c>
      <c r="E255" s="18" t="s">
        <v>59</v>
      </c>
      <c r="F255" s="18" t="s">
        <v>60</v>
      </c>
      <c r="G255" s="18">
        <v>16172</v>
      </c>
      <c r="H255" s="18">
        <f>_xlfn.XLOOKUP(L255,'[1]2026 Mapping v3'!A:A,'[1]2026 Mapping v3'!F:F,0,0)</f>
        <v>67</v>
      </c>
      <c r="I255" s="18" t="b">
        <v>0</v>
      </c>
      <c r="J255" s="18" t="s">
        <v>562</v>
      </c>
      <c r="K255" s="21" t="s">
        <v>1278</v>
      </c>
      <c r="L255" s="18" t="s">
        <v>475</v>
      </c>
      <c r="M255" s="18" t="s">
        <v>98</v>
      </c>
      <c r="N255" s="18" t="s">
        <v>64</v>
      </c>
      <c r="O255" s="18" t="s">
        <v>773</v>
      </c>
      <c r="Q255" s="23" t="s">
        <v>80</v>
      </c>
      <c r="R255" s="23">
        <v>5</v>
      </c>
      <c r="S255" s="24">
        <v>1260126</v>
      </c>
      <c r="T255" s="28">
        <v>200002</v>
      </c>
      <c r="U255" s="18" t="s">
        <v>67</v>
      </c>
      <c r="V255" s="18" t="s">
        <v>68</v>
      </c>
      <c r="W255" s="18" t="s">
        <v>69</v>
      </c>
      <c r="X255" s="20">
        <v>46042</v>
      </c>
      <c r="Y255" s="18" t="s">
        <v>774</v>
      </c>
      <c r="Z255" s="18" t="str">
        <f>_xlfn.XLOOKUP(Y255,'[1]Data Source'!A:A,'[1]Data Source'!E:E,"N/A",0)</f>
        <v>N/A</v>
      </c>
      <c r="AA255" s="18" t="s">
        <v>101</v>
      </c>
      <c r="AB255" s="18" t="s">
        <v>475</v>
      </c>
      <c r="AC255" s="18" t="str">
        <f>_xlfn.XLOOKUP(L255,'[1]2026 Mapping v3'!A:A,'[1]2026 Mapping v3'!B:B,"Error",0)</f>
        <v>Mt. Kenya</v>
      </c>
      <c r="AD255" s="18" t="str">
        <f>_xlfn.XLOOKUP(L255,'[1]2026 Mapping v3'!A:A,'[1]2026 Mapping v3'!C:C,"Error",0)</f>
        <v>Morgan Mwangi</v>
      </c>
      <c r="AE255" s="18" t="str">
        <f>_xlfn.XLOOKUP(L255,'[1]2026 Mapping v3'!A:A,'[1]2026 Mapping v3'!D:D,"Error",0)</f>
        <v>Paul Kithuka</v>
      </c>
      <c r="AF255" s="18" t="str">
        <f>_xlfn.XLOOKUP(L255,'[1]2026 Mapping v3'!A:A,'[1]2026 Mapping v3'!E:E,"Error",0)</f>
        <v>Simon Maingi</v>
      </c>
      <c r="AS255" s="24">
        <v>200002</v>
      </c>
      <c r="AT255" s="24"/>
      <c r="AU255" s="24"/>
      <c r="AV255" s="24"/>
      <c r="AX255" s="29"/>
      <c r="BE255" s="24">
        <v>200002</v>
      </c>
    </row>
    <row r="256" spans="1:57">
      <c r="A256" s="18" t="s">
        <v>57</v>
      </c>
      <c r="B256" s="19">
        <v>27196957</v>
      </c>
      <c r="C256" s="20">
        <v>46053</v>
      </c>
      <c r="D256" s="18" t="s">
        <v>58</v>
      </c>
      <c r="E256" s="18" t="s">
        <v>59</v>
      </c>
      <c r="F256" s="18" t="s">
        <v>60</v>
      </c>
      <c r="G256" s="18">
        <v>12774</v>
      </c>
      <c r="H256" s="18">
        <f>_xlfn.XLOOKUP(L256,'[1]2026 Mapping v3'!A:A,'[1]2026 Mapping v3'!F:F,0,0)</f>
        <v>18</v>
      </c>
      <c r="I256" s="18" t="b">
        <v>0</v>
      </c>
      <c r="J256" s="18" t="s">
        <v>248</v>
      </c>
      <c r="K256" s="21" t="s">
        <v>1279</v>
      </c>
      <c r="L256" s="18" t="s">
        <v>419</v>
      </c>
      <c r="M256" s="18" t="s">
        <v>98</v>
      </c>
      <c r="N256" s="18" t="s">
        <v>64</v>
      </c>
      <c r="O256" s="18" t="s">
        <v>775</v>
      </c>
      <c r="Q256" s="23" t="s">
        <v>80</v>
      </c>
      <c r="R256" s="23">
        <v>5</v>
      </c>
      <c r="S256" s="24">
        <v>1575157</v>
      </c>
      <c r="T256" s="28">
        <v>250008</v>
      </c>
      <c r="U256" s="18" t="s">
        <v>67</v>
      </c>
      <c r="V256" s="18" t="s">
        <v>68</v>
      </c>
      <c r="W256" s="18" t="s">
        <v>69</v>
      </c>
      <c r="X256" s="20">
        <v>46053</v>
      </c>
      <c r="Y256" s="18" t="s">
        <v>776</v>
      </c>
      <c r="Z256" s="18" t="str">
        <f>_xlfn.XLOOKUP(Y256,'[1]Data Source'!A:A,'[1]Data Source'!E:E,"N/A",0)</f>
        <v>LG</v>
      </c>
      <c r="AA256" s="18" t="s">
        <v>777</v>
      </c>
      <c r="AB256" s="18" t="s">
        <v>419</v>
      </c>
      <c r="AC256" s="18" t="str">
        <f>_xlfn.XLOOKUP(L256,'[1]2026 Mapping v3'!A:A,'[1]2026 Mapping v3'!B:B,"Error",0)</f>
        <v>Rift Valley</v>
      </c>
      <c r="AD256" s="18" t="str">
        <f>_xlfn.XLOOKUP(L256,'[1]2026 Mapping v3'!A:A,'[1]2026 Mapping v3'!C:C,"Error",0)</f>
        <v>Jane Nduta</v>
      </c>
      <c r="AE256" s="18" t="str">
        <f>_xlfn.XLOOKUP(L256,'[1]2026 Mapping v3'!A:A,'[1]2026 Mapping v3'!D:D,"Error",0)</f>
        <v>Emily Jepchirchir</v>
      </c>
      <c r="AF256" s="18" t="str">
        <f>_xlfn.XLOOKUP(L256,'[1]2026 Mapping v3'!A:A,'[1]2026 Mapping v3'!E:E,"Error",0)</f>
        <v>Emily Jepchirchir</v>
      </c>
      <c r="AS256" s="24">
        <v>250008</v>
      </c>
      <c r="AT256" s="24"/>
      <c r="AU256" s="24"/>
      <c r="AV256" s="24"/>
      <c r="AX256" s="29"/>
      <c r="BE256" s="24">
        <v>250008</v>
      </c>
    </row>
    <row r="257" spans="1:57">
      <c r="A257" s="18" t="s">
        <v>57</v>
      </c>
      <c r="B257" s="19">
        <v>27196957</v>
      </c>
      <c r="C257" s="20">
        <v>46053</v>
      </c>
      <c r="D257" s="18" t="s">
        <v>58</v>
      </c>
      <c r="E257" s="18" t="s">
        <v>59</v>
      </c>
      <c r="F257" s="18" t="s">
        <v>60</v>
      </c>
      <c r="G257" s="18">
        <v>12778</v>
      </c>
      <c r="H257" s="18">
        <f>_xlfn.XLOOKUP(L257,'[1]2026 Mapping v3'!A:A,'[1]2026 Mapping v3'!F:F,0,0)</f>
        <v>18</v>
      </c>
      <c r="I257" s="18" t="b">
        <v>0</v>
      </c>
      <c r="J257" s="18" t="s">
        <v>248</v>
      </c>
      <c r="K257" s="21" t="s">
        <v>1280</v>
      </c>
      <c r="L257" s="18" t="s">
        <v>419</v>
      </c>
      <c r="M257" s="18" t="s">
        <v>98</v>
      </c>
      <c r="N257" s="18" t="s">
        <v>64</v>
      </c>
      <c r="O257" s="18" t="s">
        <v>778</v>
      </c>
      <c r="Q257" s="23" t="s">
        <v>80</v>
      </c>
      <c r="R257" s="23">
        <v>5</v>
      </c>
      <c r="S257" s="24">
        <v>1575157</v>
      </c>
      <c r="T257" s="28">
        <v>250008</v>
      </c>
      <c r="U257" s="18" t="s">
        <v>67</v>
      </c>
      <c r="V257" s="18" t="s">
        <v>68</v>
      </c>
      <c r="W257" s="18" t="s">
        <v>69</v>
      </c>
      <c r="X257" s="20">
        <v>46053</v>
      </c>
      <c r="Y257" s="18" t="s">
        <v>779</v>
      </c>
      <c r="Z257" s="18" t="str">
        <f>_xlfn.XLOOKUP(Y257,'[1]Data Source'!A:A,'[1]Data Source'!E:E,"N/A",0)</f>
        <v>LG</v>
      </c>
      <c r="AA257" s="18" t="s">
        <v>780</v>
      </c>
      <c r="AB257" s="18" t="s">
        <v>419</v>
      </c>
      <c r="AC257" s="18" t="str">
        <f>_xlfn.XLOOKUP(L257,'[1]2026 Mapping v3'!A:A,'[1]2026 Mapping v3'!B:B,"Error",0)</f>
        <v>Rift Valley</v>
      </c>
      <c r="AD257" s="18" t="str">
        <f>_xlfn.XLOOKUP(L257,'[1]2026 Mapping v3'!A:A,'[1]2026 Mapping v3'!C:C,"Error",0)</f>
        <v>Jane Nduta</v>
      </c>
      <c r="AE257" s="18" t="str">
        <f>_xlfn.XLOOKUP(L257,'[1]2026 Mapping v3'!A:A,'[1]2026 Mapping v3'!D:D,"Error",0)</f>
        <v>Emily Jepchirchir</v>
      </c>
      <c r="AF257" s="18" t="str">
        <f>_xlfn.XLOOKUP(L257,'[1]2026 Mapping v3'!A:A,'[1]2026 Mapping v3'!E:E,"Error",0)</f>
        <v>Emily Jepchirchir</v>
      </c>
      <c r="AS257" s="24">
        <v>250008</v>
      </c>
      <c r="AT257" s="24"/>
      <c r="AU257" s="24"/>
      <c r="AV257" s="24"/>
      <c r="AX257" s="29"/>
      <c r="BE257" s="24">
        <v>250008</v>
      </c>
    </row>
    <row r="258" spans="1:57">
      <c r="A258" s="18" t="s">
        <v>57</v>
      </c>
      <c r="B258" s="19">
        <v>27196957</v>
      </c>
      <c r="C258" s="20">
        <v>46053</v>
      </c>
      <c r="D258" s="18" t="s">
        <v>58</v>
      </c>
      <c r="E258" s="18" t="s">
        <v>59</v>
      </c>
      <c r="F258" s="18" t="s">
        <v>60</v>
      </c>
      <c r="G258" s="18">
        <v>17397</v>
      </c>
      <c r="H258" s="18">
        <f>_xlfn.XLOOKUP(L258,'[1]2026 Mapping v3'!A:A,'[1]2026 Mapping v3'!F:F,0,0)</f>
        <v>79</v>
      </c>
      <c r="I258" s="18" t="b">
        <v>0</v>
      </c>
      <c r="J258" s="18" t="s">
        <v>562</v>
      </c>
      <c r="K258" s="21" t="s">
        <v>1281</v>
      </c>
      <c r="L258" s="18" t="s">
        <v>781</v>
      </c>
      <c r="M258" s="18" t="s">
        <v>98</v>
      </c>
      <c r="N258" s="18" t="s">
        <v>64</v>
      </c>
      <c r="O258" s="18" t="s">
        <v>782</v>
      </c>
      <c r="Q258" s="23" t="s">
        <v>80</v>
      </c>
      <c r="R258" s="23">
        <v>5</v>
      </c>
      <c r="S258" s="24">
        <v>2103292</v>
      </c>
      <c r="T258" s="28">
        <v>333828</v>
      </c>
      <c r="U258" s="18" t="s">
        <v>67</v>
      </c>
      <c r="V258" s="18" t="s">
        <v>68</v>
      </c>
      <c r="W258" s="18" t="s">
        <v>69</v>
      </c>
      <c r="X258" s="20">
        <v>46054</v>
      </c>
      <c r="Y258" s="18" t="s">
        <v>783</v>
      </c>
      <c r="Z258" s="18" t="str">
        <f>_xlfn.XLOOKUP(Y258,'[1]Data Source'!A:A,'[1]Data Source'!E:E,"N/A",0)</f>
        <v>LG</v>
      </c>
      <c r="AA258" s="18" t="s">
        <v>784</v>
      </c>
      <c r="AB258" s="18" t="s">
        <v>781</v>
      </c>
      <c r="AC258" s="18" t="str">
        <f>_xlfn.XLOOKUP(L258,'[1]2026 Mapping v3'!A:A,'[1]2026 Mapping v3'!B:B,"Error",0)</f>
        <v>Nairobi Central</v>
      </c>
      <c r="AD258" s="18" t="str">
        <f>_xlfn.XLOOKUP(L258,'[1]2026 Mapping v3'!A:A,'[1]2026 Mapping v3'!C:C,"Error",0)</f>
        <v>George Maina</v>
      </c>
      <c r="AE258" s="18" t="str">
        <f>_xlfn.XLOOKUP(L258,'[1]2026 Mapping v3'!A:A,'[1]2026 Mapping v3'!D:D,"Error",0)</f>
        <v>Zedekiah Mburu</v>
      </c>
      <c r="AF258" s="18" t="str">
        <f>_xlfn.XLOOKUP(L258,'[1]2026 Mapping v3'!A:A,'[1]2026 Mapping v3'!E:E,"Error",0)</f>
        <v>Bilha Wachira</v>
      </c>
      <c r="AS258" s="24">
        <v>333828</v>
      </c>
      <c r="AT258" s="24"/>
      <c r="AU258" s="24"/>
      <c r="AV258" s="24"/>
      <c r="AX258" s="29"/>
      <c r="BE258" s="24">
        <v>333828</v>
      </c>
    </row>
    <row r="259" spans="1:57">
      <c r="A259" s="18" t="s">
        <v>57</v>
      </c>
      <c r="B259" s="19">
        <v>27196957</v>
      </c>
      <c r="C259" s="20">
        <v>46053</v>
      </c>
      <c r="D259" s="18" t="s">
        <v>58</v>
      </c>
      <c r="E259" s="18" t="s">
        <v>59</v>
      </c>
      <c r="F259" s="18" t="s">
        <v>60</v>
      </c>
      <c r="G259" s="18">
        <v>17909</v>
      </c>
      <c r="H259" s="18">
        <f>_xlfn.XLOOKUP(L259,'[1]2026 Mapping v3'!A:A,'[1]2026 Mapping v3'!F:F,0,0)</f>
        <v>59</v>
      </c>
      <c r="I259" s="18" t="b">
        <v>0</v>
      </c>
      <c r="J259" s="18" t="s">
        <v>785</v>
      </c>
      <c r="K259" s="21" t="s">
        <v>1282</v>
      </c>
      <c r="L259" s="18" t="s">
        <v>786</v>
      </c>
      <c r="M259" s="18" t="s">
        <v>98</v>
      </c>
      <c r="N259" s="18" t="s">
        <v>64</v>
      </c>
      <c r="O259" s="18" t="s">
        <v>787</v>
      </c>
      <c r="Q259" s="23" t="s">
        <v>80</v>
      </c>
      <c r="R259" s="23">
        <v>5</v>
      </c>
      <c r="S259" s="24">
        <v>1260126</v>
      </c>
      <c r="T259" s="28">
        <v>20002</v>
      </c>
      <c r="U259" s="18" t="s">
        <v>67</v>
      </c>
      <c r="V259" s="18" t="s">
        <v>68</v>
      </c>
      <c r="W259" s="18" t="s">
        <v>69</v>
      </c>
      <c r="X259" s="20">
        <v>46052</v>
      </c>
      <c r="Y259" s="18" t="s">
        <v>788</v>
      </c>
      <c r="Z259" s="18" t="str">
        <f>_xlfn.XLOOKUP(Y259,'[1]Data Source'!A:A,'[1]Data Source'!E:E,"N/A",0)</f>
        <v>LG</v>
      </c>
      <c r="AA259" s="18" t="s">
        <v>789</v>
      </c>
      <c r="AB259" s="18" t="s">
        <v>786</v>
      </c>
      <c r="AC259" s="18" t="str">
        <f>_xlfn.XLOOKUP(L259,'[1]2026 Mapping v3'!A:A,'[1]2026 Mapping v3'!B:B,"Error",0)</f>
        <v>Rift Valley</v>
      </c>
      <c r="AD259" s="18" t="str">
        <f>_xlfn.XLOOKUP(L259,'[1]2026 Mapping v3'!A:A,'[1]2026 Mapping v3'!C:C,"Error",0)</f>
        <v>Jane Nduta</v>
      </c>
      <c r="AE259" s="18" t="str">
        <f>_xlfn.XLOOKUP(L259,'[1]2026 Mapping v3'!A:A,'[1]2026 Mapping v3'!D:D,"Error",0)</f>
        <v>Emily Jepchirchir</v>
      </c>
      <c r="AF259" s="18" t="str">
        <f>_xlfn.XLOOKUP(L259,'[1]2026 Mapping v3'!A:A,'[1]2026 Mapping v3'!E:E,"Error",0)</f>
        <v>Emily Jepchirchir</v>
      </c>
      <c r="AS259" s="24">
        <v>20002</v>
      </c>
      <c r="AT259" s="24"/>
      <c r="AU259" s="24"/>
      <c r="AV259" s="24"/>
      <c r="AX259" s="29"/>
      <c r="BE259" s="24">
        <v>20002</v>
      </c>
    </row>
    <row r="260" spans="1:57">
      <c r="A260" s="18" t="s">
        <v>57</v>
      </c>
      <c r="B260" s="19">
        <v>27196957</v>
      </c>
      <c r="C260" s="20">
        <v>46053</v>
      </c>
      <c r="D260" s="18" t="s">
        <v>58</v>
      </c>
      <c r="E260" s="18" t="s">
        <v>59</v>
      </c>
      <c r="F260" s="18" t="s">
        <v>60</v>
      </c>
      <c r="G260" s="18">
        <v>8072</v>
      </c>
      <c r="H260" s="18">
        <f>_xlfn.XLOOKUP(L260,'[1]2026 Mapping v3'!A:A,'[1]2026 Mapping v3'!F:F,0,0)</f>
        <v>80</v>
      </c>
      <c r="I260" s="18" t="b">
        <v>0</v>
      </c>
      <c r="J260" s="18" t="s">
        <v>716</v>
      </c>
      <c r="K260" s="21" t="s">
        <v>1283</v>
      </c>
      <c r="L260" s="18" t="s">
        <v>566</v>
      </c>
      <c r="M260" s="18" t="s">
        <v>98</v>
      </c>
      <c r="N260" s="18" t="s">
        <v>64</v>
      </c>
      <c r="O260" s="18" t="s">
        <v>790</v>
      </c>
      <c r="Q260" s="23" t="s">
        <v>66</v>
      </c>
      <c r="R260" s="23">
        <v>15</v>
      </c>
      <c r="S260" s="24">
        <v>1000000</v>
      </c>
      <c r="T260" s="28">
        <v>4323</v>
      </c>
      <c r="U260" s="18" t="s">
        <v>67</v>
      </c>
      <c r="V260" s="18" t="s">
        <v>110</v>
      </c>
      <c r="W260" s="18" t="s">
        <v>69</v>
      </c>
      <c r="X260" s="20">
        <v>46046</v>
      </c>
      <c r="Y260" s="18" t="s">
        <v>791</v>
      </c>
      <c r="Z260" s="18" t="str">
        <f>_xlfn.XLOOKUP(Y260,'[1]Data Source'!A:A,'[1]Data Source'!E:E,"N/A",0)</f>
        <v>UB</v>
      </c>
      <c r="AA260" s="18" t="s">
        <v>792</v>
      </c>
      <c r="AB260" s="18" t="s">
        <v>570</v>
      </c>
      <c r="AC260" s="18" t="str">
        <f>_xlfn.XLOOKUP(L260,'[1]2026 Mapping v3'!A:A,'[1]2026 Mapping v3'!B:B,"Error",0)</f>
        <v>Nairobi East</v>
      </c>
      <c r="AD260" s="18" t="str">
        <f>_xlfn.XLOOKUP(L260,'[1]2026 Mapping v3'!A:A,'[1]2026 Mapping v3'!C:C,"Error",0)</f>
        <v>Julius Mugane</v>
      </c>
      <c r="AE260" s="18" t="str">
        <f>_xlfn.XLOOKUP(L260,'[1]2026 Mapping v3'!A:A,'[1]2026 Mapping v3'!D:D,"Error",0)</f>
        <v>Julius Mugane</v>
      </c>
      <c r="AF260" s="18" t="str">
        <f>_xlfn.XLOOKUP(L260,'[1]2026 Mapping v3'!A:A,'[1]2026 Mapping v3'!E:E,"Error",0)</f>
        <v>Debrah Rashid</v>
      </c>
      <c r="AS260" s="24">
        <v>4323</v>
      </c>
      <c r="AT260" s="24"/>
      <c r="AU260" s="24"/>
      <c r="AV260" s="24"/>
      <c r="AX260" s="29"/>
      <c r="BE260" s="24">
        <v>4323</v>
      </c>
    </row>
    <row r="261" spans="1:57">
      <c r="A261" s="18" t="s">
        <v>57</v>
      </c>
      <c r="B261" s="19">
        <v>27196957</v>
      </c>
      <c r="C261" s="20">
        <v>46053</v>
      </c>
      <c r="D261" s="18" t="s">
        <v>58</v>
      </c>
      <c r="E261" s="18" t="s">
        <v>59</v>
      </c>
      <c r="F261" s="18" t="s">
        <v>60</v>
      </c>
      <c r="G261" s="18">
        <v>12800</v>
      </c>
      <c r="H261" s="18">
        <f>_xlfn.XLOOKUP(L261,'[1]2026 Mapping v3'!A:A,'[1]2026 Mapping v3'!F:F,0,0)</f>
        <v>18</v>
      </c>
      <c r="I261" s="18" t="b">
        <v>0</v>
      </c>
      <c r="J261" s="18" t="s">
        <v>793</v>
      </c>
      <c r="K261" s="21" t="s">
        <v>1284</v>
      </c>
      <c r="L261" s="18" t="s">
        <v>419</v>
      </c>
      <c r="M261" s="18" t="s">
        <v>98</v>
      </c>
      <c r="N261" s="18" t="s">
        <v>64</v>
      </c>
      <c r="O261" s="18" t="s">
        <v>794</v>
      </c>
      <c r="Q261" s="23" t="s">
        <v>80</v>
      </c>
      <c r="R261" s="23">
        <v>5</v>
      </c>
      <c r="S261" s="24">
        <v>1260126</v>
      </c>
      <c r="T261" s="28">
        <v>200002</v>
      </c>
      <c r="U261" s="18" t="s">
        <v>67</v>
      </c>
      <c r="V261" s="18" t="s">
        <v>68</v>
      </c>
      <c r="W261" s="18" t="s">
        <v>69</v>
      </c>
      <c r="X261" s="20">
        <v>46052</v>
      </c>
      <c r="Y261" s="18" t="s">
        <v>795</v>
      </c>
      <c r="Z261" s="18" t="str">
        <f>_xlfn.XLOOKUP(Y261,'[1]Data Source'!A:A,'[1]Data Source'!E:E,"N/A",0)</f>
        <v>UB</v>
      </c>
      <c r="AA261" s="18" t="s">
        <v>796</v>
      </c>
      <c r="AB261" s="18" t="s">
        <v>419</v>
      </c>
      <c r="AC261" s="18" t="str">
        <f>_xlfn.XLOOKUP(L261,'[1]2026 Mapping v3'!A:A,'[1]2026 Mapping v3'!B:B,"Error",0)</f>
        <v>Rift Valley</v>
      </c>
      <c r="AD261" s="18" t="str">
        <f>_xlfn.XLOOKUP(L261,'[1]2026 Mapping v3'!A:A,'[1]2026 Mapping v3'!C:C,"Error",0)</f>
        <v>Jane Nduta</v>
      </c>
      <c r="AE261" s="18" t="str">
        <f>_xlfn.XLOOKUP(L261,'[1]2026 Mapping v3'!A:A,'[1]2026 Mapping v3'!D:D,"Error",0)</f>
        <v>Emily Jepchirchir</v>
      </c>
      <c r="AF261" s="18" t="str">
        <f>_xlfn.XLOOKUP(L261,'[1]2026 Mapping v3'!A:A,'[1]2026 Mapping v3'!E:E,"Error",0)</f>
        <v>Emily Jepchirchir</v>
      </c>
      <c r="AS261" s="24">
        <v>200002</v>
      </c>
      <c r="AT261" s="24"/>
      <c r="AU261" s="24"/>
      <c r="AV261" s="24"/>
      <c r="AX261" s="29"/>
      <c r="BE261" s="24">
        <v>200002</v>
      </c>
    </row>
    <row r="262" spans="1:57">
      <c r="A262" s="18" t="s">
        <v>57</v>
      </c>
      <c r="B262" s="19">
        <v>27196957</v>
      </c>
      <c r="C262" s="20">
        <v>46053</v>
      </c>
      <c r="D262" s="18" t="s">
        <v>58</v>
      </c>
      <c r="E262" s="18" t="s">
        <v>59</v>
      </c>
      <c r="F262" s="18" t="s">
        <v>60</v>
      </c>
      <c r="G262" s="18">
        <v>16053</v>
      </c>
      <c r="H262" s="18">
        <f>_xlfn.XLOOKUP(L262,'[1]2026 Mapping v3'!A:A,'[1]2026 Mapping v3'!F:F,0,0)</f>
        <v>7</v>
      </c>
      <c r="I262" s="18" t="b">
        <v>0</v>
      </c>
      <c r="J262" s="18" t="s">
        <v>114</v>
      </c>
      <c r="K262" s="21" t="s">
        <v>1285</v>
      </c>
      <c r="L262" s="18" t="s">
        <v>653</v>
      </c>
      <c r="M262" s="18" t="s">
        <v>98</v>
      </c>
      <c r="N262" s="18" t="s">
        <v>64</v>
      </c>
      <c r="O262" s="18" t="s">
        <v>797</v>
      </c>
      <c r="Q262" s="23" t="s">
        <v>80</v>
      </c>
      <c r="R262" s="23">
        <v>20</v>
      </c>
      <c r="S262" s="24">
        <v>2600000</v>
      </c>
      <c r="T262" s="28">
        <v>9586</v>
      </c>
      <c r="U262" s="18" t="s">
        <v>67</v>
      </c>
      <c r="V262" s="18" t="s">
        <v>110</v>
      </c>
      <c r="W262" s="18" t="s">
        <v>69</v>
      </c>
      <c r="X262" s="20">
        <v>46046</v>
      </c>
      <c r="Y262" s="18" t="s">
        <v>655</v>
      </c>
      <c r="Z262" s="18" t="str">
        <f>_xlfn.XLOOKUP(Y262,'[1]Data Source'!A:A,'[1]Data Source'!E:E,"N/A",0)</f>
        <v>LG</v>
      </c>
      <c r="AA262" s="18" t="s">
        <v>656</v>
      </c>
      <c r="AB262" s="18" t="s">
        <v>653</v>
      </c>
      <c r="AC262" s="18" t="str">
        <f>_xlfn.XLOOKUP(L262,'[1]2026 Mapping v3'!A:A,'[1]2026 Mapping v3'!B:B,"Error",0)</f>
        <v>Nairobi Central</v>
      </c>
      <c r="AD262" s="18" t="str">
        <f>_xlfn.XLOOKUP(L262,'[1]2026 Mapping v3'!A:A,'[1]2026 Mapping v3'!C:C,"Error",0)</f>
        <v>George Maina</v>
      </c>
      <c r="AE262" s="18" t="str">
        <f>_xlfn.XLOOKUP(L262,'[1]2026 Mapping v3'!A:A,'[1]2026 Mapping v3'!D:D,"Error",0)</f>
        <v>Zedekiah Mburu</v>
      </c>
      <c r="AF262" s="18" t="str">
        <f>_xlfn.XLOOKUP(L262,'[1]2026 Mapping v3'!A:A,'[1]2026 Mapping v3'!E:E,"Error",0)</f>
        <v>Bilha Wachira</v>
      </c>
      <c r="AS262" s="24">
        <v>9586</v>
      </c>
      <c r="AT262" s="24"/>
      <c r="AU262" s="24"/>
      <c r="AV262" s="24"/>
      <c r="AX262" s="29"/>
      <c r="BE262" s="24">
        <v>9586</v>
      </c>
    </row>
    <row r="263" spans="1:57">
      <c r="A263" s="18" t="s">
        <v>57</v>
      </c>
      <c r="B263" s="19">
        <v>27196957</v>
      </c>
      <c r="C263" s="20">
        <v>46053</v>
      </c>
      <c r="D263" s="18" t="s">
        <v>58</v>
      </c>
      <c r="E263" s="18" t="s">
        <v>59</v>
      </c>
      <c r="F263" s="18" t="s">
        <v>60</v>
      </c>
      <c r="G263" s="18">
        <v>17369</v>
      </c>
      <c r="H263" s="18">
        <f>_xlfn.XLOOKUP(L263,'[1]2026 Mapping v3'!A:A,'[1]2026 Mapping v3'!F:F,0,0)</f>
        <v>7</v>
      </c>
      <c r="I263" s="18" t="b">
        <v>0</v>
      </c>
      <c r="J263" s="18" t="s">
        <v>279</v>
      </c>
      <c r="K263" s="21" t="s">
        <v>1286</v>
      </c>
      <c r="L263" s="18" t="s">
        <v>653</v>
      </c>
      <c r="M263" s="18" t="s">
        <v>98</v>
      </c>
      <c r="N263" s="18" t="s">
        <v>64</v>
      </c>
      <c r="O263" s="18" t="s">
        <v>798</v>
      </c>
      <c r="Q263" s="23" t="s">
        <v>80</v>
      </c>
      <c r="R263" s="23">
        <v>20</v>
      </c>
      <c r="S263" s="24">
        <v>1000000</v>
      </c>
      <c r="T263" s="28">
        <v>3687</v>
      </c>
      <c r="U263" s="18" t="s">
        <v>67</v>
      </c>
      <c r="V263" s="18" t="s">
        <v>110</v>
      </c>
      <c r="W263" s="18" t="s">
        <v>69</v>
      </c>
      <c r="X263" s="20">
        <v>46046</v>
      </c>
      <c r="Y263" s="18" t="s">
        <v>655</v>
      </c>
      <c r="Z263" s="18" t="str">
        <f>_xlfn.XLOOKUP(Y263,'[1]Data Source'!A:A,'[1]Data Source'!E:E,"N/A",0)</f>
        <v>LG</v>
      </c>
      <c r="AA263" s="18" t="s">
        <v>656</v>
      </c>
      <c r="AB263" s="18" t="s">
        <v>653</v>
      </c>
      <c r="AC263" s="18" t="str">
        <f>_xlfn.XLOOKUP(L263,'[1]2026 Mapping v3'!A:A,'[1]2026 Mapping v3'!B:B,"Error",0)</f>
        <v>Nairobi Central</v>
      </c>
      <c r="AD263" s="18" t="str">
        <f>_xlfn.XLOOKUP(L263,'[1]2026 Mapping v3'!A:A,'[1]2026 Mapping v3'!C:C,"Error",0)</f>
        <v>George Maina</v>
      </c>
      <c r="AE263" s="18" t="str">
        <f>_xlfn.XLOOKUP(L263,'[1]2026 Mapping v3'!A:A,'[1]2026 Mapping v3'!D:D,"Error",0)</f>
        <v>Zedekiah Mburu</v>
      </c>
      <c r="AF263" s="18" t="str">
        <f>_xlfn.XLOOKUP(L263,'[1]2026 Mapping v3'!A:A,'[1]2026 Mapping v3'!E:E,"Error",0)</f>
        <v>Bilha Wachira</v>
      </c>
      <c r="AS263" s="24">
        <v>3687</v>
      </c>
      <c r="AT263" s="24"/>
      <c r="AU263" s="24"/>
      <c r="AV263" s="24"/>
      <c r="AX263" s="29"/>
      <c r="BE263" s="24">
        <v>3687</v>
      </c>
    </row>
    <row r="264" spans="1:57">
      <c r="A264" s="18" t="s">
        <v>57</v>
      </c>
      <c r="B264" s="19">
        <v>27196957</v>
      </c>
      <c r="C264" s="20">
        <v>46053</v>
      </c>
      <c r="D264" s="18" t="s">
        <v>58</v>
      </c>
      <c r="E264" s="18" t="s">
        <v>59</v>
      </c>
      <c r="F264" s="18" t="s">
        <v>60</v>
      </c>
      <c r="G264" s="18">
        <v>10637</v>
      </c>
      <c r="H264" s="18">
        <f>_xlfn.XLOOKUP(L264,'[1]2026 Mapping v3'!A:A,'[1]2026 Mapping v3'!F:F,0,0)</f>
        <v>7</v>
      </c>
      <c r="I264" s="18" t="b">
        <v>0</v>
      </c>
      <c r="J264" s="18" t="s">
        <v>264</v>
      </c>
      <c r="K264" s="21" t="s">
        <v>1287</v>
      </c>
      <c r="L264" s="18" t="s">
        <v>653</v>
      </c>
      <c r="M264" s="18" t="s">
        <v>98</v>
      </c>
      <c r="N264" s="18" t="s">
        <v>64</v>
      </c>
      <c r="O264" s="18" t="s">
        <v>799</v>
      </c>
      <c r="Q264" s="23" t="s">
        <v>66</v>
      </c>
      <c r="R264" s="23">
        <v>20</v>
      </c>
      <c r="S264" s="24">
        <v>2000000</v>
      </c>
      <c r="T264" s="28">
        <v>6606</v>
      </c>
      <c r="U264" s="18" t="s">
        <v>67</v>
      </c>
      <c r="V264" s="18" t="s">
        <v>110</v>
      </c>
      <c r="W264" s="18" t="s">
        <v>69</v>
      </c>
      <c r="X264" s="20">
        <v>46052</v>
      </c>
      <c r="Y264" s="18" t="s">
        <v>655</v>
      </c>
      <c r="Z264" s="18" t="str">
        <f>_xlfn.XLOOKUP(Y264,'[1]Data Source'!A:A,'[1]Data Source'!E:E,"N/A",0)</f>
        <v>LG</v>
      </c>
      <c r="AA264" s="18" t="s">
        <v>656</v>
      </c>
      <c r="AB264" s="18" t="s">
        <v>653</v>
      </c>
      <c r="AC264" s="18" t="str">
        <f>_xlfn.XLOOKUP(L264,'[1]2026 Mapping v3'!A:A,'[1]2026 Mapping v3'!B:B,"Error",0)</f>
        <v>Nairobi Central</v>
      </c>
      <c r="AD264" s="18" t="str">
        <f>_xlfn.XLOOKUP(L264,'[1]2026 Mapping v3'!A:A,'[1]2026 Mapping v3'!C:C,"Error",0)</f>
        <v>George Maina</v>
      </c>
      <c r="AE264" s="18" t="str">
        <f>_xlfn.XLOOKUP(L264,'[1]2026 Mapping v3'!A:A,'[1]2026 Mapping v3'!D:D,"Error",0)</f>
        <v>Zedekiah Mburu</v>
      </c>
      <c r="AF264" s="18" t="str">
        <f>_xlfn.XLOOKUP(L264,'[1]2026 Mapping v3'!A:A,'[1]2026 Mapping v3'!E:E,"Error",0)</f>
        <v>Bilha Wachira</v>
      </c>
      <c r="AS264" s="24">
        <v>6606</v>
      </c>
      <c r="AT264" s="24"/>
      <c r="AU264" s="24"/>
      <c r="AV264" s="24"/>
      <c r="AX264" s="29"/>
      <c r="BE264" s="24">
        <v>6606</v>
      </c>
    </row>
    <row r="265" spans="1:57">
      <c r="A265" s="18" t="s">
        <v>57</v>
      </c>
      <c r="B265" s="19">
        <v>27196957</v>
      </c>
      <c r="C265" s="20">
        <v>46053</v>
      </c>
      <c r="D265" s="18" t="s">
        <v>58</v>
      </c>
      <c r="E265" s="18" t="s">
        <v>59</v>
      </c>
      <c r="F265" s="18" t="s">
        <v>60</v>
      </c>
      <c r="G265" s="18">
        <v>13735</v>
      </c>
      <c r="H265" s="18">
        <f>_xlfn.XLOOKUP(L265,'[1]2026 Mapping v3'!A:A,'[1]2026 Mapping v3'!F:F,0,0)</f>
        <v>65</v>
      </c>
      <c r="I265" s="18" t="b">
        <v>0</v>
      </c>
      <c r="J265" s="18" t="s">
        <v>800</v>
      </c>
      <c r="K265" s="21" t="s">
        <v>1288</v>
      </c>
      <c r="L265" s="18" t="s">
        <v>280</v>
      </c>
      <c r="M265" s="18" t="s">
        <v>98</v>
      </c>
      <c r="N265" s="18" t="s">
        <v>64</v>
      </c>
      <c r="O265" s="18" t="s">
        <v>801</v>
      </c>
      <c r="Q265" s="23" t="s">
        <v>80</v>
      </c>
      <c r="R265" s="23">
        <v>5</v>
      </c>
      <c r="S265" s="24">
        <v>6300630</v>
      </c>
      <c r="T265" s="28">
        <v>1000000</v>
      </c>
      <c r="U265" s="18" t="s">
        <v>67</v>
      </c>
      <c r="V265" s="18" t="s">
        <v>68</v>
      </c>
      <c r="W265" s="18" t="s">
        <v>69</v>
      </c>
      <c r="X265" s="20">
        <v>46027</v>
      </c>
      <c r="Y265" s="18" t="s">
        <v>282</v>
      </c>
      <c r="Z265" s="18" t="str">
        <f>_xlfn.XLOOKUP(Y265,'[1]Data Source'!A:A,'[1]Data Source'!E:E,"N/A",0)</f>
        <v>LG</v>
      </c>
      <c r="AA265" s="18" t="s">
        <v>283</v>
      </c>
      <c r="AB265" s="18" t="s">
        <v>280</v>
      </c>
      <c r="AC265" s="18" t="str">
        <f>_xlfn.XLOOKUP(L265,'[1]2026 Mapping v3'!A:A,'[1]2026 Mapping v3'!B:B,"Error",0)</f>
        <v>Mt. Kenya</v>
      </c>
      <c r="AD265" s="18" t="str">
        <f>_xlfn.XLOOKUP(L265,'[1]2026 Mapping v3'!A:A,'[1]2026 Mapping v3'!C:C,"Error",0)</f>
        <v>Teresa Maina</v>
      </c>
      <c r="AE265" s="18" t="str">
        <f>_xlfn.XLOOKUP(L265,'[1]2026 Mapping v3'!A:A,'[1]2026 Mapping v3'!D:D,"Error",0)</f>
        <v>Paul Kithuka</v>
      </c>
      <c r="AF265" s="18" t="str">
        <f>_xlfn.XLOOKUP(L265,'[1]2026 Mapping v3'!A:A,'[1]2026 Mapping v3'!E:E,"Error",0)</f>
        <v>Simon Maingi</v>
      </c>
      <c r="AS265" s="24">
        <v>1000000</v>
      </c>
      <c r="AT265" s="24"/>
      <c r="AU265" s="24"/>
      <c r="AV265" s="24"/>
      <c r="AX265" s="29"/>
      <c r="BE265" s="24">
        <v>1000000</v>
      </c>
    </row>
    <row r="266" spans="1:57">
      <c r="A266" s="18" t="s">
        <v>57</v>
      </c>
      <c r="B266" s="19">
        <v>27196957</v>
      </c>
      <c r="C266" s="20">
        <v>46053</v>
      </c>
      <c r="D266" s="18" t="s">
        <v>58</v>
      </c>
      <c r="E266" s="18" t="s">
        <v>59</v>
      </c>
      <c r="F266" s="18" t="s">
        <v>60</v>
      </c>
      <c r="G266" s="18">
        <v>12753</v>
      </c>
      <c r="H266" s="18">
        <f>_xlfn.XLOOKUP(L266,'[1]2026 Mapping v3'!A:A,'[1]2026 Mapping v3'!F:F,0,0)</f>
        <v>18</v>
      </c>
      <c r="I266" s="18" t="b">
        <v>0</v>
      </c>
      <c r="J266" s="18" t="s">
        <v>184</v>
      </c>
      <c r="K266" s="21" t="s">
        <v>1289</v>
      </c>
      <c r="L266" s="18" t="s">
        <v>419</v>
      </c>
      <c r="M266" s="18" t="s">
        <v>98</v>
      </c>
      <c r="N266" s="18" t="s">
        <v>64</v>
      </c>
      <c r="O266" s="18" t="s">
        <v>802</v>
      </c>
      <c r="Q266" s="23" t="s">
        <v>80</v>
      </c>
      <c r="R266" s="23">
        <v>5</v>
      </c>
      <c r="S266" s="24">
        <v>1260126</v>
      </c>
      <c r="T266" s="28">
        <v>200002</v>
      </c>
      <c r="U266" s="18" t="s">
        <v>67</v>
      </c>
      <c r="V266" s="18" t="s">
        <v>68</v>
      </c>
      <c r="W266" s="18" t="s">
        <v>69</v>
      </c>
      <c r="X266" s="20">
        <v>46052</v>
      </c>
      <c r="Y266" s="18" t="s">
        <v>803</v>
      </c>
      <c r="Z266" s="18" t="str">
        <f>_xlfn.XLOOKUP(Y266,'[1]Data Source'!A:A,'[1]Data Source'!E:E,"N/A",0)</f>
        <v>LG</v>
      </c>
      <c r="AA266" s="18" t="s">
        <v>804</v>
      </c>
      <c r="AB266" s="18" t="s">
        <v>419</v>
      </c>
      <c r="AC266" s="18" t="str">
        <f>_xlfn.XLOOKUP(L266,'[1]2026 Mapping v3'!A:A,'[1]2026 Mapping v3'!B:B,"Error",0)</f>
        <v>Rift Valley</v>
      </c>
      <c r="AD266" s="18" t="str">
        <f>_xlfn.XLOOKUP(L266,'[1]2026 Mapping v3'!A:A,'[1]2026 Mapping v3'!C:C,"Error",0)</f>
        <v>Jane Nduta</v>
      </c>
      <c r="AE266" s="18" t="str">
        <f>_xlfn.XLOOKUP(L266,'[1]2026 Mapping v3'!A:A,'[1]2026 Mapping v3'!D:D,"Error",0)</f>
        <v>Emily Jepchirchir</v>
      </c>
      <c r="AF266" s="18" t="str">
        <f>_xlfn.XLOOKUP(L266,'[1]2026 Mapping v3'!A:A,'[1]2026 Mapping v3'!E:E,"Error",0)</f>
        <v>Emily Jepchirchir</v>
      </c>
      <c r="AS266" s="24">
        <v>200002</v>
      </c>
      <c r="AT266" s="24"/>
      <c r="AU266" s="24"/>
      <c r="AV266" s="24"/>
      <c r="AX266" s="29"/>
      <c r="BE266" s="24">
        <v>200002</v>
      </c>
    </row>
    <row r="267" spans="1:57">
      <c r="A267" s="18" t="s">
        <v>57</v>
      </c>
      <c r="B267" s="19">
        <v>27196957</v>
      </c>
      <c r="C267" s="20">
        <v>46053</v>
      </c>
      <c r="D267" s="18" t="s">
        <v>58</v>
      </c>
      <c r="E267" s="18" t="s">
        <v>59</v>
      </c>
      <c r="F267" s="18" t="s">
        <v>60</v>
      </c>
      <c r="G267" s="18">
        <v>15612</v>
      </c>
      <c r="H267" s="18">
        <f>_xlfn.XLOOKUP(L267,'[1]2026 Mapping v3'!A:A,'[1]2026 Mapping v3'!F:F,0,0)</f>
        <v>45</v>
      </c>
      <c r="I267" s="18" t="b">
        <v>0</v>
      </c>
      <c r="J267" s="18" t="s">
        <v>483</v>
      </c>
      <c r="K267" s="21" t="s">
        <v>1290</v>
      </c>
      <c r="L267" s="18" t="s">
        <v>805</v>
      </c>
      <c r="M267" s="18" t="s">
        <v>98</v>
      </c>
      <c r="N267" s="18" t="s">
        <v>64</v>
      </c>
      <c r="O267" s="18" t="s">
        <v>806</v>
      </c>
      <c r="Q267" s="23" t="s">
        <v>80</v>
      </c>
      <c r="R267" s="23">
        <v>5</v>
      </c>
      <c r="S267" s="24">
        <v>10000000</v>
      </c>
      <c r="T267" s="28">
        <v>1588980</v>
      </c>
      <c r="U267" s="18" t="s">
        <v>67</v>
      </c>
      <c r="V267" s="18" t="s">
        <v>68</v>
      </c>
      <c r="W267" s="18" t="s">
        <v>69</v>
      </c>
      <c r="X267" s="20">
        <v>46052</v>
      </c>
      <c r="Y267" s="18" t="s">
        <v>807</v>
      </c>
      <c r="Z267" s="18" t="str">
        <f>_xlfn.XLOOKUP(Y267,'[1]Data Source'!A:A,'[1]Data Source'!E:E,"N/A",0)</f>
        <v>LG</v>
      </c>
      <c r="AA267" s="18" t="s">
        <v>808</v>
      </c>
      <c r="AB267" s="18" t="s">
        <v>805</v>
      </c>
      <c r="AC267" s="18" t="str">
        <f>_xlfn.XLOOKUP(L267,'[1]2026 Mapping v3'!A:A,'[1]2026 Mapping v3'!B:B,"Error",0)</f>
        <v>Nairobi West</v>
      </c>
      <c r="AD267" s="18" t="str">
        <f>_xlfn.XLOOKUP(L267,'[1]2026 Mapping v3'!A:A,'[1]2026 Mapping v3'!C:C,"Error",0)</f>
        <v>Valentine Musyoka</v>
      </c>
      <c r="AE267" s="18" t="str">
        <f>_xlfn.XLOOKUP(L267,'[1]2026 Mapping v3'!A:A,'[1]2026 Mapping v3'!D:D,"Error",0)</f>
        <v>Ancetar Mulili</v>
      </c>
      <c r="AF267" s="18" t="str">
        <f>_xlfn.XLOOKUP(L267,'[1]2026 Mapping v3'!A:A,'[1]2026 Mapping v3'!E:E,"Error",0)</f>
        <v>Bilha Wachira</v>
      </c>
      <c r="AS267" s="24">
        <v>1588980</v>
      </c>
      <c r="AT267" s="24"/>
      <c r="AU267" s="24"/>
      <c r="AV267" s="24"/>
      <c r="AX267" s="29"/>
      <c r="BE267" s="24">
        <v>1588980</v>
      </c>
    </row>
    <row r="268" spans="1:57">
      <c r="A268" s="18" t="s">
        <v>57</v>
      </c>
      <c r="B268" s="19">
        <v>27196957</v>
      </c>
      <c r="C268" s="20">
        <v>46053</v>
      </c>
      <c r="D268" s="18" t="s">
        <v>58</v>
      </c>
      <c r="E268" s="18" t="s">
        <v>59</v>
      </c>
      <c r="F268" s="18" t="s">
        <v>60</v>
      </c>
      <c r="G268" s="18">
        <v>16063</v>
      </c>
      <c r="H268" s="18">
        <f>_xlfn.XLOOKUP(L268,'[1]2026 Mapping v3'!A:A,'[1]2026 Mapping v3'!F:F,0,0)</f>
        <v>68</v>
      </c>
      <c r="I268" s="18" t="b">
        <v>0</v>
      </c>
      <c r="J268" s="18" t="s">
        <v>809</v>
      </c>
      <c r="K268" s="21" t="s">
        <v>1291</v>
      </c>
      <c r="L268" s="18" t="s">
        <v>431</v>
      </c>
      <c r="M268" s="18" t="s">
        <v>98</v>
      </c>
      <c r="N268" s="18" t="s">
        <v>64</v>
      </c>
      <c r="O268" s="18" t="s">
        <v>810</v>
      </c>
      <c r="Q268" s="23" t="s">
        <v>80</v>
      </c>
      <c r="R268" s="23">
        <v>10</v>
      </c>
      <c r="S268" s="24">
        <v>1993857</v>
      </c>
      <c r="T268" s="28">
        <v>15000</v>
      </c>
      <c r="U268" s="18" t="s">
        <v>67</v>
      </c>
      <c r="V268" s="18" t="s">
        <v>110</v>
      </c>
      <c r="W268" s="18" t="s">
        <v>69</v>
      </c>
      <c r="X268" s="20">
        <v>46023</v>
      </c>
      <c r="Y268" s="18" t="s">
        <v>761</v>
      </c>
      <c r="Z268" s="18" t="str">
        <f>_xlfn.XLOOKUP(Y268,'[1]Data Source'!A:A,'[1]Data Source'!E:E,"N/A",0)</f>
        <v>LG</v>
      </c>
      <c r="AA268" s="18" t="s">
        <v>762</v>
      </c>
      <c r="AB268" s="18" t="s">
        <v>431</v>
      </c>
      <c r="AC268" s="18" t="str">
        <f>_xlfn.XLOOKUP(L268,'[1]2026 Mapping v3'!A:A,'[1]2026 Mapping v3'!B:B,"Error",0)</f>
        <v>Nairobi Central</v>
      </c>
      <c r="AD268" s="18" t="str">
        <f>_xlfn.XLOOKUP(L268,'[1]2026 Mapping v3'!A:A,'[1]2026 Mapping v3'!C:C,"Error",0)</f>
        <v>Zedekiah Mburu</v>
      </c>
      <c r="AE268" s="18" t="str">
        <f>_xlfn.XLOOKUP(L268,'[1]2026 Mapping v3'!A:A,'[1]2026 Mapping v3'!D:D,"Error",0)</f>
        <v>Zedekiah Mburu</v>
      </c>
      <c r="AF268" s="18" t="str">
        <f>_xlfn.XLOOKUP(L268,'[1]2026 Mapping v3'!A:A,'[1]2026 Mapping v3'!E:E,"Error",0)</f>
        <v>Bilha Wachira</v>
      </c>
      <c r="AS268" s="24">
        <v>15000</v>
      </c>
      <c r="AT268" s="24"/>
      <c r="AU268" s="24"/>
      <c r="AV268" s="24"/>
      <c r="AX268" s="29"/>
      <c r="BE268" s="24">
        <v>15000</v>
      </c>
    </row>
    <row r="269" spans="1:57">
      <c r="A269" s="18" t="s">
        <v>57</v>
      </c>
      <c r="B269" s="19">
        <v>27196957</v>
      </c>
      <c r="C269" s="20">
        <v>46053</v>
      </c>
      <c r="D269" s="18" t="s">
        <v>58</v>
      </c>
      <c r="E269" s="18" t="s">
        <v>59</v>
      </c>
      <c r="F269" s="18" t="s">
        <v>60</v>
      </c>
      <c r="G269" s="18">
        <v>17915</v>
      </c>
      <c r="H269" s="18">
        <f>_xlfn.XLOOKUP(L269,'[1]2026 Mapping v3'!A:A,'[1]2026 Mapping v3'!F:F,0,0)</f>
        <v>59</v>
      </c>
      <c r="I269" s="18" t="b">
        <v>0</v>
      </c>
      <c r="J269" s="18" t="s">
        <v>356</v>
      </c>
      <c r="K269" s="21" t="s">
        <v>1292</v>
      </c>
      <c r="L269" s="18" t="s">
        <v>786</v>
      </c>
      <c r="M269" s="18" t="s">
        <v>98</v>
      </c>
      <c r="N269" s="18" t="s">
        <v>64</v>
      </c>
      <c r="O269" s="18" t="s">
        <v>811</v>
      </c>
      <c r="Q269" s="23" t="s">
        <v>80</v>
      </c>
      <c r="R269" s="23">
        <v>5</v>
      </c>
      <c r="S269" s="24">
        <v>1260126</v>
      </c>
      <c r="T269" s="28">
        <v>200002</v>
      </c>
      <c r="U269" s="18" t="s">
        <v>67</v>
      </c>
      <c r="V269" s="18" t="s">
        <v>68</v>
      </c>
      <c r="W269" s="18" t="s">
        <v>69</v>
      </c>
      <c r="X269" s="20">
        <v>46023</v>
      </c>
      <c r="Y269" s="18" t="s">
        <v>812</v>
      </c>
      <c r="Z269" s="18" t="str">
        <f>_xlfn.XLOOKUP(Y269,'[1]Data Source'!A:A,'[1]Data Source'!E:E,"N/A",0)</f>
        <v>LG</v>
      </c>
      <c r="AA269" s="18" t="s">
        <v>813</v>
      </c>
      <c r="AB269" s="18" t="s">
        <v>786</v>
      </c>
      <c r="AC269" s="18" t="str">
        <f>_xlfn.XLOOKUP(L269,'[1]2026 Mapping v3'!A:A,'[1]2026 Mapping v3'!B:B,"Error",0)</f>
        <v>Rift Valley</v>
      </c>
      <c r="AD269" s="18" t="str">
        <f>_xlfn.XLOOKUP(L269,'[1]2026 Mapping v3'!A:A,'[1]2026 Mapping v3'!C:C,"Error",0)</f>
        <v>Jane Nduta</v>
      </c>
      <c r="AE269" s="18" t="str">
        <f>_xlfn.XLOOKUP(L269,'[1]2026 Mapping v3'!A:A,'[1]2026 Mapping v3'!D:D,"Error",0)</f>
        <v>Emily Jepchirchir</v>
      </c>
      <c r="AF269" s="18" t="str">
        <f>_xlfn.XLOOKUP(L269,'[1]2026 Mapping v3'!A:A,'[1]2026 Mapping v3'!E:E,"Error",0)</f>
        <v>Emily Jepchirchir</v>
      </c>
      <c r="AS269" s="24">
        <v>200002</v>
      </c>
      <c r="AT269" s="24"/>
      <c r="AU269" s="24"/>
      <c r="AV269" s="24"/>
      <c r="AX269" s="29"/>
      <c r="BE269" s="24">
        <v>200002</v>
      </c>
    </row>
    <row r="270" spans="1:57">
      <c r="A270" s="18" t="s">
        <v>57</v>
      </c>
      <c r="B270" s="19">
        <v>27196957</v>
      </c>
      <c r="C270" s="20">
        <v>46053</v>
      </c>
      <c r="D270" s="18" t="s">
        <v>58</v>
      </c>
      <c r="E270" s="18" t="s">
        <v>59</v>
      </c>
      <c r="F270" s="18" t="s">
        <v>60</v>
      </c>
      <c r="G270" s="18">
        <v>16052</v>
      </c>
      <c r="H270" s="18">
        <f>_xlfn.XLOOKUP(L270,'[1]2026 Mapping v3'!A:A,'[1]2026 Mapping v3'!F:F,0,0)</f>
        <v>7</v>
      </c>
      <c r="I270" s="18" t="b">
        <v>0</v>
      </c>
      <c r="J270" s="18" t="s">
        <v>375</v>
      </c>
      <c r="K270" s="21" t="s">
        <v>1293</v>
      </c>
      <c r="L270" s="18" t="s">
        <v>653</v>
      </c>
      <c r="M270" s="18" t="s">
        <v>98</v>
      </c>
      <c r="N270" s="18" t="s">
        <v>64</v>
      </c>
      <c r="O270" s="18" t="s">
        <v>814</v>
      </c>
      <c r="Q270" s="23" t="s">
        <v>80</v>
      </c>
      <c r="R270" s="23">
        <v>15</v>
      </c>
      <c r="S270" s="24">
        <v>3000000</v>
      </c>
      <c r="T270" s="28">
        <v>14404</v>
      </c>
      <c r="U270" s="18" t="s">
        <v>67</v>
      </c>
      <c r="V270" s="18" t="s">
        <v>110</v>
      </c>
      <c r="W270" s="18" t="s">
        <v>69</v>
      </c>
      <c r="X270" s="20">
        <v>46032</v>
      </c>
      <c r="Y270" s="18" t="s">
        <v>655</v>
      </c>
      <c r="Z270" s="18" t="str">
        <f>_xlfn.XLOOKUP(Y270,'[1]Data Source'!A:A,'[1]Data Source'!E:E,"N/A",0)</f>
        <v>LG</v>
      </c>
      <c r="AA270" s="18" t="s">
        <v>656</v>
      </c>
      <c r="AB270" s="18" t="s">
        <v>653</v>
      </c>
      <c r="AC270" s="18" t="str">
        <f>_xlfn.XLOOKUP(L270,'[1]2026 Mapping v3'!A:A,'[1]2026 Mapping v3'!B:B,"Error",0)</f>
        <v>Nairobi Central</v>
      </c>
      <c r="AD270" s="18" t="str">
        <f>_xlfn.XLOOKUP(L270,'[1]2026 Mapping v3'!A:A,'[1]2026 Mapping v3'!C:C,"Error",0)</f>
        <v>George Maina</v>
      </c>
      <c r="AE270" s="18" t="str">
        <f>_xlfn.XLOOKUP(L270,'[1]2026 Mapping v3'!A:A,'[1]2026 Mapping v3'!D:D,"Error",0)</f>
        <v>Zedekiah Mburu</v>
      </c>
      <c r="AF270" s="18" t="str">
        <f>_xlfn.XLOOKUP(L270,'[1]2026 Mapping v3'!A:A,'[1]2026 Mapping v3'!E:E,"Error",0)</f>
        <v>Bilha Wachira</v>
      </c>
      <c r="AS270" s="24">
        <v>14404</v>
      </c>
      <c r="AT270" s="24"/>
      <c r="AU270" s="24"/>
      <c r="AV270" s="24"/>
      <c r="AX270" s="29"/>
      <c r="BE270" s="24">
        <v>14404</v>
      </c>
    </row>
    <row r="271" spans="1:57">
      <c r="A271" s="18" t="s">
        <v>57</v>
      </c>
      <c r="B271" s="19">
        <v>27196957</v>
      </c>
      <c r="C271" s="20">
        <v>46053</v>
      </c>
      <c r="D271" s="18" t="s">
        <v>58</v>
      </c>
      <c r="E271" s="18" t="s">
        <v>59</v>
      </c>
      <c r="F271" s="18" t="s">
        <v>60</v>
      </c>
      <c r="G271" s="18">
        <v>17415</v>
      </c>
      <c r="H271" s="18">
        <f>_xlfn.XLOOKUP(L271,'[1]2026 Mapping v3'!A:A,'[1]2026 Mapping v3'!F:F,0,0)</f>
        <v>79</v>
      </c>
      <c r="I271" s="18" t="b">
        <v>0</v>
      </c>
      <c r="J271" s="18" t="s">
        <v>639</v>
      </c>
      <c r="K271" s="21" t="s">
        <v>1294</v>
      </c>
      <c r="L271" s="18" t="s">
        <v>781</v>
      </c>
      <c r="M271" s="18" t="s">
        <v>98</v>
      </c>
      <c r="N271" s="18" t="s">
        <v>64</v>
      </c>
      <c r="O271" s="18" t="s">
        <v>815</v>
      </c>
      <c r="Q271" s="23" t="s">
        <v>80</v>
      </c>
      <c r="R271" s="23">
        <v>5</v>
      </c>
      <c r="S271" s="24">
        <v>2241403</v>
      </c>
      <c r="T271" s="28">
        <v>400004</v>
      </c>
      <c r="U271" s="18" t="s">
        <v>67</v>
      </c>
      <c r="V271" s="18" t="s">
        <v>68</v>
      </c>
      <c r="W271" s="18" t="s">
        <v>69</v>
      </c>
      <c r="X271" s="20">
        <v>46052</v>
      </c>
      <c r="Y271" s="18" t="s">
        <v>816</v>
      </c>
      <c r="Z271" s="18" t="str">
        <f>_xlfn.XLOOKUP(Y271,'[1]Data Source'!A:A,'[1]Data Source'!E:E,"N/A",0)</f>
        <v>LG</v>
      </c>
      <c r="AA271" s="18" t="s">
        <v>817</v>
      </c>
      <c r="AB271" s="18" t="s">
        <v>781</v>
      </c>
      <c r="AC271" s="18" t="str">
        <f>_xlfn.XLOOKUP(L271,'[1]2026 Mapping v3'!A:A,'[1]2026 Mapping v3'!B:B,"Error",0)</f>
        <v>Nairobi Central</v>
      </c>
      <c r="AD271" s="18" t="str">
        <f>_xlfn.XLOOKUP(L271,'[1]2026 Mapping v3'!A:A,'[1]2026 Mapping v3'!C:C,"Error",0)</f>
        <v>George Maina</v>
      </c>
      <c r="AE271" s="18" t="str">
        <f>_xlfn.XLOOKUP(L271,'[1]2026 Mapping v3'!A:A,'[1]2026 Mapping v3'!D:D,"Error",0)</f>
        <v>Zedekiah Mburu</v>
      </c>
      <c r="AF271" s="18" t="str">
        <f>_xlfn.XLOOKUP(L271,'[1]2026 Mapping v3'!A:A,'[1]2026 Mapping v3'!E:E,"Error",0)</f>
        <v>Bilha Wachira</v>
      </c>
      <c r="AS271" s="24">
        <v>400004</v>
      </c>
      <c r="AT271" s="24"/>
      <c r="AU271" s="24"/>
      <c r="AV271" s="24"/>
      <c r="AX271" s="29"/>
      <c r="BE271" s="24">
        <v>400004</v>
      </c>
    </row>
    <row r="272" spans="1:57">
      <c r="A272" s="18" t="s">
        <v>57</v>
      </c>
      <c r="B272" s="19">
        <v>27196957</v>
      </c>
      <c r="C272" s="20">
        <v>46053</v>
      </c>
      <c r="D272" s="18" t="s">
        <v>58</v>
      </c>
      <c r="E272" s="18" t="s">
        <v>59</v>
      </c>
      <c r="F272" s="18" t="s">
        <v>60</v>
      </c>
      <c r="G272" s="18">
        <v>11314</v>
      </c>
      <c r="H272" s="18">
        <f>_xlfn.XLOOKUP(L272,'[1]2026 Mapping v3'!A:A,'[1]2026 Mapping v3'!F:F,0,0)</f>
        <v>92</v>
      </c>
      <c r="I272" s="18" t="b">
        <v>0</v>
      </c>
      <c r="J272" s="18" t="s">
        <v>740</v>
      </c>
      <c r="K272" s="21" t="s">
        <v>1295</v>
      </c>
      <c r="L272" s="18" t="s">
        <v>393</v>
      </c>
      <c r="M272" s="18" t="s">
        <v>98</v>
      </c>
      <c r="N272" s="18" t="s">
        <v>64</v>
      </c>
      <c r="O272" s="18" t="s">
        <v>818</v>
      </c>
      <c r="Q272" s="23" t="s">
        <v>80</v>
      </c>
      <c r="R272" s="23">
        <v>10</v>
      </c>
      <c r="S272" s="24">
        <v>13500000</v>
      </c>
      <c r="T272" s="28">
        <v>1119658</v>
      </c>
      <c r="U272" s="18" t="s">
        <v>67</v>
      </c>
      <c r="V272" s="18" t="s">
        <v>68</v>
      </c>
      <c r="W272" s="18" t="s">
        <v>69</v>
      </c>
      <c r="X272" s="20">
        <v>46052</v>
      </c>
      <c r="Y272" s="18" t="s">
        <v>819</v>
      </c>
      <c r="Z272" s="18" t="str">
        <f>_xlfn.XLOOKUP(Y272,'[1]Data Source'!A:A,'[1]Data Source'!E:E,"N/A",0)</f>
        <v>LG</v>
      </c>
      <c r="AA272" s="18" t="s">
        <v>820</v>
      </c>
      <c r="AB272" s="18" t="s">
        <v>393</v>
      </c>
      <c r="AC272" s="18" t="str">
        <f>_xlfn.XLOOKUP(L272,'[1]2026 Mapping v3'!A:A,'[1]2026 Mapping v3'!B:B,"Error",0)</f>
        <v>Premier</v>
      </c>
      <c r="AD272" s="18" t="str">
        <f>_xlfn.XLOOKUP(L272,'[1]2026 Mapping v3'!A:A,'[1]2026 Mapping v3'!C:C,"Error",0)</f>
        <v>Joseph Kairu</v>
      </c>
      <c r="AE272" s="18" t="str">
        <f>_xlfn.XLOOKUP(L272,'[1]2026 Mapping v3'!A:A,'[1]2026 Mapping v3'!D:D,"Error",0)</f>
        <v>Joseph Kairu</v>
      </c>
      <c r="AF272" s="18" t="str">
        <f>_xlfn.XLOOKUP(L272,'[1]2026 Mapping v3'!A:A,'[1]2026 Mapping v3'!E:E,"Error",0)</f>
        <v>Debrah Rashid</v>
      </c>
      <c r="AS272" s="24">
        <v>1119658</v>
      </c>
      <c r="AT272" s="24"/>
      <c r="AU272" s="24"/>
      <c r="AV272" s="24"/>
      <c r="AX272" s="29"/>
      <c r="BE272" s="24">
        <v>1119658</v>
      </c>
    </row>
    <row r="273" spans="1:57">
      <c r="A273" s="18" t="s">
        <v>57</v>
      </c>
      <c r="B273" s="19">
        <v>27196957</v>
      </c>
      <c r="C273" s="20">
        <v>46053</v>
      </c>
      <c r="D273" s="18" t="s">
        <v>58</v>
      </c>
      <c r="E273" s="18" t="s">
        <v>59</v>
      </c>
      <c r="F273" s="18" t="s">
        <v>60</v>
      </c>
      <c r="G273" s="18">
        <v>2141</v>
      </c>
      <c r="H273" s="18">
        <f>_xlfn.XLOOKUP(L273,'[1]2026 Mapping v3'!A:A,'[1]2026 Mapping v3'!F:F,0,0)</f>
        <v>80</v>
      </c>
      <c r="I273" s="18" t="b">
        <v>0</v>
      </c>
      <c r="J273" s="18" t="s">
        <v>821</v>
      </c>
      <c r="K273" s="21" t="s">
        <v>1296</v>
      </c>
      <c r="L273" s="18" t="s">
        <v>566</v>
      </c>
      <c r="M273" s="18" t="s">
        <v>98</v>
      </c>
      <c r="N273" s="18" t="s">
        <v>64</v>
      </c>
      <c r="O273" s="18" t="s">
        <v>822</v>
      </c>
      <c r="Q273" s="23" t="s">
        <v>66</v>
      </c>
      <c r="R273" s="23">
        <v>5</v>
      </c>
      <c r="S273" s="24">
        <v>5000000</v>
      </c>
      <c r="T273" s="28">
        <v>64929</v>
      </c>
      <c r="U273" s="18" t="s">
        <v>67</v>
      </c>
      <c r="V273" s="18" t="s">
        <v>110</v>
      </c>
      <c r="W273" s="18" t="s">
        <v>69</v>
      </c>
      <c r="X273" s="20">
        <v>46052</v>
      </c>
      <c r="Y273" s="18" t="s">
        <v>568</v>
      </c>
      <c r="Z273" s="18" t="str">
        <f>_xlfn.XLOOKUP(Y273,'[1]Data Source'!A:A,'[1]Data Source'!E:E,"N/A",0)</f>
        <v>UB</v>
      </c>
      <c r="AA273" s="18" t="s">
        <v>569</v>
      </c>
      <c r="AB273" s="18" t="s">
        <v>570</v>
      </c>
      <c r="AC273" s="18" t="str">
        <f>_xlfn.XLOOKUP(L273,'[1]2026 Mapping v3'!A:A,'[1]2026 Mapping v3'!B:B,"Error",0)</f>
        <v>Nairobi East</v>
      </c>
      <c r="AD273" s="18" t="str">
        <f>_xlfn.XLOOKUP(L273,'[1]2026 Mapping v3'!A:A,'[1]2026 Mapping v3'!C:C,"Error",0)</f>
        <v>Julius Mugane</v>
      </c>
      <c r="AE273" s="18" t="str">
        <f>_xlfn.XLOOKUP(L273,'[1]2026 Mapping v3'!A:A,'[1]2026 Mapping v3'!D:D,"Error",0)</f>
        <v>Julius Mugane</v>
      </c>
      <c r="AF273" s="18" t="str">
        <f>_xlfn.XLOOKUP(L273,'[1]2026 Mapping v3'!A:A,'[1]2026 Mapping v3'!E:E,"Error",0)</f>
        <v>Debrah Rashid</v>
      </c>
      <c r="AS273" s="24">
        <v>64929</v>
      </c>
      <c r="AT273" s="24"/>
      <c r="AU273" s="24"/>
      <c r="AV273" s="24"/>
      <c r="AX273" s="29"/>
      <c r="BE273" s="24">
        <v>64929</v>
      </c>
    </row>
    <row r="274" spans="1:57">
      <c r="A274" s="18" t="s">
        <v>57</v>
      </c>
      <c r="B274" s="19">
        <v>27196957</v>
      </c>
      <c r="C274" s="20">
        <v>46053</v>
      </c>
      <c r="D274" s="18" t="s">
        <v>58</v>
      </c>
      <c r="E274" s="18" t="s">
        <v>59</v>
      </c>
      <c r="F274" s="18" t="s">
        <v>60</v>
      </c>
      <c r="G274" s="18">
        <v>2148</v>
      </c>
      <c r="H274" s="18">
        <f>_xlfn.XLOOKUP(L274,'[1]2026 Mapping v3'!A:A,'[1]2026 Mapping v3'!F:F,0,0)</f>
        <v>71</v>
      </c>
      <c r="I274" s="18" t="b">
        <v>0</v>
      </c>
      <c r="J274" s="18" t="s">
        <v>138</v>
      </c>
      <c r="K274" s="21" t="s">
        <v>1297</v>
      </c>
      <c r="L274" s="18" t="s">
        <v>89</v>
      </c>
      <c r="M274" s="18" t="s">
        <v>98</v>
      </c>
      <c r="N274" s="18" t="s">
        <v>64</v>
      </c>
      <c r="O274" s="18" t="s">
        <v>823</v>
      </c>
      <c r="Q274" s="23" t="s">
        <v>66</v>
      </c>
      <c r="R274" s="23">
        <v>6</v>
      </c>
      <c r="S274" s="24">
        <v>8101902</v>
      </c>
      <c r="T274" s="28">
        <v>5000000</v>
      </c>
      <c r="U274" s="18" t="s">
        <v>67</v>
      </c>
      <c r="V274" s="18" t="s">
        <v>68</v>
      </c>
      <c r="W274" s="18" t="s">
        <v>69</v>
      </c>
      <c r="X274" s="20">
        <v>46046</v>
      </c>
      <c r="Y274" s="18" t="s">
        <v>824</v>
      </c>
      <c r="Z274" s="18" t="str">
        <f>_xlfn.XLOOKUP(Y274,'[1]Data Source'!A:A,'[1]Data Source'!E:E,"N/A",0)</f>
        <v>N/A</v>
      </c>
      <c r="AA274" s="18" t="s">
        <v>101</v>
      </c>
      <c r="AB274" s="18" t="s">
        <v>89</v>
      </c>
      <c r="AC274" s="18" t="str">
        <f>_xlfn.XLOOKUP(L274,'[1]2026 Mapping v3'!A:A,'[1]2026 Mapping v3'!B:B,"Error",0)</f>
        <v>Queensway</v>
      </c>
      <c r="AD274" s="18" t="str">
        <f>_xlfn.XLOOKUP(L274,'[1]2026 Mapping v3'!A:A,'[1]2026 Mapping v3'!C:C,"Error",0)</f>
        <v>Nina Kifani</v>
      </c>
      <c r="AE274" s="18" t="str">
        <f>_xlfn.XLOOKUP(L274,'[1]2026 Mapping v3'!A:A,'[1]2026 Mapping v3'!D:D,"Error",0)</f>
        <v>Nina Kifani</v>
      </c>
      <c r="AF274" s="18" t="str">
        <f>_xlfn.XLOOKUP(L274,'[1]2026 Mapping v3'!A:A,'[1]2026 Mapping v3'!E:E,"Error",0)</f>
        <v>Bilha Wachira</v>
      </c>
      <c r="AS274" s="24">
        <v>5000000</v>
      </c>
      <c r="AT274" s="24"/>
      <c r="AU274" s="24"/>
      <c r="AV274" s="24"/>
      <c r="AX274" s="29"/>
      <c r="BE274" s="24">
        <v>5000000</v>
      </c>
    </row>
    <row r="275" spans="1:57">
      <c r="A275" s="18" t="s">
        <v>57</v>
      </c>
      <c r="B275" s="19">
        <v>27196957</v>
      </c>
      <c r="C275" s="20">
        <v>46053</v>
      </c>
      <c r="D275" s="18" t="s">
        <v>58</v>
      </c>
      <c r="E275" s="18" t="s">
        <v>59</v>
      </c>
      <c r="F275" s="18" t="s">
        <v>60</v>
      </c>
      <c r="G275" s="18">
        <v>13670</v>
      </c>
      <c r="H275" s="18">
        <f>_xlfn.XLOOKUP(L275,'[1]2026 Mapping v3'!A:A,'[1]2026 Mapping v3'!F:F,0,0)</f>
        <v>69</v>
      </c>
      <c r="I275" s="18" t="b">
        <v>0</v>
      </c>
      <c r="J275" s="18" t="s">
        <v>531</v>
      </c>
      <c r="K275" s="21" t="s">
        <v>1298</v>
      </c>
      <c r="L275" s="18" t="s">
        <v>825</v>
      </c>
      <c r="M275" s="18" t="s">
        <v>98</v>
      </c>
      <c r="N275" s="18" t="s">
        <v>64</v>
      </c>
      <c r="O275" s="18" t="s">
        <v>826</v>
      </c>
      <c r="Q275" s="23" t="s">
        <v>80</v>
      </c>
      <c r="R275" s="23">
        <v>5</v>
      </c>
      <c r="S275" s="24">
        <v>5000000</v>
      </c>
      <c r="T275" s="28">
        <v>794490</v>
      </c>
      <c r="U275" s="18" t="s">
        <v>67</v>
      </c>
      <c r="V275" s="18" t="s">
        <v>68</v>
      </c>
      <c r="W275" s="18" t="s">
        <v>69</v>
      </c>
      <c r="X275" s="20">
        <v>46046</v>
      </c>
      <c r="Y275" s="18" t="s">
        <v>827</v>
      </c>
      <c r="Z275" s="18" t="str">
        <f>_xlfn.XLOOKUP(Y275,'[1]Data Source'!A:A,'[1]Data Source'!E:E,"N/A",0)</f>
        <v>LG</v>
      </c>
      <c r="AA275" s="18" t="s">
        <v>828</v>
      </c>
      <c r="AB275" s="18" t="s">
        <v>825</v>
      </c>
      <c r="AC275" s="18" t="str">
        <f>_xlfn.XLOOKUP(L275,'[1]2026 Mapping v3'!A:A,'[1]2026 Mapping v3'!B:B,"Error",0)</f>
        <v>Nairobi West</v>
      </c>
      <c r="AD275" s="18" t="str">
        <f>_xlfn.XLOOKUP(L275,'[1]2026 Mapping v3'!A:A,'[1]2026 Mapping v3'!C:C,"Error",0)</f>
        <v>Valentine Musyoka</v>
      </c>
      <c r="AE275" s="18" t="str">
        <f>_xlfn.XLOOKUP(L275,'[1]2026 Mapping v3'!A:A,'[1]2026 Mapping v3'!D:D,"Error",0)</f>
        <v>Ancetar Mulili</v>
      </c>
      <c r="AF275" s="18" t="str">
        <f>_xlfn.XLOOKUP(L275,'[1]2026 Mapping v3'!A:A,'[1]2026 Mapping v3'!E:E,"Error",0)</f>
        <v>Bilha Wachira</v>
      </c>
      <c r="AS275" s="24">
        <v>794490</v>
      </c>
      <c r="AT275" s="24"/>
      <c r="AU275" s="24"/>
      <c r="AV275" s="24"/>
      <c r="AX275" s="29"/>
      <c r="BE275" s="24">
        <v>794490</v>
      </c>
    </row>
    <row r="276" spans="1:57">
      <c r="A276" s="18" t="s">
        <v>57</v>
      </c>
      <c r="B276" s="19">
        <v>27196957</v>
      </c>
      <c r="C276" s="20">
        <v>46053</v>
      </c>
      <c r="D276" s="18" t="s">
        <v>58</v>
      </c>
      <c r="E276" s="18" t="s">
        <v>59</v>
      </c>
      <c r="F276" s="18" t="s">
        <v>60</v>
      </c>
      <c r="G276" s="18">
        <v>18783</v>
      </c>
      <c r="H276" s="18">
        <f>_xlfn.XLOOKUP(L276,'[1]2026 Mapping v3'!A:A,'[1]2026 Mapping v3'!F:F,0,0)</f>
        <v>1</v>
      </c>
      <c r="I276" s="18" t="b">
        <v>0</v>
      </c>
      <c r="J276" s="18" t="s">
        <v>639</v>
      </c>
      <c r="K276" s="21" t="s">
        <v>1299</v>
      </c>
      <c r="L276" s="18" t="s">
        <v>581</v>
      </c>
      <c r="M276" s="18" t="s">
        <v>98</v>
      </c>
      <c r="N276" s="18" t="s">
        <v>64</v>
      </c>
      <c r="O276" s="18" t="s">
        <v>829</v>
      </c>
      <c r="Q276" s="23" t="s">
        <v>80</v>
      </c>
      <c r="R276" s="23">
        <v>5</v>
      </c>
      <c r="S276" s="24">
        <v>2079208</v>
      </c>
      <c r="T276" s="28">
        <v>30035</v>
      </c>
      <c r="U276" s="18" t="s">
        <v>67</v>
      </c>
      <c r="V276" s="18" t="s">
        <v>110</v>
      </c>
      <c r="W276" s="18" t="s">
        <v>69</v>
      </c>
      <c r="X276" s="20">
        <v>46042</v>
      </c>
      <c r="Y276" s="18" t="s">
        <v>830</v>
      </c>
      <c r="Z276" s="18" t="str">
        <f>_xlfn.XLOOKUP(Y276,'[1]Data Source'!A:A,'[1]Data Source'!E:E,"N/A",0)</f>
        <v>N/A</v>
      </c>
      <c r="AA276" s="18" t="s">
        <v>101</v>
      </c>
      <c r="AB276" s="18" t="s">
        <v>581</v>
      </c>
      <c r="AC276" s="18" t="str">
        <f>_xlfn.XLOOKUP(L276,'[1]2026 Mapping v3'!A:A,'[1]2026 Mapping v3'!B:B,"Error",0)</f>
        <v>Nairobi East</v>
      </c>
      <c r="AD276" s="18" t="str">
        <f>_xlfn.XLOOKUP(L276,'[1]2026 Mapping v3'!A:A,'[1]2026 Mapping v3'!C:C,"Error",0)</f>
        <v>Charles Gicho</v>
      </c>
      <c r="AE276" s="18" t="str">
        <f>_xlfn.XLOOKUP(L276,'[1]2026 Mapping v3'!A:A,'[1]2026 Mapping v3'!D:D,"Error",0)</f>
        <v>Julius Mugane</v>
      </c>
      <c r="AF276" s="18" t="str">
        <f>_xlfn.XLOOKUP(L276,'[1]2026 Mapping v3'!A:A,'[1]2026 Mapping v3'!E:E,"Error",0)</f>
        <v>Debrah Rashid</v>
      </c>
      <c r="AS276" s="24">
        <v>30035</v>
      </c>
      <c r="AT276" s="24"/>
      <c r="AU276" s="24"/>
      <c r="AV276" s="24"/>
      <c r="AX276" s="29"/>
      <c r="BE276" s="24">
        <v>30035</v>
      </c>
    </row>
    <row r="277" spans="1:57">
      <c r="A277" s="18" t="s">
        <v>57</v>
      </c>
      <c r="B277" s="19">
        <v>27196957</v>
      </c>
      <c r="C277" s="20">
        <v>46053</v>
      </c>
      <c r="D277" s="18" t="s">
        <v>58</v>
      </c>
      <c r="E277" s="18" t="s">
        <v>59</v>
      </c>
      <c r="F277" s="18" t="s">
        <v>60</v>
      </c>
      <c r="G277" s="18">
        <v>15611</v>
      </c>
      <c r="H277" s="18">
        <f>_xlfn.XLOOKUP(L277,'[1]2026 Mapping v3'!A:A,'[1]2026 Mapping v3'!F:F,0,0)</f>
        <v>45</v>
      </c>
      <c r="I277" s="18" t="b">
        <v>0</v>
      </c>
      <c r="J277" s="18" t="s">
        <v>831</v>
      </c>
      <c r="K277" s="21" t="s">
        <v>1300</v>
      </c>
      <c r="L277" s="18" t="s">
        <v>805</v>
      </c>
      <c r="M277" s="18" t="s">
        <v>98</v>
      </c>
      <c r="N277" s="18" t="s">
        <v>64</v>
      </c>
      <c r="O277" s="18" t="s">
        <v>832</v>
      </c>
      <c r="Q277" s="23" t="s">
        <v>80</v>
      </c>
      <c r="R277" s="23">
        <v>5</v>
      </c>
      <c r="S277" s="24">
        <v>10000000</v>
      </c>
      <c r="T277" s="28">
        <v>1588980</v>
      </c>
      <c r="U277" s="18" t="s">
        <v>67</v>
      </c>
      <c r="V277" s="18" t="s">
        <v>68</v>
      </c>
      <c r="W277" s="18" t="s">
        <v>69</v>
      </c>
      <c r="X277" s="20">
        <v>46052</v>
      </c>
      <c r="Y277" s="18" t="s">
        <v>819</v>
      </c>
      <c r="Z277" s="18" t="str">
        <f>_xlfn.XLOOKUP(Y277,'[1]Data Source'!A:A,'[1]Data Source'!E:E,"N/A",0)</f>
        <v>LG</v>
      </c>
      <c r="AA277" s="18" t="s">
        <v>820</v>
      </c>
      <c r="AB277" s="18" t="s">
        <v>805</v>
      </c>
      <c r="AC277" s="18" t="str">
        <f>_xlfn.XLOOKUP(L277,'[1]2026 Mapping v3'!A:A,'[1]2026 Mapping v3'!B:B,"Error",0)</f>
        <v>Nairobi West</v>
      </c>
      <c r="AD277" s="18" t="str">
        <f>_xlfn.XLOOKUP(L277,'[1]2026 Mapping v3'!A:A,'[1]2026 Mapping v3'!C:C,"Error",0)</f>
        <v>Valentine Musyoka</v>
      </c>
      <c r="AE277" s="18" t="str">
        <f>_xlfn.XLOOKUP(L277,'[1]2026 Mapping v3'!A:A,'[1]2026 Mapping v3'!D:D,"Error",0)</f>
        <v>Ancetar Mulili</v>
      </c>
      <c r="AF277" s="18" t="str">
        <f>_xlfn.XLOOKUP(L277,'[1]2026 Mapping v3'!A:A,'[1]2026 Mapping v3'!E:E,"Error",0)</f>
        <v>Bilha Wachira</v>
      </c>
      <c r="AS277" s="24">
        <v>1588980</v>
      </c>
      <c r="AT277" s="24"/>
      <c r="AU277" s="24"/>
      <c r="AV277" s="24"/>
      <c r="AX277" s="29"/>
      <c r="BE277" s="24">
        <v>1588980</v>
      </c>
    </row>
    <row r="278" spans="1:57">
      <c r="A278" s="18" t="s">
        <v>57</v>
      </c>
      <c r="B278" s="19">
        <v>27196957</v>
      </c>
      <c r="C278" s="20">
        <v>46053</v>
      </c>
      <c r="D278" s="18" t="s">
        <v>58</v>
      </c>
      <c r="E278" s="18" t="s">
        <v>59</v>
      </c>
      <c r="F278" s="18" t="s">
        <v>60</v>
      </c>
      <c r="G278" s="18">
        <v>18789</v>
      </c>
      <c r="H278" s="18">
        <f>_xlfn.XLOOKUP(L278,'[1]2026 Mapping v3'!A:A,'[1]2026 Mapping v3'!F:F,0,0)</f>
        <v>87</v>
      </c>
      <c r="I278" s="18" t="b">
        <v>0</v>
      </c>
      <c r="J278" s="18" t="s">
        <v>833</v>
      </c>
      <c r="K278" s="21" t="s">
        <v>1301</v>
      </c>
      <c r="L278" s="18" t="s">
        <v>625</v>
      </c>
      <c r="M278" s="18" t="s">
        <v>98</v>
      </c>
      <c r="N278" s="18" t="s">
        <v>64</v>
      </c>
      <c r="O278" s="18" t="s">
        <v>834</v>
      </c>
      <c r="Q278" s="23" t="s">
        <v>80</v>
      </c>
      <c r="R278" s="23">
        <v>10</v>
      </c>
      <c r="S278" s="24">
        <v>1330000</v>
      </c>
      <c r="T278" s="28">
        <v>100029</v>
      </c>
      <c r="U278" s="18" t="s">
        <v>67</v>
      </c>
      <c r="V278" s="18" t="s">
        <v>110</v>
      </c>
      <c r="W278" s="18" t="s">
        <v>69</v>
      </c>
      <c r="X278" s="20">
        <v>46046</v>
      </c>
      <c r="Y278" s="18" t="s">
        <v>627</v>
      </c>
      <c r="Z278" s="18" t="str">
        <f>_xlfn.XLOOKUP(Y278,'[1]Data Source'!A:A,'[1]Data Source'!E:E,"N/A",0)</f>
        <v>LG</v>
      </c>
      <c r="AA278" s="18" t="s">
        <v>628</v>
      </c>
      <c r="AB278" s="18" t="s">
        <v>625</v>
      </c>
      <c r="AC278" s="18" t="str">
        <f>_xlfn.XLOOKUP(L278,'[1]2026 Mapping v3'!A:A,'[1]2026 Mapping v3'!B:B,"Error",0)</f>
        <v>Nairobi East</v>
      </c>
      <c r="AD278" s="18" t="str">
        <f>_xlfn.XLOOKUP(L278,'[1]2026 Mapping v3'!A:A,'[1]2026 Mapping v3'!C:C,"Error",0)</f>
        <v>Charles Gicho</v>
      </c>
      <c r="AE278" s="18" t="str">
        <f>_xlfn.XLOOKUP(L278,'[1]2026 Mapping v3'!A:A,'[1]2026 Mapping v3'!D:D,"Error",0)</f>
        <v>Julius Mugane</v>
      </c>
      <c r="AF278" s="18" t="str">
        <f>_xlfn.XLOOKUP(L278,'[1]2026 Mapping v3'!A:A,'[1]2026 Mapping v3'!E:E,"Error",0)</f>
        <v>Debrah Rashid</v>
      </c>
      <c r="AS278" s="24">
        <v>100029</v>
      </c>
      <c r="AT278" s="24"/>
      <c r="AU278" s="24"/>
      <c r="AV278" s="24"/>
      <c r="AX278" s="29"/>
      <c r="BE278" s="24">
        <v>100029</v>
      </c>
    </row>
    <row r="279" spans="1:57">
      <c r="A279" s="18" t="s">
        <v>57</v>
      </c>
      <c r="B279" s="19">
        <v>27196957</v>
      </c>
      <c r="C279" s="20">
        <v>46053</v>
      </c>
      <c r="D279" s="18" t="s">
        <v>58</v>
      </c>
      <c r="E279" s="18" t="s">
        <v>59</v>
      </c>
      <c r="F279" s="18" t="s">
        <v>60</v>
      </c>
      <c r="G279" s="18">
        <v>2142</v>
      </c>
      <c r="H279" s="18">
        <f>_xlfn.XLOOKUP(L279,'[1]2026 Mapping v3'!A:A,'[1]2026 Mapping v3'!F:F,0,0)</f>
        <v>80</v>
      </c>
      <c r="I279" s="18" t="b">
        <v>0</v>
      </c>
      <c r="J279" s="18" t="s">
        <v>835</v>
      </c>
      <c r="K279" s="21" t="s">
        <v>1302</v>
      </c>
      <c r="L279" s="18" t="s">
        <v>566</v>
      </c>
      <c r="M279" s="18" t="s">
        <v>98</v>
      </c>
      <c r="N279" s="18" t="s">
        <v>64</v>
      </c>
      <c r="O279" s="18" t="s">
        <v>836</v>
      </c>
      <c r="Q279" s="23" t="s">
        <v>80</v>
      </c>
      <c r="R279" s="23">
        <v>5</v>
      </c>
      <c r="S279" s="24">
        <v>5000000</v>
      </c>
      <c r="T279" s="28">
        <v>64929</v>
      </c>
      <c r="U279" s="18" t="s">
        <v>67</v>
      </c>
      <c r="V279" s="18" t="s">
        <v>110</v>
      </c>
      <c r="W279" s="18" t="s">
        <v>69</v>
      </c>
      <c r="X279" s="20">
        <v>46046</v>
      </c>
      <c r="Y279" s="18" t="s">
        <v>568</v>
      </c>
      <c r="Z279" s="18" t="str">
        <f>_xlfn.XLOOKUP(Y279,'[1]Data Source'!A:A,'[1]Data Source'!E:E,"N/A",0)</f>
        <v>UB</v>
      </c>
      <c r="AA279" s="18" t="s">
        <v>569</v>
      </c>
      <c r="AB279" s="18" t="s">
        <v>570</v>
      </c>
      <c r="AC279" s="18" t="str">
        <f>_xlfn.XLOOKUP(L279,'[1]2026 Mapping v3'!A:A,'[1]2026 Mapping v3'!B:B,"Error",0)</f>
        <v>Nairobi East</v>
      </c>
      <c r="AD279" s="18" t="str">
        <f>_xlfn.XLOOKUP(L279,'[1]2026 Mapping v3'!A:A,'[1]2026 Mapping v3'!C:C,"Error",0)</f>
        <v>Julius Mugane</v>
      </c>
      <c r="AE279" s="18" t="str">
        <f>_xlfn.XLOOKUP(L279,'[1]2026 Mapping v3'!A:A,'[1]2026 Mapping v3'!D:D,"Error",0)</f>
        <v>Julius Mugane</v>
      </c>
      <c r="AF279" s="18" t="str">
        <f>_xlfn.XLOOKUP(L279,'[1]2026 Mapping v3'!A:A,'[1]2026 Mapping v3'!E:E,"Error",0)</f>
        <v>Debrah Rashid</v>
      </c>
      <c r="AS279" s="24">
        <v>64929</v>
      </c>
      <c r="AT279" s="24"/>
      <c r="AU279" s="24"/>
      <c r="AV279" s="24"/>
      <c r="AX279" s="29"/>
      <c r="BE279" s="24">
        <v>64929</v>
      </c>
    </row>
    <row r="280" spans="1:57">
      <c r="A280" s="18" t="s">
        <v>57</v>
      </c>
      <c r="B280" s="19">
        <v>27196957</v>
      </c>
      <c r="C280" s="20">
        <v>46053</v>
      </c>
      <c r="D280" s="18" t="s">
        <v>58</v>
      </c>
      <c r="E280" s="18" t="s">
        <v>59</v>
      </c>
      <c r="F280" s="18" t="s">
        <v>60</v>
      </c>
      <c r="G280" s="18">
        <v>11699</v>
      </c>
      <c r="H280" s="18">
        <f>_xlfn.XLOOKUP(L280,'[1]2026 Mapping v3'!A:A,'[1]2026 Mapping v3'!F:F,0,0)</f>
        <v>31</v>
      </c>
      <c r="I280" s="18" t="b">
        <v>0</v>
      </c>
      <c r="J280" s="18" t="s">
        <v>295</v>
      </c>
      <c r="K280" s="21" t="s">
        <v>1303</v>
      </c>
      <c r="L280" s="18" t="s">
        <v>267</v>
      </c>
      <c r="M280" s="18" t="s">
        <v>98</v>
      </c>
      <c r="N280" s="18" t="s">
        <v>64</v>
      </c>
      <c r="O280" s="18" t="s">
        <v>837</v>
      </c>
      <c r="Q280" s="23" t="s">
        <v>80</v>
      </c>
      <c r="R280" s="23">
        <v>5</v>
      </c>
      <c r="S280" s="24">
        <v>20000000</v>
      </c>
      <c r="T280" s="28">
        <v>3174292</v>
      </c>
      <c r="U280" s="18" t="s">
        <v>67</v>
      </c>
      <c r="V280" s="18" t="s">
        <v>68</v>
      </c>
      <c r="W280" s="18" t="s">
        <v>69</v>
      </c>
      <c r="X280" s="20">
        <v>46052</v>
      </c>
      <c r="Y280" s="18" t="s">
        <v>838</v>
      </c>
      <c r="Z280" s="18" t="str">
        <f>_xlfn.XLOOKUP(Y280,'[1]Data Source'!A:A,'[1]Data Source'!E:E,"N/A",0)</f>
        <v>LG</v>
      </c>
      <c r="AA280" s="18" t="s">
        <v>839</v>
      </c>
      <c r="AB280" s="18" t="s">
        <v>267</v>
      </c>
      <c r="AC280" s="18" t="str">
        <f>_xlfn.XLOOKUP(L280,'[1]2026 Mapping v3'!A:A,'[1]2026 Mapping v3'!B:B,"Error",0)</f>
        <v>Mt. Kenya</v>
      </c>
      <c r="AD280" s="18" t="str">
        <f>_xlfn.XLOOKUP(L280,'[1]2026 Mapping v3'!A:A,'[1]2026 Mapping v3'!C:C,"Error",0)</f>
        <v>Teresa Maina</v>
      </c>
      <c r="AE280" s="18" t="str">
        <f>_xlfn.XLOOKUP(L280,'[1]2026 Mapping v3'!A:A,'[1]2026 Mapping v3'!D:D,"Error",0)</f>
        <v>Paul Kithuka</v>
      </c>
      <c r="AF280" s="18" t="str">
        <f>_xlfn.XLOOKUP(L280,'[1]2026 Mapping v3'!A:A,'[1]2026 Mapping v3'!E:E,"Error",0)</f>
        <v>Simon Maingi</v>
      </c>
      <c r="AS280" s="24">
        <v>3174292</v>
      </c>
      <c r="AT280" s="24"/>
      <c r="AU280" s="24"/>
      <c r="AV280" s="24"/>
      <c r="AX280" s="29"/>
      <c r="BE280" s="24">
        <v>3174292</v>
      </c>
    </row>
    <row r="281" spans="1:57">
      <c r="A281" s="18" t="s">
        <v>57</v>
      </c>
      <c r="B281" s="19">
        <v>27196957</v>
      </c>
      <c r="C281" s="20">
        <v>46053</v>
      </c>
      <c r="D281" s="18" t="s">
        <v>58</v>
      </c>
      <c r="E281" s="18" t="s">
        <v>59</v>
      </c>
      <c r="F281" s="18" t="s">
        <v>60</v>
      </c>
      <c r="G281" s="18">
        <v>15430</v>
      </c>
      <c r="H281" s="18">
        <f>_xlfn.XLOOKUP(L281,'[1]2026 Mapping v3'!A:A,'[1]2026 Mapping v3'!F:F,0,0)</f>
        <v>74</v>
      </c>
      <c r="I281" s="18" t="b">
        <v>0</v>
      </c>
      <c r="J281" s="18" t="s">
        <v>200</v>
      </c>
      <c r="K281" s="21" t="s">
        <v>1304</v>
      </c>
      <c r="L281" s="18" t="s">
        <v>651</v>
      </c>
      <c r="M281" s="18" t="s">
        <v>98</v>
      </c>
      <c r="N281" s="18" t="s">
        <v>64</v>
      </c>
      <c r="O281" s="18" t="s">
        <v>840</v>
      </c>
      <c r="Q281" s="23" t="s">
        <v>80</v>
      </c>
      <c r="R281" s="23">
        <v>5</v>
      </c>
      <c r="S281" s="24">
        <v>1260126</v>
      </c>
      <c r="T281" s="28">
        <v>200234</v>
      </c>
      <c r="U281" s="18" t="s">
        <v>67</v>
      </c>
      <c r="V281" s="18" t="s">
        <v>68</v>
      </c>
      <c r="W281" s="18" t="s">
        <v>69</v>
      </c>
      <c r="X281" s="20">
        <v>46050</v>
      </c>
      <c r="Y281" s="18" t="s">
        <v>841</v>
      </c>
      <c r="Z281" s="18" t="str">
        <f>_xlfn.XLOOKUP(Y281,'[1]Data Source'!A:A,'[1]Data Source'!E:E,"N/A",0)</f>
        <v>LG</v>
      </c>
      <c r="AA281" s="18" t="s">
        <v>842</v>
      </c>
      <c r="AB281" s="18" t="s">
        <v>651</v>
      </c>
      <c r="AC281" s="18" t="str">
        <f>_xlfn.XLOOKUP(L281,'[1]2026 Mapping v3'!A:A,'[1]2026 Mapping v3'!B:B,"Error",0)</f>
        <v>Premier</v>
      </c>
      <c r="AD281" s="18" t="str">
        <f>_xlfn.XLOOKUP(L281,'[1]2026 Mapping v3'!A:A,'[1]2026 Mapping v3'!C:C,"Error",0)</f>
        <v>Joseph Kairu</v>
      </c>
      <c r="AE281" s="18" t="str">
        <f>_xlfn.XLOOKUP(L281,'[1]2026 Mapping v3'!A:A,'[1]2026 Mapping v3'!D:D,"Error",0)</f>
        <v>Joseph Kairu</v>
      </c>
      <c r="AF281" s="18" t="str">
        <f>_xlfn.XLOOKUP(L281,'[1]2026 Mapping v3'!A:A,'[1]2026 Mapping v3'!E:E,"Error",0)</f>
        <v>Debrah Rashid</v>
      </c>
      <c r="AS281" s="24">
        <v>200234</v>
      </c>
      <c r="AT281" s="24"/>
      <c r="AU281" s="24"/>
      <c r="AV281" s="24"/>
      <c r="AX281" s="29"/>
      <c r="BE281" s="24">
        <v>200234</v>
      </c>
    </row>
    <row r="282" spans="1:57">
      <c r="A282" s="18" t="s">
        <v>57</v>
      </c>
      <c r="B282" s="19">
        <v>27196957</v>
      </c>
      <c r="C282" s="20">
        <v>46053</v>
      </c>
      <c r="D282" s="18" t="s">
        <v>58</v>
      </c>
      <c r="E282" s="18" t="s">
        <v>59</v>
      </c>
      <c r="F282" s="18" t="s">
        <v>60</v>
      </c>
      <c r="G282" s="18">
        <v>3294</v>
      </c>
      <c r="H282" s="18">
        <f>_xlfn.XLOOKUP(L282,'[1]2026 Mapping v3'!A:A,'[1]2026 Mapping v3'!F:F,0,0)</f>
        <v>7</v>
      </c>
      <c r="I282" s="18" t="b">
        <v>0</v>
      </c>
      <c r="J282" s="18" t="s">
        <v>481</v>
      </c>
      <c r="K282" s="21" t="s">
        <v>1305</v>
      </c>
      <c r="L282" s="18" t="s">
        <v>653</v>
      </c>
      <c r="M282" s="18" t="s">
        <v>98</v>
      </c>
      <c r="N282" s="18" t="s">
        <v>64</v>
      </c>
      <c r="O282" s="18" t="s">
        <v>843</v>
      </c>
      <c r="Q282" s="23" t="s">
        <v>80</v>
      </c>
      <c r="R282" s="23">
        <v>20</v>
      </c>
      <c r="S282" s="24">
        <v>1800000</v>
      </c>
      <c r="T282" s="28">
        <v>6637</v>
      </c>
      <c r="U282" s="18" t="s">
        <v>67</v>
      </c>
      <c r="V282" s="18" t="s">
        <v>110</v>
      </c>
      <c r="W282" s="18" t="s">
        <v>69</v>
      </c>
      <c r="X282" s="20">
        <v>46052</v>
      </c>
      <c r="Y282" s="18" t="s">
        <v>655</v>
      </c>
      <c r="Z282" s="18" t="str">
        <f>_xlfn.XLOOKUP(Y282,'[1]Data Source'!A:A,'[1]Data Source'!E:E,"N/A",0)</f>
        <v>LG</v>
      </c>
      <c r="AA282" s="18" t="s">
        <v>656</v>
      </c>
      <c r="AB282" s="18" t="s">
        <v>653</v>
      </c>
      <c r="AC282" s="18" t="str">
        <f>_xlfn.XLOOKUP(L282,'[1]2026 Mapping v3'!A:A,'[1]2026 Mapping v3'!B:B,"Error",0)</f>
        <v>Nairobi Central</v>
      </c>
      <c r="AD282" s="18" t="str">
        <f>_xlfn.XLOOKUP(L282,'[1]2026 Mapping v3'!A:A,'[1]2026 Mapping v3'!C:C,"Error",0)</f>
        <v>George Maina</v>
      </c>
      <c r="AE282" s="18" t="str">
        <f>_xlfn.XLOOKUP(L282,'[1]2026 Mapping v3'!A:A,'[1]2026 Mapping v3'!D:D,"Error",0)</f>
        <v>Zedekiah Mburu</v>
      </c>
      <c r="AF282" s="18" t="str">
        <f>_xlfn.XLOOKUP(L282,'[1]2026 Mapping v3'!A:A,'[1]2026 Mapping v3'!E:E,"Error",0)</f>
        <v>Bilha Wachira</v>
      </c>
      <c r="AS282" s="24">
        <v>6637</v>
      </c>
      <c r="AT282" s="24"/>
      <c r="AU282" s="24"/>
      <c r="AV282" s="24"/>
      <c r="AX282" s="29"/>
      <c r="BE282" s="24">
        <v>6637</v>
      </c>
    </row>
    <row r="283" spans="1:57">
      <c r="A283" s="18" t="s">
        <v>57</v>
      </c>
      <c r="B283" s="19">
        <v>27196957</v>
      </c>
      <c r="C283" s="20">
        <v>46053</v>
      </c>
      <c r="D283" s="18" t="s">
        <v>58</v>
      </c>
      <c r="E283" s="18" t="s">
        <v>59</v>
      </c>
      <c r="F283" s="18" t="s">
        <v>60</v>
      </c>
      <c r="G283" s="18">
        <v>8976</v>
      </c>
      <c r="H283" s="18">
        <f>_xlfn.XLOOKUP(L283,'[1]2026 Mapping v3'!A:A,'[1]2026 Mapping v3'!F:F,0,0)</f>
        <v>20</v>
      </c>
      <c r="I283" s="18" t="b">
        <v>0</v>
      </c>
      <c r="J283" s="18" t="s">
        <v>102</v>
      </c>
      <c r="K283" s="21" t="s">
        <v>1306</v>
      </c>
      <c r="L283" s="18" t="s">
        <v>484</v>
      </c>
      <c r="M283" s="18" t="s">
        <v>63</v>
      </c>
      <c r="N283" s="18" t="s">
        <v>64</v>
      </c>
      <c r="O283" s="18" t="s">
        <v>844</v>
      </c>
      <c r="Q283" s="23" t="s">
        <v>66</v>
      </c>
      <c r="R283" s="23">
        <v>12</v>
      </c>
      <c r="S283" s="24">
        <v>1763670</v>
      </c>
      <c r="T283" s="28">
        <v>10000</v>
      </c>
      <c r="U283" s="18" t="s">
        <v>67</v>
      </c>
      <c r="V283" s="18" t="s">
        <v>110</v>
      </c>
      <c r="W283" s="18" t="s">
        <v>69</v>
      </c>
      <c r="X283" s="20">
        <v>46052</v>
      </c>
      <c r="Y283" s="18" t="s">
        <v>845</v>
      </c>
      <c r="Z283" s="18" t="str">
        <f>_xlfn.XLOOKUP(Y283,'[1]Data Source'!A:A,'[1]Data Source'!E:E,"N/A",0)</f>
        <v>LG</v>
      </c>
      <c r="AA283" s="18" t="s">
        <v>846</v>
      </c>
      <c r="AB283" s="18" t="s">
        <v>484</v>
      </c>
      <c r="AC283" s="18" t="str">
        <f>_xlfn.XLOOKUP(L283,'[1]2026 Mapping v3'!A:A,'[1]2026 Mapping v3'!B:B,"Error",0)</f>
        <v>Nairobi East</v>
      </c>
      <c r="AD283" s="18" t="str">
        <f>_xlfn.XLOOKUP(L283,'[1]2026 Mapping v3'!A:A,'[1]2026 Mapping v3'!C:C,"Error",0)</f>
        <v>Charles Gicho</v>
      </c>
      <c r="AE283" s="18" t="str">
        <f>_xlfn.XLOOKUP(L283,'[1]2026 Mapping v3'!A:A,'[1]2026 Mapping v3'!D:D,"Error",0)</f>
        <v>Julius Mugane</v>
      </c>
      <c r="AF283" s="18" t="str">
        <f>_xlfn.XLOOKUP(L283,'[1]2026 Mapping v3'!A:A,'[1]2026 Mapping v3'!E:E,"Error",0)</f>
        <v>Debrah Rashid</v>
      </c>
      <c r="AS283" s="24">
        <v>10000</v>
      </c>
      <c r="AT283" s="24"/>
      <c r="AU283" s="24"/>
      <c r="AV283" s="24"/>
      <c r="AX283" s="29"/>
      <c r="BE283" s="24">
        <v>10000</v>
      </c>
    </row>
    <row r="284" spans="1:57">
      <c r="A284" s="18" t="s">
        <v>57</v>
      </c>
      <c r="B284" s="19">
        <v>27196957</v>
      </c>
      <c r="C284" s="20">
        <v>46053</v>
      </c>
      <c r="D284" s="18" t="s">
        <v>58</v>
      </c>
      <c r="E284" s="18" t="s">
        <v>59</v>
      </c>
      <c r="F284" s="18" t="s">
        <v>60</v>
      </c>
      <c r="G284" s="18">
        <v>14331</v>
      </c>
      <c r="H284" s="18">
        <f>_xlfn.XLOOKUP(L284,'[1]2026 Mapping v3'!A:A,'[1]2026 Mapping v3'!F:F,0,0)</f>
        <v>2</v>
      </c>
      <c r="I284" s="18" t="b">
        <v>0</v>
      </c>
      <c r="J284" s="18" t="s">
        <v>126</v>
      </c>
      <c r="K284" s="21" t="s">
        <v>1307</v>
      </c>
      <c r="L284" s="18" t="s">
        <v>377</v>
      </c>
      <c r="M284" s="18" t="s">
        <v>63</v>
      </c>
      <c r="N284" s="18" t="s">
        <v>64</v>
      </c>
      <c r="O284" s="18" t="s">
        <v>847</v>
      </c>
      <c r="Q284" s="23" t="s">
        <v>66</v>
      </c>
      <c r="R284" s="23">
        <v>6</v>
      </c>
      <c r="S284" s="24">
        <v>500000</v>
      </c>
      <c r="T284" s="28">
        <v>38813</v>
      </c>
      <c r="U284" s="18" t="s">
        <v>67</v>
      </c>
      <c r="V284" s="18" t="s">
        <v>116</v>
      </c>
      <c r="W284" s="18" t="s">
        <v>69</v>
      </c>
      <c r="X284" s="20">
        <v>46077</v>
      </c>
      <c r="Y284" s="18" t="s">
        <v>848</v>
      </c>
      <c r="Z284" s="18" t="str">
        <f>_xlfn.XLOOKUP(Y284,'[1]Data Source'!A:A,'[1]Data Source'!E:E,"N/A",0)</f>
        <v>LG</v>
      </c>
      <c r="AA284" s="18" t="s">
        <v>849</v>
      </c>
      <c r="AB284" s="18" t="s">
        <v>377</v>
      </c>
      <c r="AC284" s="18" t="str">
        <f>_xlfn.XLOOKUP(L284,'[1]2026 Mapping v3'!A:A,'[1]2026 Mapping v3'!B:B,"Error",0)</f>
        <v>TMU</v>
      </c>
      <c r="AD284" s="18" t="str">
        <f>_xlfn.XLOOKUP(L284,'[1]2026 Mapping v3'!A:A,'[1]2026 Mapping v3'!C:C,"Error",0)</f>
        <v>Simon Wambua</v>
      </c>
      <c r="AE284" s="18" t="str">
        <f>_xlfn.XLOOKUP(L284,'[1]2026 Mapping v3'!A:A,'[1]2026 Mapping v3'!D:D,"Error",0)</f>
        <v>Joseph Kairu</v>
      </c>
      <c r="AF284" s="18" t="str">
        <f>_xlfn.XLOOKUP(L284,'[1]2026 Mapping v3'!A:A,'[1]2026 Mapping v3'!E:E,"Error",0)</f>
        <v>Debrah Rashid</v>
      </c>
      <c r="AS284" s="24">
        <v>38813</v>
      </c>
      <c r="AT284" s="24"/>
      <c r="AU284" s="24"/>
      <c r="AV284" s="24"/>
      <c r="AX284" s="29"/>
      <c r="BE284" s="24">
        <v>38813</v>
      </c>
    </row>
    <row r="285" spans="1:57">
      <c r="A285" s="18" t="s">
        <v>57</v>
      </c>
      <c r="B285" s="19">
        <v>27196957</v>
      </c>
      <c r="C285" s="20">
        <v>46053</v>
      </c>
      <c r="D285" s="18" t="s">
        <v>58</v>
      </c>
      <c r="E285" s="18" t="s">
        <v>59</v>
      </c>
      <c r="F285" s="18" t="s">
        <v>60</v>
      </c>
      <c r="G285" s="18">
        <v>13702</v>
      </c>
      <c r="H285" s="18">
        <f>_xlfn.XLOOKUP(L285,'[1]2026 Mapping v3'!A:A,'[1]2026 Mapping v3'!F:F,0,0)</f>
        <v>17</v>
      </c>
      <c r="I285" s="18" t="b">
        <v>0</v>
      </c>
      <c r="J285" s="18" t="s">
        <v>562</v>
      </c>
      <c r="K285" s="21" t="s">
        <v>1308</v>
      </c>
      <c r="L285" s="18" t="s">
        <v>325</v>
      </c>
      <c r="M285" s="18" t="s">
        <v>63</v>
      </c>
      <c r="N285" s="18" t="s">
        <v>64</v>
      </c>
      <c r="O285" s="18" t="s">
        <v>850</v>
      </c>
      <c r="Q285" s="23" t="s">
        <v>66</v>
      </c>
      <c r="R285" s="23">
        <v>16</v>
      </c>
      <c r="S285" s="24">
        <v>1234570</v>
      </c>
      <c r="T285" s="28">
        <v>5000</v>
      </c>
      <c r="U285" s="18" t="s">
        <v>67</v>
      </c>
      <c r="V285" s="18" t="s">
        <v>110</v>
      </c>
      <c r="W285" s="18" t="s">
        <v>69</v>
      </c>
      <c r="X285" s="20">
        <v>46053</v>
      </c>
      <c r="Y285" s="18" t="s">
        <v>851</v>
      </c>
      <c r="Z285" s="18" t="str">
        <f>_xlfn.XLOOKUP(Y285,'[1]Data Source'!A:A,'[1]Data Source'!E:E,"N/A",0)</f>
        <v>N/A</v>
      </c>
      <c r="AA285" s="18" t="s">
        <v>101</v>
      </c>
      <c r="AB285" s="18" t="s">
        <v>325</v>
      </c>
      <c r="AC285" s="18" t="str">
        <f>_xlfn.XLOOKUP(L285,'[1]2026 Mapping v3'!A:A,'[1]2026 Mapping v3'!B:B,"Error",0)</f>
        <v>Nairobi Central</v>
      </c>
      <c r="AD285" s="18" t="str">
        <f>_xlfn.XLOOKUP(L285,'[1]2026 Mapping v3'!A:A,'[1]2026 Mapping v3'!C:C,"Error",0)</f>
        <v>Zedekiah Mburu</v>
      </c>
      <c r="AE285" s="18" t="str">
        <f>_xlfn.XLOOKUP(L285,'[1]2026 Mapping v3'!A:A,'[1]2026 Mapping v3'!D:D,"Error",0)</f>
        <v>Zedekiah Mburu</v>
      </c>
      <c r="AF285" s="18" t="str">
        <f>_xlfn.XLOOKUP(L285,'[1]2026 Mapping v3'!A:A,'[1]2026 Mapping v3'!E:E,"Error",0)</f>
        <v>Bilha Wachira</v>
      </c>
      <c r="AS285" s="24">
        <v>5000</v>
      </c>
      <c r="AT285" s="24"/>
      <c r="AU285" s="24"/>
      <c r="AV285" s="24"/>
      <c r="AX285" s="29"/>
      <c r="BE285" s="24">
        <v>5000</v>
      </c>
    </row>
    <row r="286" spans="1:57">
      <c r="A286" s="18" t="s">
        <v>57</v>
      </c>
      <c r="B286" s="19">
        <v>27196957</v>
      </c>
      <c r="C286" s="20">
        <v>46053</v>
      </c>
      <c r="D286" s="18" t="s">
        <v>58</v>
      </c>
      <c r="E286" s="18" t="s">
        <v>59</v>
      </c>
      <c r="F286" s="18" t="s">
        <v>60</v>
      </c>
      <c r="G286" s="18">
        <v>6492</v>
      </c>
      <c r="H286" s="18">
        <f>_xlfn.XLOOKUP(L286,'[1]2026 Mapping v3'!A:A,'[1]2026 Mapping v3'!F:F,0,0)</f>
        <v>85</v>
      </c>
      <c r="I286" s="18" t="b">
        <v>0</v>
      </c>
      <c r="J286" s="18" t="s">
        <v>740</v>
      </c>
      <c r="K286" s="21" t="s">
        <v>1309</v>
      </c>
      <c r="L286" s="18" t="s">
        <v>593</v>
      </c>
      <c r="M286" s="18" t="s">
        <v>63</v>
      </c>
      <c r="N286" s="18" t="s">
        <v>64</v>
      </c>
      <c r="O286" s="18" t="s">
        <v>852</v>
      </c>
      <c r="Q286" s="23" t="s">
        <v>66</v>
      </c>
      <c r="R286" s="23">
        <v>15</v>
      </c>
      <c r="S286" s="24">
        <v>2000000</v>
      </c>
      <c r="T286" s="28">
        <v>8910</v>
      </c>
      <c r="U286" s="18" t="s">
        <v>67</v>
      </c>
      <c r="V286" s="18" t="s">
        <v>110</v>
      </c>
      <c r="W286" s="18" t="s">
        <v>69</v>
      </c>
      <c r="X286" s="20">
        <v>46076</v>
      </c>
      <c r="Y286" s="18" t="s">
        <v>853</v>
      </c>
      <c r="Z286" s="18" t="str">
        <f>_xlfn.XLOOKUP(Y286,'[1]Data Source'!A:A,'[1]Data Source'!E:E,"N/A",0)</f>
        <v>UB</v>
      </c>
      <c r="AA286" s="18" t="s">
        <v>854</v>
      </c>
      <c r="AB286" s="18" t="s">
        <v>593</v>
      </c>
      <c r="AC286" s="18" t="str">
        <f>_xlfn.XLOOKUP(L286,'[1]2026 Mapping v3'!A:A,'[1]2026 Mapping v3'!B:B,"Error",0)</f>
        <v>Nairobi East</v>
      </c>
      <c r="AD286" s="18" t="str">
        <f>_xlfn.XLOOKUP(L286,'[1]2026 Mapping v3'!A:A,'[1]2026 Mapping v3'!C:C,"Error",0)</f>
        <v>Julius Mugane</v>
      </c>
      <c r="AE286" s="18" t="str">
        <f>_xlfn.XLOOKUP(L286,'[1]2026 Mapping v3'!A:A,'[1]2026 Mapping v3'!D:D,"Error",0)</f>
        <v>Julius Mugane</v>
      </c>
      <c r="AF286" s="18" t="str">
        <f>_xlfn.XLOOKUP(L286,'[1]2026 Mapping v3'!A:A,'[1]2026 Mapping v3'!E:E,"Error",0)</f>
        <v>Debrah Rashid</v>
      </c>
      <c r="AS286" s="24">
        <v>8910</v>
      </c>
      <c r="AT286" s="24"/>
      <c r="AU286" s="24"/>
      <c r="AV286" s="24"/>
      <c r="AX286" s="29"/>
      <c r="BE286" s="24">
        <v>8910</v>
      </c>
    </row>
    <row r="287" spans="1:57">
      <c r="A287" s="18" t="s">
        <v>57</v>
      </c>
      <c r="B287" s="19">
        <v>27196957</v>
      </c>
      <c r="C287" s="20">
        <v>46053</v>
      </c>
      <c r="D287" s="18" t="s">
        <v>58</v>
      </c>
      <c r="E287" s="18" t="s">
        <v>59</v>
      </c>
      <c r="F287" s="18" t="s">
        <v>60</v>
      </c>
      <c r="G287" s="18">
        <v>12847</v>
      </c>
      <c r="H287" s="18">
        <f>_xlfn.XLOOKUP(L287,'[1]2026 Mapping v3'!A:A,'[1]2026 Mapping v3'!F:F,0,0)</f>
        <v>17</v>
      </c>
      <c r="I287" s="18" t="b">
        <v>0</v>
      </c>
      <c r="J287" s="18" t="s">
        <v>855</v>
      </c>
      <c r="K287" s="21" t="s">
        <v>1310</v>
      </c>
      <c r="L287" s="18" t="s">
        <v>325</v>
      </c>
      <c r="M287" s="18" t="s">
        <v>63</v>
      </c>
      <c r="N287" s="18" t="s">
        <v>64</v>
      </c>
      <c r="O287" s="18" t="s">
        <v>856</v>
      </c>
      <c r="Q287" s="23" t="s">
        <v>80</v>
      </c>
      <c r="R287" s="23">
        <v>18</v>
      </c>
      <c r="S287" s="24">
        <v>3060000</v>
      </c>
      <c r="T287" s="28">
        <v>121176</v>
      </c>
      <c r="U287" s="18" t="s">
        <v>67</v>
      </c>
      <c r="V287" s="18" t="s">
        <v>68</v>
      </c>
      <c r="W287" s="18" t="s">
        <v>69</v>
      </c>
      <c r="X287" s="20">
        <v>46032</v>
      </c>
      <c r="Y287" s="18" t="s">
        <v>673</v>
      </c>
      <c r="Z287" s="18" t="str">
        <f>_xlfn.XLOOKUP(Y287,'[1]Data Source'!A:A,'[1]Data Source'!E:E,"N/A",0)</f>
        <v>LG</v>
      </c>
      <c r="AA287" s="18" t="s">
        <v>674</v>
      </c>
      <c r="AB287" s="18" t="s">
        <v>325</v>
      </c>
      <c r="AC287" s="18" t="str">
        <f>_xlfn.XLOOKUP(L287,'[1]2026 Mapping v3'!A:A,'[1]2026 Mapping v3'!B:B,"Error",0)</f>
        <v>Nairobi Central</v>
      </c>
      <c r="AD287" s="18" t="str">
        <f>_xlfn.XLOOKUP(L287,'[1]2026 Mapping v3'!A:A,'[1]2026 Mapping v3'!C:C,"Error",0)</f>
        <v>Zedekiah Mburu</v>
      </c>
      <c r="AE287" s="18" t="str">
        <f>_xlfn.XLOOKUP(L287,'[1]2026 Mapping v3'!A:A,'[1]2026 Mapping v3'!D:D,"Error",0)</f>
        <v>Zedekiah Mburu</v>
      </c>
      <c r="AF287" s="18" t="str">
        <f>_xlfn.XLOOKUP(L287,'[1]2026 Mapping v3'!A:A,'[1]2026 Mapping v3'!E:E,"Error",0)</f>
        <v>Bilha Wachira</v>
      </c>
      <c r="AS287" s="24">
        <v>121176</v>
      </c>
      <c r="AT287" s="24"/>
      <c r="AU287" s="24"/>
      <c r="AV287" s="24"/>
      <c r="AX287" s="29"/>
      <c r="BE287" s="24">
        <v>121176</v>
      </c>
    </row>
    <row r="288" spans="1:57">
      <c r="A288" s="18" t="s">
        <v>57</v>
      </c>
      <c r="B288" s="19">
        <v>27196957</v>
      </c>
      <c r="C288" s="20">
        <v>46053</v>
      </c>
      <c r="D288" s="18" t="s">
        <v>58</v>
      </c>
      <c r="E288" s="18" t="s">
        <v>59</v>
      </c>
      <c r="F288" s="18" t="s">
        <v>60</v>
      </c>
      <c r="G288" s="18">
        <v>10945</v>
      </c>
      <c r="H288" s="18">
        <f>_xlfn.XLOOKUP(L288,'[1]2026 Mapping v3'!A:A,'[1]2026 Mapping v3'!F:F,0,0)</f>
        <v>74</v>
      </c>
      <c r="I288" s="18" t="b">
        <v>0</v>
      </c>
      <c r="J288" s="18" t="s">
        <v>483</v>
      </c>
      <c r="K288" s="21" t="s">
        <v>1311</v>
      </c>
      <c r="L288" s="18" t="s">
        <v>651</v>
      </c>
      <c r="M288" s="18" t="s">
        <v>63</v>
      </c>
      <c r="N288" s="18" t="s">
        <v>64</v>
      </c>
      <c r="O288" s="18" t="s">
        <v>857</v>
      </c>
      <c r="Q288" s="23" t="s">
        <v>66</v>
      </c>
      <c r="R288" s="23">
        <v>18</v>
      </c>
      <c r="S288" s="24">
        <v>5000000</v>
      </c>
      <c r="T288" s="28">
        <v>16200</v>
      </c>
      <c r="U288" s="18" t="s">
        <v>67</v>
      </c>
      <c r="V288" s="18" t="s">
        <v>110</v>
      </c>
      <c r="W288" s="18" t="s">
        <v>69</v>
      </c>
      <c r="X288" s="20">
        <v>46046</v>
      </c>
      <c r="Y288" s="18" t="s">
        <v>841</v>
      </c>
      <c r="Z288" s="18" t="str">
        <f>_xlfn.XLOOKUP(Y288,'[1]Data Source'!A:A,'[1]Data Source'!E:E,"N/A",0)</f>
        <v>LG</v>
      </c>
      <c r="AA288" s="18" t="s">
        <v>842</v>
      </c>
      <c r="AB288" s="18" t="s">
        <v>651</v>
      </c>
      <c r="AC288" s="18" t="str">
        <f>_xlfn.XLOOKUP(L288,'[1]2026 Mapping v3'!A:A,'[1]2026 Mapping v3'!B:B,"Error",0)</f>
        <v>Premier</v>
      </c>
      <c r="AD288" s="18" t="str">
        <f>_xlfn.XLOOKUP(L288,'[1]2026 Mapping v3'!A:A,'[1]2026 Mapping v3'!C:C,"Error",0)</f>
        <v>Joseph Kairu</v>
      </c>
      <c r="AE288" s="18" t="str">
        <f>_xlfn.XLOOKUP(L288,'[1]2026 Mapping v3'!A:A,'[1]2026 Mapping v3'!D:D,"Error",0)</f>
        <v>Joseph Kairu</v>
      </c>
      <c r="AF288" s="18" t="str">
        <f>_xlfn.XLOOKUP(L288,'[1]2026 Mapping v3'!A:A,'[1]2026 Mapping v3'!E:E,"Error",0)</f>
        <v>Debrah Rashid</v>
      </c>
      <c r="AS288" s="24">
        <v>16200</v>
      </c>
      <c r="AT288" s="24"/>
      <c r="AU288" s="24"/>
      <c r="AV288" s="24"/>
      <c r="AX288" s="29"/>
      <c r="BE288" s="24">
        <v>16200</v>
      </c>
    </row>
    <row r="289" spans="1:57">
      <c r="A289" s="18" t="s">
        <v>57</v>
      </c>
      <c r="B289" s="19">
        <v>27196957</v>
      </c>
      <c r="C289" s="20">
        <v>46053</v>
      </c>
      <c r="D289" s="18" t="s">
        <v>58</v>
      </c>
      <c r="E289" s="18" t="s">
        <v>59</v>
      </c>
      <c r="F289" s="18" t="s">
        <v>60</v>
      </c>
      <c r="G289" s="18">
        <v>12803</v>
      </c>
      <c r="H289" s="18">
        <f>_xlfn.XLOOKUP(L289,'[1]2026 Mapping v3'!A:A,'[1]2026 Mapping v3'!F:F,0,0)</f>
        <v>17</v>
      </c>
      <c r="I289" s="18" t="b">
        <v>0</v>
      </c>
      <c r="J289" s="18" t="s">
        <v>491</v>
      </c>
      <c r="K289" s="21" t="s">
        <v>1312</v>
      </c>
      <c r="L289" s="18" t="s">
        <v>325</v>
      </c>
      <c r="M289" s="18" t="s">
        <v>63</v>
      </c>
      <c r="N289" s="18" t="s">
        <v>64</v>
      </c>
      <c r="O289" s="18" t="s">
        <v>858</v>
      </c>
      <c r="Q289" s="23" t="s">
        <v>66</v>
      </c>
      <c r="R289" s="23">
        <v>16</v>
      </c>
      <c r="S289" s="24">
        <v>1234567</v>
      </c>
      <c r="T289" s="28">
        <v>5000</v>
      </c>
      <c r="U289" s="18" t="s">
        <v>67</v>
      </c>
      <c r="V289" s="18" t="s">
        <v>110</v>
      </c>
      <c r="W289" s="18" t="s">
        <v>69</v>
      </c>
      <c r="X289" s="20">
        <v>46046</v>
      </c>
      <c r="Y289" s="18" t="s">
        <v>673</v>
      </c>
      <c r="Z289" s="18" t="str">
        <f>_xlfn.XLOOKUP(Y289,'[1]Data Source'!A:A,'[1]Data Source'!E:E,"N/A",0)</f>
        <v>LG</v>
      </c>
      <c r="AA289" s="18" t="s">
        <v>674</v>
      </c>
      <c r="AB289" s="18" t="s">
        <v>325</v>
      </c>
      <c r="AC289" s="18" t="str">
        <f>_xlfn.XLOOKUP(L289,'[1]2026 Mapping v3'!A:A,'[1]2026 Mapping v3'!B:B,"Error",0)</f>
        <v>Nairobi Central</v>
      </c>
      <c r="AD289" s="18" t="str">
        <f>_xlfn.XLOOKUP(L289,'[1]2026 Mapping v3'!A:A,'[1]2026 Mapping v3'!C:C,"Error",0)</f>
        <v>Zedekiah Mburu</v>
      </c>
      <c r="AE289" s="18" t="str">
        <f>_xlfn.XLOOKUP(L289,'[1]2026 Mapping v3'!A:A,'[1]2026 Mapping v3'!D:D,"Error",0)</f>
        <v>Zedekiah Mburu</v>
      </c>
      <c r="AF289" s="18" t="str">
        <f>_xlfn.XLOOKUP(L289,'[1]2026 Mapping v3'!A:A,'[1]2026 Mapping v3'!E:E,"Error",0)</f>
        <v>Bilha Wachira</v>
      </c>
      <c r="AS289" s="24">
        <v>5000</v>
      </c>
      <c r="AT289" s="24"/>
      <c r="AU289" s="24"/>
      <c r="AV289" s="24"/>
      <c r="AX289" s="29"/>
      <c r="BE289" s="24">
        <v>5000</v>
      </c>
    </row>
    <row r="290" spans="1:57">
      <c r="A290" s="18" t="s">
        <v>57</v>
      </c>
      <c r="B290" s="19">
        <v>27196957</v>
      </c>
      <c r="C290" s="20">
        <v>46053</v>
      </c>
      <c r="D290" s="18" t="s">
        <v>58</v>
      </c>
      <c r="E290" s="18" t="s">
        <v>59</v>
      </c>
      <c r="F290" s="18" t="s">
        <v>60</v>
      </c>
      <c r="G290" s="18">
        <v>3294</v>
      </c>
      <c r="H290" s="18">
        <f>_xlfn.XLOOKUP(L290,'[1]2026 Mapping v3'!A:A,'[1]2026 Mapping v3'!F:F,0,0)</f>
        <v>20</v>
      </c>
      <c r="I290" s="18" t="b">
        <v>0</v>
      </c>
      <c r="J290" s="18" t="s">
        <v>859</v>
      </c>
      <c r="K290" s="21" t="s">
        <v>1313</v>
      </c>
      <c r="L290" s="18" t="s">
        <v>484</v>
      </c>
      <c r="M290" s="18" t="s">
        <v>63</v>
      </c>
      <c r="N290" s="18" t="s">
        <v>64</v>
      </c>
      <c r="O290" s="18" t="s">
        <v>860</v>
      </c>
      <c r="Q290" s="23" t="s">
        <v>66</v>
      </c>
      <c r="R290" s="23">
        <v>12</v>
      </c>
      <c r="S290" s="24">
        <v>1763670</v>
      </c>
      <c r="T290" s="28">
        <v>10000</v>
      </c>
      <c r="U290" s="18" t="s">
        <v>67</v>
      </c>
      <c r="V290" s="18" t="s">
        <v>110</v>
      </c>
      <c r="W290" s="18" t="s">
        <v>69</v>
      </c>
      <c r="X290" s="20">
        <v>44950</v>
      </c>
      <c r="Y290" s="18" t="s">
        <v>845</v>
      </c>
      <c r="Z290" s="18" t="str">
        <f>_xlfn.XLOOKUP(Y290,'[1]Data Source'!A:A,'[1]Data Source'!E:E,"N/A",0)</f>
        <v>LG</v>
      </c>
      <c r="AA290" s="18" t="s">
        <v>846</v>
      </c>
      <c r="AB290" s="18" t="s">
        <v>484</v>
      </c>
      <c r="AC290" s="18" t="str">
        <f>_xlfn.XLOOKUP(L290,'[1]2026 Mapping v3'!A:A,'[1]2026 Mapping v3'!B:B,"Error",0)</f>
        <v>Nairobi East</v>
      </c>
      <c r="AD290" s="18" t="str">
        <f>_xlfn.XLOOKUP(L290,'[1]2026 Mapping v3'!A:A,'[1]2026 Mapping v3'!C:C,"Error",0)</f>
        <v>Charles Gicho</v>
      </c>
      <c r="AE290" s="18" t="str">
        <f>_xlfn.XLOOKUP(L290,'[1]2026 Mapping v3'!A:A,'[1]2026 Mapping v3'!D:D,"Error",0)</f>
        <v>Julius Mugane</v>
      </c>
      <c r="AF290" s="18" t="str">
        <f>_xlfn.XLOOKUP(L290,'[1]2026 Mapping v3'!A:A,'[1]2026 Mapping v3'!E:E,"Error",0)</f>
        <v>Debrah Rashid</v>
      </c>
      <c r="AS290" s="24">
        <v>10000</v>
      </c>
      <c r="AT290" s="24"/>
      <c r="AU290" s="24"/>
      <c r="AV290" s="24"/>
      <c r="AX290" s="29"/>
      <c r="BE290" s="24">
        <v>10000</v>
      </c>
    </row>
    <row r="291" spans="1:57">
      <c r="A291" s="18" t="s">
        <v>57</v>
      </c>
      <c r="B291" s="19">
        <v>27196957</v>
      </c>
      <c r="C291" s="20">
        <v>46053</v>
      </c>
      <c r="D291" s="18" t="s">
        <v>58</v>
      </c>
      <c r="E291" s="18" t="s">
        <v>59</v>
      </c>
      <c r="F291" s="18" t="s">
        <v>60</v>
      </c>
      <c r="G291" s="18">
        <v>11902</v>
      </c>
      <c r="H291" s="18">
        <f>_xlfn.XLOOKUP(L291,'[1]2026 Mapping v3'!A:A,'[1]2026 Mapping v3'!F:F,0,0)</f>
        <v>55</v>
      </c>
      <c r="I291" s="18" t="b">
        <v>0</v>
      </c>
      <c r="J291" s="18" t="s">
        <v>861</v>
      </c>
      <c r="K291" s="21" t="s">
        <v>1314</v>
      </c>
      <c r="L291" s="18" t="s">
        <v>862</v>
      </c>
      <c r="M291" s="18" t="s">
        <v>63</v>
      </c>
      <c r="N291" s="18" t="s">
        <v>64</v>
      </c>
      <c r="O291" s="18" t="s">
        <v>863</v>
      </c>
      <c r="Q291" s="23" t="s">
        <v>80</v>
      </c>
      <c r="R291" s="23">
        <v>18</v>
      </c>
      <c r="S291" s="24">
        <v>2525250</v>
      </c>
      <c r="T291" s="28">
        <v>100000</v>
      </c>
      <c r="U291" s="18" t="s">
        <v>67</v>
      </c>
      <c r="V291" s="18" t="s">
        <v>68</v>
      </c>
      <c r="W291" s="18" t="s">
        <v>69</v>
      </c>
      <c r="X291" s="20">
        <v>44956</v>
      </c>
      <c r="Y291" s="18" t="s">
        <v>864</v>
      </c>
      <c r="Z291" s="18" t="str">
        <f>_xlfn.XLOOKUP(Y291,'[1]Data Source'!A:A,'[1]Data Source'!E:E,"N/A",0)</f>
        <v>N/A</v>
      </c>
      <c r="AA291" s="18" t="s">
        <v>101</v>
      </c>
      <c r="AB291" s="18" t="s">
        <v>862</v>
      </c>
      <c r="AC291" s="18" t="str">
        <f>_xlfn.XLOOKUP(L291,'[1]2026 Mapping v3'!A:A,'[1]2026 Mapping v3'!B:B,"Error",0)</f>
        <v>Mt. Kenya</v>
      </c>
      <c r="AD291" s="18" t="str">
        <f>_xlfn.XLOOKUP(L291,'[1]2026 Mapping v3'!A:A,'[1]2026 Mapping v3'!C:C,"Error",0)</f>
        <v>Teresa Maina</v>
      </c>
      <c r="AE291" s="18" t="str">
        <f>_xlfn.XLOOKUP(L291,'[1]2026 Mapping v3'!A:A,'[1]2026 Mapping v3'!D:D,"Error",0)</f>
        <v>Paul Kithuka</v>
      </c>
      <c r="AF291" s="18" t="str">
        <f>_xlfn.XLOOKUP(L291,'[1]2026 Mapping v3'!A:A,'[1]2026 Mapping v3'!E:E,"Error",0)</f>
        <v>Simon Maingi</v>
      </c>
      <c r="AS291" s="24">
        <v>100000</v>
      </c>
      <c r="AT291" s="24"/>
      <c r="AU291" s="24"/>
      <c r="AV291" s="24"/>
      <c r="AX291" s="29"/>
      <c r="BE291" s="24">
        <v>100000</v>
      </c>
    </row>
    <row r="292" spans="1:57">
      <c r="A292" s="18" t="s">
        <v>128</v>
      </c>
      <c r="B292" s="19">
        <v>27196957</v>
      </c>
      <c r="C292" s="20">
        <v>46053</v>
      </c>
      <c r="D292" s="18" t="s">
        <v>58</v>
      </c>
      <c r="E292" s="18" t="s">
        <v>59</v>
      </c>
      <c r="F292" s="18" t="s">
        <v>60</v>
      </c>
      <c r="G292" s="18">
        <v>4817</v>
      </c>
      <c r="H292" s="18">
        <f>_xlfn.XLOOKUP(L292,'[1]2026 Mapping v3'!A:A,'[1]2026 Mapping v3'!F:F,0,0)</f>
        <v>12</v>
      </c>
      <c r="I292" s="18" t="b">
        <v>0</v>
      </c>
      <c r="J292" s="18" t="s">
        <v>865</v>
      </c>
      <c r="K292" s="21" t="s">
        <v>1315</v>
      </c>
      <c r="L292" s="18" t="str">
        <f>Y292</f>
        <v>HISA0012</v>
      </c>
      <c r="M292" s="18" t="s">
        <v>98</v>
      </c>
      <c r="N292" s="18" t="s">
        <v>64</v>
      </c>
      <c r="O292" s="18" t="s">
        <v>866</v>
      </c>
      <c r="Q292" s="23" t="s">
        <v>80</v>
      </c>
      <c r="R292" s="23">
        <v>12</v>
      </c>
      <c r="S292" s="24">
        <v>3727819</v>
      </c>
      <c r="T292" s="24">
        <v>250692</v>
      </c>
      <c r="U292" s="18" t="s">
        <v>67</v>
      </c>
      <c r="V292" s="18" t="s">
        <v>68</v>
      </c>
      <c r="W292" s="18" t="s">
        <v>69</v>
      </c>
      <c r="X292" s="20">
        <v>46052</v>
      </c>
      <c r="Y292" s="18" t="s">
        <v>867</v>
      </c>
      <c r="Z292" s="18" t="str">
        <f>_xlfn.XLOOKUP(Y292,'[1]Data Source'!A:A,'[1]Data Source'!E:E,"N/A",0)</f>
        <v>ALAK</v>
      </c>
      <c r="AA292" s="18" t="s">
        <v>868</v>
      </c>
      <c r="AB292" s="18" t="str">
        <f>Y292</f>
        <v>HISA0012</v>
      </c>
      <c r="AC292" s="18" t="str">
        <f>_xlfn.XLOOKUP(L292,'[1]2026 Mapping v3'!A:A,'[1]2026 Mapping v3'!B:B,"Error",0)</f>
        <v>Alternative Channels</v>
      </c>
      <c r="AD292" s="18" t="str">
        <f>_xlfn.XLOOKUP(L292,'[1]2026 Mapping v3'!A:A,'[1]2026 Mapping v3'!C:C,"Error",0)</f>
        <v>Selestine Magayu</v>
      </c>
      <c r="AE292" s="18" t="str">
        <f>_xlfn.XLOOKUP(L292,'[1]2026 Mapping v3'!A:A,'[1]2026 Mapping v3'!D:D,"Error",0)</f>
        <v>Eric Njiru</v>
      </c>
      <c r="AF292" s="18" t="str">
        <f>_xlfn.XLOOKUP(L292,'[1]2026 Mapping v3'!A:A,'[1]2026 Mapping v3'!E:E,"Error",0)</f>
        <v>Eric Njiru</v>
      </c>
      <c r="AS292" s="24">
        <v>250692</v>
      </c>
      <c r="AT292" s="24"/>
      <c r="AU292" s="24"/>
      <c r="AV292" s="24"/>
      <c r="AX292" s="29"/>
      <c r="BE292" s="24">
        <v>250692</v>
      </c>
    </row>
    <row r="293" spans="1:57">
      <c r="A293" s="18" t="s">
        <v>57</v>
      </c>
      <c r="B293" s="19">
        <v>27196957</v>
      </c>
      <c r="C293" s="20">
        <v>46055</v>
      </c>
      <c r="D293" s="18" t="s">
        <v>350</v>
      </c>
      <c r="E293" s="18" t="s">
        <v>59</v>
      </c>
      <c r="F293" s="18" t="s">
        <v>60</v>
      </c>
      <c r="G293" s="18">
        <v>14777</v>
      </c>
      <c r="H293" s="18">
        <f>_xlfn.XLOOKUP(L293,'[1]2026 Mapping v3'!A:A,'[1]2026 Mapping v3'!F:F,0,0)</f>
        <v>73</v>
      </c>
      <c r="I293" s="18" t="b">
        <v>0</v>
      </c>
      <c r="J293" s="18" t="str">
        <f t="shared" ref="J293:J325" si="17">UPPER(LEFT(K293, 1) &amp; LEFT(MID(K293, FIND(" ", K293) + 1, LEN(K293)), 1))</f>
        <v>N2</v>
      </c>
      <c r="K293" s="21" t="s">
        <v>1316</v>
      </c>
      <c r="L293" s="18" t="s">
        <v>181</v>
      </c>
      <c r="M293" s="18" t="s">
        <v>98</v>
      </c>
      <c r="N293" s="18" t="s">
        <v>64</v>
      </c>
      <c r="O293" s="18" t="s">
        <v>869</v>
      </c>
      <c r="Q293" s="23" t="s">
        <v>80</v>
      </c>
      <c r="R293" s="23">
        <v>5</v>
      </c>
      <c r="S293" s="24">
        <v>1500000</v>
      </c>
      <c r="T293" s="28">
        <v>267972</v>
      </c>
      <c r="U293" s="18" t="s">
        <v>67</v>
      </c>
      <c r="V293" s="18" t="s">
        <v>68</v>
      </c>
      <c r="W293" s="18" t="s">
        <v>69</v>
      </c>
      <c r="X293" s="20">
        <v>46081</v>
      </c>
      <c r="Y293" s="18" t="s">
        <v>659</v>
      </c>
      <c r="Z293" s="18" t="str">
        <f>_xlfn.XLOOKUP(Y293,'[1]Data Source'!A:A,'[1]Data Source'!E:E,"N/A",0)</f>
        <v>LG</v>
      </c>
      <c r="AA293" s="18" t="str">
        <f>_xlfn.XLOOKUP(Y293,'[1]Data Source'!A:A,'[1]Data Source'!B:B,"N/A",0)</f>
        <v>Pauline Mueni Mutua</v>
      </c>
      <c r="AB293" s="18" t="str">
        <f t="shared" ref="AB293:AB323" si="18">L293</f>
        <v>Ruaraka</v>
      </c>
      <c r="AC293" s="18" t="str">
        <f>_xlfn.XLOOKUP(L293,'[1]2026 Mapping v3'!A:A,'[1]2026 Mapping v3'!B:B,"Error",0)</f>
        <v>Nairobi Central</v>
      </c>
      <c r="AD293" s="18" t="str">
        <f>_xlfn.XLOOKUP(L293,'[1]2026 Mapping v3'!A:A,'[1]2026 Mapping v3'!C:C,"Error",0)</f>
        <v>Zedekiah Mburu</v>
      </c>
      <c r="AE293" s="18" t="str">
        <f>_xlfn.XLOOKUP(L293,'[1]2026 Mapping v3'!A:A,'[1]2026 Mapping v3'!D:D,"Error",0)</f>
        <v>Zedekiah Mburu</v>
      </c>
      <c r="AF293" s="18" t="str">
        <f>_xlfn.XLOOKUP(L293,'[1]2026 Mapping v3'!A:A,'[1]2026 Mapping v3'!E:E,"Error",0)</f>
        <v>Bilha Wachira</v>
      </c>
      <c r="AS293" s="24"/>
      <c r="AT293" s="24">
        <f t="shared" ref="AT293:AT325" si="19">T293</f>
        <v>267972</v>
      </c>
      <c r="AU293" s="24"/>
      <c r="AV293" s="24"/>
      <c r="AX293" s="29"/>
      <c r="BE293" s="24">
        <f t="shared" ref="BE293:BE325" si="20">SUM(AS293:BD293)</f>
        <v>267972</v>
      </c>
    </row>
    <row r="294" spans="1:57">
      <c r="A294" s="18" t="s">
        <v>57</v>
      </c>
      <c r="B294" s="19">
        <v>27196957</v>
      </c>
      <c r="C294" s="20">
        <v>46055</v>
      </c>
      <c r="D294" s="18" t="s">
        <v>350</v>
      </c>
      <c r="E294" s="18" t="s">
        <v>59</v>
      </c>
      <c r="F294" s="18" t="s">
        <v>60</v>
      </c>
      <c r="G294" s="18">
        <v>14663</v>
      </c>
      <c r="H294" s="18">
        <f>_xlfn.XLOOKUP(L294,'[1]2026 Mapping v3'!A:A,'[1]2026 Mapping v3'!F:F,0,0)</f>
        <v>61</v>
      </c>
      <c r="I294" s="18" t="b">
        <v>0</v>
      </c>
      <c r="J294" s="18" t="str">
        <f t="shared" si="17"/>
        <v>N2</v>
      </c>
      <c r="K294" s="21" t="s">
        <v>1317</v>
      </c>
      <c r="L294" s="18" t="s">
        <v>438</v>
      </c>
      <c r="M294" s="18" t="s">
        <v>98</v>
      </c>
      <c r="N294" s="18" t="s">
        <v>64</v>
      </c>
      <c r="O294" s="18" t="s">
        <v>870</v>
      </c>
      <c r="Q294" s="23" t="s">
        <v>80</v>
      </c>
      <c r="R294" s="23">
        <v>11</v>
      </c>
      <c r="S294" s="24">
        <v>1000000</v>
      </c>
      <c r="T294" s="28">
        <v>6752</v>
      </c>
      <c r="U294" s="18" t="s">
        <v>67</v>
      </c>
      <c r="V294" s="18" t="s">
        <v>110</v>
      </c>
      <c r="W294" s="18" t="s">
        <v>69</v>
      </c>
      <c r="X294" s="20">
        <v>46081</v>
      </c>
      <c r="Y294" s="18" t="s">
        <v>871</v>
      </c>
      <c r="Z294" s="18" t="str">
        <f>_xlfn.XLOOKUP(Y294,'[1]Data Source'!A:A,'[1]Data Source'!E:E,"N/A",0)</f>
        <v>LG</v>
      </c>
      <c r="AA294" s="18" t="str">
        <f>_xlfn.XLOOKUP(Y294,'[1]Data Source'!A:A,'[1]Data Source'!B:B,"N/A",0)</f>
        <v>Viona Chalingo</v>
      </c>
      <c r="AB294" s="18" t="str">
        <f t="shared" si="18"/>
        <v>Nanyuki</v>
      </c>
      <c r="AC294" s="18" t="str">
        <f>_xlfn.XLOOKUP(L294,'[1]2026 Mapping v3'!A:A,'[1]2026 Mapping v3'!B:B,"Error",0)</f>
        <v>Mt. Kenya</v>
      </c>
      <c r="AD294" s="18" t="str">
        <f>_xlfn.XLOOKUP(L294,'[1]2026 Mapping v3'!A:A,'[1]2026 Mapping v3'!C:C,"Error",0)</f>
        <v>Morgan Mwangi</v>
      </c>
      <c r="AE294" s="18" t="str">
        <f>_xlfn.XLOOKUP(L294,'[1]2026 Mapping v3'!A:A,'[1]2026 Mapping v3'!D:D,"Error",0)</f>
        <v>Paul Kithuka</v>
      </c>
      <c r="AF294" s="18" t="str">
        <f>_xlfn.XLOOKUP(L294,'[1]2026 Mapping v3'!A:A,'[1]2026 Mapping v3'!E:E,"Error",0)</f>
        <v>Simon Maingi</v>
      </c>
      <c r="AS294" s="24"/>
      <c r="AT294" s="24">
        <f t="shared" si="19"/>
        <v>6752</v>
      </c>
      <c r="AU294" s="24"/>
      <c r="AV294" s="24"/>
      <c r="AX294" s="29"/>
      <c r="BE294" s="24">
        <f t="shared" si="20"/>
        <v>6752</v>
      </c>
    </row>
    <row r="295" spans="1:57">
      <c r="A295" s="18" t="s">
        <v>57</v>
      </c>
      <c r="B295" s="19">
        <v>27196957</v>
      </c>
      <c r="C295" s="20">
        <v>46055</v>
      </c>
      <c r="D295" s="18" t="s">
        <v>350</v>
      </c>
      <c r="E295" s="18" t="s">
        <v>59</v>
      </c>
      <c r="F295" s="18" t="s">
        <v>60</v>
      </c>
      <c r="G295" s="18">
        <v>14939</v>
      </c>
      <c r="H295" s="18">
        <f>_xlfn.XLOOKUP(L295,'[1]2026 Mapping v3'!A:A,'[1]2026 Mapping v3'!F:F,0,0)</f>
        <v>57</v>
      </c>
      <c r="I295" s="18" t="b">
        <v>0</v>
      </c>
      <c r="J295" s="18" t="str">
        <f t="shared" si="17"/>
        <v>N2</v>
      </c>
      <c r="K295" s="21" t="s">
        <v>1318</v>
      </c>
      <c r="L295" s="18" t="s">
        <v>117</v>
      </c>
      <c r="M295" s="18" t="s">
        <v>98</v>
      </c>
      <c r="N295" s="18" t="s">
        <v>64</v>
      </c>
      <c r="O295" s="18" t="s">
        <v>872</v>
      </c>
      <c r="Q295" s="23" t="s">
        <v>80</v>
      </c>
      <c r="R295" s="23">
        <v>5</v>
      </c>
      <c r="S295" s="24">
        <v>1000000</v>
      </c>
      <c r="T295" s="28">
        <v>178648</v>
      </c>
      <c r="U295" s="18" t="s">
        <v>67</v>
      </c>
      <c r="V295" s="18" t="s">
        <v>68</v>
      </c>
      <c r="W295" s="18" t="s">
        <v>69</v>
      </c>
      <c r="X295" s="20">
        <v>46052</v>
      </c>
      <c r="Y295" s="18" t="s">
        <v>873</v>
      </c>
      <c r="Z295" s="18" t="str">
        <f>_xlfn.XLOOKUP(Y295,'[1]Data Source'!A:A,'[1]Data Source'!E:E,"N/A",0)</f>
        <v>UB</v>
      </c>
      <c r="AA295" s="18" t="str">
        <f>_xlfn.XLOOKUP(Y295,'[1]Data Source'!A:A,'[1]Data Source'!B:B,"N/A",0)</f>
        <v>Susan Njoki Ngararu</v>
      </c>
      <c r="AB295" s="18" t="str">
        <f t="shared" si="18"/>
        <v>Nairobi West</v>
      </c>
      <c r="AC295" s="18" t="str">
        <f>_xlfn.XLOOKUP(L295,'[1]2026 Mapping v3'!A:A,'[1]2026 Mapping v3'!B:B,"Error",0)</f>
        <v>Nairobi West</v>
      </c>
      <c r="AD295" s="18" t="str">
        <f>_xlfn.XLOOKUP(L295,'[1]2026 Mapping v3'!A:A,'[1]2026 Mapping v3'!C:C,"Error",0)</f>
        <v>Valentine Musyoka</v>
      </c>
      <c r="AE295" s="18" t="str">
        <f>_xlfn.XLOOKUP(L295,'[1]2026 Mapping v3'!A:A,'[1]2026 Mapping v3'!D:D,"Error",0)</f>
        <v>Ancetar Mulili</v>
      </c>
      <c r="AF295" s="18" t="str">
        <f>_xlfn.XLOOKUP(L295,'[1]2026 Mapping v3'!A:A,'[1]2026 Mapping v3'!E:E,"Error",0)</f>
        <v>Bilha Wachira</v>
      </c>
      <c r="AS295" s="24"/>
      <c r="AT295" s="24">
        <f t="shared" si="19"/>
        <v>178648</v>
      </c>
      <c r="AU295" s="24"/>
      <c r="AV295" s="24"/>
      <c r="AX295" s="29"/>
      <c r="BE295" s="24">
        <f t="shared" si="20"/>
        <v>178648</v>
      </c>
    </row>
    <row r="296" spans="1:57">
      <c r="A296" s="18" t="s">
        <v>57</v>
      </c>
      <c r="B296" s="19">
        <v>27196957</v>
      </c>
      <c r="C296" s="20">
        <v>46055</v>
      </c>
      <c r="D296" s="18" t="s">
        <v>350</v>
      </c>
      <c r="E296" s="18" t="s">
        <v>59</v>
      </c>
      <c r="F296" s="18" t="s">
        <v>60</v>
      </c>
      <c r="G296" s="18">
        <v>11686</v>
      </c>
      <c r="H296" s="18">
        <f>_xlfn.XLOOKUP(L296,'[1]2026 Mapping v3'!A:A,'[1]2026 Mapping v3'!F:F,0,0)</f>
        <v>31</v>
      </c>
      <c r="I296" s="18" t="b">
        <v>0</v>
      </c>
      <c r="J296" s="18" t="str">
        <f t="shared" si="17"/>
        <v>N2</v>
      </c>
      <c r="K296" s="21" t="s">
        <v>1319</v>
      </c>
      <c r="L296" s="18" t="s">
        <v>267</v>
      </c>
      <c r="M296" s="18" t="s">
        <v>98</v>
      </c>
      <c r="N296" s="18" t="s">
        <v>64</v>
      </c>
      <c r="O296" s="18" t="s">
        <v>874</v>
      </c>
      <c r="Q296" s="23" t="s">
        <v>80</v>
      </c>
      <c r="R296" s="23">
        <v>5</v>
      </c>
      <c r="S296" s="24">
        <v>20000000</v>
      </c>
      <c r="T296" s="32">
        <v>3174292</v>
      </c>
      <c r="U296" s="18" t="s">
        <v>67</v>
      </c>
      <c r="V296" s="18" t="s">
        <v>68</v>
      </c>
      <c r="W296" s="18" t="s">
        <v>69</v>
      </c>
      <c r="X296" s="20">
        <v>46052</v>
      </c>
      <c r="Y296" s="18" t="s">
        <v>838</v>
      </c>
      <c r="Z296" s="18" t="str">
        <f>_xlfn.XLOOKUP(Y296,'[1]Data Source'!A:A,'[1]Data Source'!E:E,"N/A",0)</f>
        <v>LG</v>
      </c>
      <c r="AA296" s="18" t="str">
        <f>_xlfn.XLOOKUP(Y296,'[1]Data Source'!A:A,'[1]Data Source'!B:B,"N/A",0)</f>
        <v>Martin  Muriithi</v>
      </c>
      <c r="AB296" s="18" t="str">
        <f t="shared" si="18"/>
        <v>Karatina</v>
      </c>
      <c r="AC296" s="18" t="str">
        <f>_xlfn.XLOOKUP(L296,'[1]2026 Mapping v3'!A:A,'[1]2026 Mapping v3'!B:B,"Error",0)</f>
        <v>Mt. Kenya</v>
      </c>
      <c r="AD296" s="18" t="str">
        <f>_xlfn.XLOOKUP(L296,'[1]2026 Mapping v3'!A:A,'[1]2026 Mapping v3'!C:C,"Error",0)</f>
        <v>Teresa Maina</v>
      </c>
      <c r="AE296" s="18" t="str">
        <f>_xlfn.XLOOKUP(L296,'[1]2026 Mapping v3'!A:A,'[1]2026 Mapping v3'!D:D,"Error",0)</f>
        <v>Paul Kithuka</v>
      </c>
      <c r="AF296" s="18" t="str">
        <f>_xlfn.XLOOKUP(L296,'[1]2026 Mapping v3'!A:A,'[1]2026 Mapping v3'!E:E,"Error",0)</f>
        <v>Simon Maingi</v>
      </c>
      <c r="AS296" s="24"/>
      <c r="AT296" s="24">
        <f t="shared" si="19"/>
        <v>3174292</v>
      </c>
      <c r="AU296" s="24"/>
      <c r="AV296" s="24"/>
      <c r="AX296" s="29"/>
      <c r="BE296" s="24">
        <f t="shared" si="20"/>
        <v>3174292</v>
      </c>
    </row>
    <row r="297" spans="1:57">
      <c r="A297" s="18" t="s">
        <v>57</v>
      </c>
      <c r="B297" s="19">
        <v>27196957</v>
      </c>
      <c r="C297" s="20">
        <v>46055</v>
      </c>
      <c r="D297" s="18" t="s">
        <v>350</v>
      </c>
      <c r="E297" s="18" t="s">
        <v>59</v>
      </c>
      <c r="F297" s="18" t="s">
        <v>60</v>
      </c>
      <c r="G297" s="18">
        <v>11700</v>
      </c>
      <c r="H297" s="18">
        <f>_xlfn.XLOOKUP(L297,'[1]2026 Mapping v3'!A:A,'[1]2026 Mapping v3'!F:F,0,0)</f>
        <v>31</v>
      </c>
      <c r="I297" s="18" t="b">
        <v>0</v>
      </c>
      <c r="J297" s="18" t="str">
        <f t="shared" si="17"/>
        <v>N2</v>
      </c>
      <c r="K297" s="21" t="s">
        <v>1320</v>
      </c>
      <c r="L297" s="18" t="s">
        <v>267</v>
      </c>
      <c r="M297" s="18" t="s">
        <v>98</v>
      </c>
      <c r="N297" s="18" t="s">
        <v>64</v>
      </c>
      <c r="O297" s="18" t="s">
        <v>875</v>
      </c>
      <c r="Q297" s="23" t="s">
        <v>80</v>
      </c>
      <c r="R297" s="23">
        <v>5</v>
      </c>
      <c r="S297" s="24">
        <v>3000000</v>
      </c>
      <c r="T297" s="28">
        <v>476146</v>
      </c>
      <c r="U297" s="18" t="s">
        <v>67</v>
      </c>
      <c r="V297" s="18" t="s">
        <v>68</v>
      </c>
      <c r="W297" s="18" t="s">
        <v>69</v>
      </c>
      <c r="X297" s="20">
        <v>46052</v>
      </c>
      <c r="Y297" s="18" t="s">
        <v>838</v>
      </c>
      <c r="Z297" s="18" t="str">
        <f>_xlfn.XLOOKUP(Y297,'[1]Data Source'!A:A,'[1]Data Source'!E:E,"N/A",0)</f>
        <v>LG</v>
      </c>
      <c r="AA297" s="18" t="str">
        <f>_xlfn.XLOOKUP(Y297,'[1]Data Source'!A:A,'[1]Data Source'!B:B,"N/A",0)</f>
        <v>Martin  Muriithi</v>
      </c>
      <c r="AB297" s="18" t="str">
        <f t="shared" si="18"/>
        <v>Karatina</v>
      </c>
      <c r="AC297" s="18" t="str">
        <f>_xlfn.XLOOKUP(L297,'[1]2026 Mapping v3'!A:A,'[1]2026 Mapping v3'!B:B,"Error",0)</f>
        <v>Mt. Kenya</v>
      </c>
      <c r="AD297" s="18" t="str">
        <f>_xlfn.XLOOKUP(L297,'[1]2026 Mapping v3'!A:A,'[1]2026 Mapping v3'!C:C,"Error",0)</f>
        <v>Teresa Maina</v>
      </c>
      <c r="AE297" s="18" t="str">
        <f>_xlfn.XLOOKUP(L297,'[1]2026 Mapping v3'!A:A,'[1]2026 Mapping v3'!D:D,"Error",0)</f>
        <v>Paul Kithuka</v>
      </c>
      <c r="AF297" s="18" t="str">
        <f>_xlfn.XLOOKUP(L297,'[1]2026 Mapping v3'!A:A,'[1]2026 Mapping v3'!E:E,"Error",0)</f>
        <v>Simon Maingi</v>
      </c>
      <c r="AS297" s="24"/>
      <c r="AT297" s="24">
        <f t="shared" si="19"/>
        <v>476146</v>
      </c>
      <c r="AU297" s="24"/>
      <c r="AV297" s="24"/>
      <c r="AX297" s="29"/>
      <c r="BE297" s="24">
        <f t="shared" si="20"/>
        <v>476146</v>
      </c>
    </row>
    <row r="298" spans="1:57">
      <c r="A298" s="18" t="s">
        <v>57</v>
      </c>
      <c r="B298" s="19">
        <v>27196957</v>
      </c>
      <c r="C298" s="20">
        <v>46055</v>
      </c>
      <c r="D298" s="18" t="s">
        <v>350</v>
      </c>
      <c r="E298" s="18" t="s">
        <v>59</v>
      </c>
      <c r="F298" s="18" t="s">
        <v>60</v>
      </c>
      <c r="G298" s="18">
        <v>11698</v>
      </c>
      <c r="H298" s="18">
        <f>_xlfn.XLOOKUP(L298,'[1]2026 Mapping v3'!A:A,'[1]2026 Mapping v3'!F:F,0,0)</f>
        <v>31</v>
      </c>
      <c r="I298" s="18" t="b">
        <v>0</v>
      </c>
      <c r="J298" s="18" t="str">
        <f t="shared" si="17"/>
        <v>N2</v>
      </c>
      <c r="K298" s="21" t="s">
        <v>1321</v>
      </c>
      <c r="L298" s="18" t="s">
        <v>267</v>
      </c>
      <c r="M298" s="18" t="s">
        <v>98</v>
      </c>
      <c r="N298" s="18" t="s">
        <v>64</v>
      </c>
      <c r="O298" s="18" t="s">
        <v>876</v>
      </c>
      <c r="Q298" s="23" t="s">
        <v>80</v>
      </c>
      <c r="R298" s="23">
        <v>5</v>
      </c>
      <c r="S298" s="24">
        <v>20000000</v>
      </c>
      <c r="T298" s="32">
        <v>1938138</v>
      </c>
      <c r="U298" s="18" t="s">
        <v>67</v>
      </c>
      <c r="V298" s="18" t="s">
        <v>68</v>
      </c>
      <c r="W298" s="18" t="s">
        <v>69</v>
      </c>
      <c r="X298" s="20">
        <v>46052</v>
      </c>
      <c r="Y298" s="18" t="s">
        <v>838</v>
      </c>
      <c r="Z298" s="18" t="str">
        <f>_xlfn.XLOOKUP(Y298,'[1]Data Source'!A:A,'[1]Data Source'!E:E,"N/A",0)</f>
        <v>LG</v>
      </c>
      <c r="AA298" s="18" t="str">
        <f>_xlfn.XLOOKUP(Y298,'[1]Data Source'!A:A,'[1]Data Source'!B:B,"N/A",0)</f>
        <v>Martin  Muriithi</v>
      </c>
      <c r="AB298" s="18" t="str">
        <f t="shared" si="18"/>
        <v>Karatina</v>
      </c>
      <c r="AC298" s="18" t="str">
        <f>_xlfn.XLOOKUP(L298,'[1]2026 Mapping v3'!A:A,'[1]2026 Mapping v3'!B:B,"Error",0)</f>
        <v>Mt. Kenya</v>
      </c>
      <c r="AD298" s="18" t="str">
        <f>_xlfn.XLOOKUP(L298,'[1]2026 Mapping v3'!A:A,'[1]2026 Mapping v3'!C:C,"Error",0)</f>
        <v>Teresa Maina</v>
      </c>
      <c r="AE298" s="18" t="str">
        <f>_xlfn.XLOOKUP(L298,'[1]2026 Mapping v3'!A:A,'[1]2026 Mapping v3'!D:D,"Error",0)</f>
        <v>Paul Kithuka</v>
      </c>
      <c r="AF298" s="18" t="str">
        <f>_xlfn.XLOOKUP(L298,'[1]2026 Mapping v3'!A:A,'[1]2026 Mapping v3'!E:E,"Error",0)</f>
        <v>Simon Maingi</v>
      </c>
      <c r="AS298" s="24"/>
      <c r="AT298" s="24">
        <f t="shared" si="19"/>
        <v>1938138</v>
      </c>
      <c r="AU298" s="24"/>
      <c r="AV298" s="24"/>
      <c r="AX298" s="29"/>
      <c r="BE298" s="24">
        <f t="shared" si="20"/>
        <v>1938138</v>
      </c>
    </row>
    <row r="299" spans="1:57">
      <c r="A299" s="18" t="s">
        <v>128</v>
      </c>
      <c r="B299" s="19">
        <v>27196957</v>
      </c>
      <c r="C299" s="20">
        <v>46055</v>
      </c>
      <c r="D299" s="18" t="s">
        <v>350</v>
      </c>
      <c r="E299" s="18" t="s">
        <v>59</v>
      </c>
      <c r="F299" s="18" t="s">
        <v>60</v>
      </c>
      <c r="G299" s="18">
        <v>4823</v>
      </c>
      <c r="H299" s="18">
        <f>_xlfn.XLOOKUP(L299,'[1]2026 Mapping v3'!A:A,'[1]2026 Mapping v3'!F:F,0,0)</f>
        <v>12</v>
      </c>
      <c r="I299" s="18" t="b">
        <v>0</v>
      </c>
      <c r="J299" s="18" t="str">
        <f t="shared" si="17"/>
        <v>N2</v>
      </c>
      <c r="K299" s="21" t="s">
        <v>1322</v>
      </c>
      <c r="L299" s="18" t="str">
        <f>Y299</f>
        <v>HISA001</v>
      </c>
      <c r="M299" s="18" t="s">
        <v>98</v>
      </c>
      <c r="N299" s="18" t="s">
        <v>64</v>
      </c>
      <c r="O299" s="18" t="s">
        <v>877</v>
      </c>
      <c r="Q299" s="23" t="s">
        <v>80</v>
      </c>
      <c r="R299" s="23">
        <v>6</v>
      </c>
      <c r="S299" s="24">
        <v>1154702</v>
      </c>
      <c r="T299" s="28">
        <v>15020</v>
      </c>
      <c r="U299" s="18" t="s">
        <v>67</v>
      </c>
      <c r="V299" s="18" t="s">
        <v>110</v>
      </c>
      <c r="W299" s="18" t="s">
        <v>69</v>
      </c>
      <c r="X299" s="20">
        <v>46052</v>
      </c>
      <c r="Y299" s="18" t="s">
        <v>131</v>
      </c>
      <c r="Z299" s="18" t="str">
        <f>_xlfn.XLOOKUP(Y299,'[1]Data Source'!A:A,'[1]Data Source'!E:E,"N/A",0)</f>
        <v>ALAK</v>
      </c>
      <c r="AA299" s="18" t="str">
        <f>_xlfn.XLOOKUP(Y299,'[1]Data Source'!A:A,'[1]Data Source'!B:B,"N/A",0)</f>
        <v>Alfred Mathu</v>
      </c>
      <c r="AB299" s="18" t="str">
        <f>Y299</f>
        <v>HISA001</v>
      </c>
      <c r="AC299" s="18" t="str">
        <f>_xlfn.XLOOKUP(L299,'[1]2026 Mapping v3'!A:A,'[1]2026 Mapping v3'!B:B,"Error",0)</f>
        <v>Alternative Channels</v>
      </c>
      <c r="AD299" s="18" t="str">
        <f>_xlfn.XLOOKUP(L299,'[1]2026 Mapping v3'!A:A,'[1]2026 Mapping v3'!C:C,"Error",0)</f>
        <v>Eric Njiru</v>
      </c>
      <c r="AE299" s="18" t="str">
        <f>_xlfn.XLOOKUP(L299,'[1]2026 Mapping v3'!A:A,'[1]2026 Mapping v3'!D:D,"Error",0)</f>
        <v>Eric Njiru</v>
      </c>
      <c r="AF299" s="18" t="str">
        <f>_xlfn.XLOOKUP(L299,'[1]2026 Mapping v3'!A:A,'[1]2026 Mapping v3'!E:E,"Error",0)</f>
        <v>Eric Njiru</v>
      </c>
      <c r="AS299" s="24"/>
      <c r="AT299" s="24">
        <f t="shared" si="19"/>
        <v>15020</v>
      </c>
      <c r="AU299" s="24"/>
      <c r="AV299" s="24"/>
      <c r="AX299" s="29"/>
      <c r="BE299" s="24">
        <f t="shared" si="20"/>
        <v>15020</v>
      </c>
    </row>
    <row r="300" spans="1:57">
      <c r="A300" s="18" t="s">
        <v>57</v>
      </c>
      <c r="B300" s="19">
        <v>27196957</v>
      </c>
      <c r="C300" s="20">
        <v>46055</v>
      </c>
      <c r="D300" s="18" t="s">
        <v>350</v>
      </c>
      <c r="E300" s="18" t="s">
        <v>59</v>
      </c>
      <c r="F300" s="18" t="s">
        <v>60</v>
      </c>
      <c r="G300" s="18">
        <v>8517</v>
      </c>
      <c r="H300" s="18">
        <f>_xlfn.XLOOKUP(L300,'[1]2026 Mapping v3'!A:A,'[1]2026 Mapping v3'!F:F,0,0)</f>
        <v>71</v>
      </c>
      <c r="I300" s="18" t="b">
        <v>0</v>
      </c>
      <c r="J300" s="18" t="str">
        <f t="shared" si="17"/>
        <v>N2</v>
      </c>
      <c r="K300" s="21" t="s">
        <v>1323</v>
      </c>
      <c r="L300" s="18" t="s">
        <v>89</v>
      </c>
      <c r="M300" s="18" t="s">
        <v>63</v>
      </c>
      <c r="N300" s="18" t="s">
        <v>64</v>
      </c>
      <c r="O300" s="18" t="s">
        <v>878</v>
      </c>
      <c r="Q300" s="23" t="s">
        <v>80</v>
      </c>
      <c r="R300" s="23">
        <v>10</v>
      </c>
      <c r="S300" s="24">
        <v>726220</v>
      </c>
      <c r="T300" s="28">
        <v>5000</v>
      </c>
      <c r="U300" s="18" t="s">
        <v>67</v>
      </c>
      <c r="V300" s="18" t="s">
        <v>110</v>
      </c>
      <c r="W300" s="18" t="s">
        <v>69</v>
      </c>
      <c r="X300" s="20">
        <v>46046</v>
      </c>
      <c r="Y300" s="18" t="s">
        <v>405</v>
      </c>
      <c r="Z300" s="18" t="str">
        <f>_xlfn.XLOOKUP(Y300,'[1]Data Source'!A:A,'[1]Data Source'!E:E,"N/A",0)</f>
        <v>LG</v>
      </c>
      <c r="AA300" s="18" t="str">
        <f>_xlfn.XLOOKUP(Y300,'[1]Data Source'!A:A,'[1]Data Source'!B:B,"N/A",0)</f>
        <v>Edna Kimanzi Wambui</v>
      </c>
      <c r="AB300" s="18" t="str">
        <f t="shared" si="18"/>
        <v>Queensway Hse</v>
      </c>
      <c r="AC300" s="18" t="str">
        <f>_xlfn.XLOOKUP(L300,'[1]2026 Mapping v3'!A:A,'[1]2026 Mapping v3'!B:B,"Error",0)</f>
        <v>Queensway</v>
      </c>
      <c r="AD300" s="18" t="str">
        <f>_xlfn.XLOOKUP(L300,'[1]2026 Mapping v3'!A:A,'[1]2026 Mapping v3'!C:C,"Error",0)</f>
        <v>Nina Kifani</v>
      </c>
      <c r="AE300" s="18" t="str">
        <f>_xlfn.XLOOKUP(L300,'[1]2026 Mapping v3'!A:A,'[1]2026 Mapping v3'!D:D,"Error",0)</f>
        <v>Nina Kifani</v>
      </c>
      <c r="AF300" s="18" t="str">
        <f>_xlfn.XLOOKUP(L300,'[1]2026 Mapping v3'!A:A,'[1]2026 Mapping v3'!E:E,"Error",0)</f>
        <v>Bilha Wachira</v>
      </c>
      <c r="AS300" s="24"/>
      <c r="AT300" s="24">
        <f t="shared" si="19"/>
        <v>5000</v>
      </c>
      <c r="AU300" s="24"/>
      <c r="AV300" s="24"/>
      <c r="AX300" s="29"/>
      <c r="BE300" s="24">
        <f t="shared" si="20"/>
        <v>5000</v>
      </c>
    </row>
    <row r="301" spans="1:57">
      <c r="A301" s="18" t="s">
        <v>57</v>
      </c>
      <c r="B301" s="19">
        <v>27196957</v>
      </c>
      <c r="C301" s="20">
        <v>46055</v>
      </c>
      <c r="D301" s="18" t="s">
        <v>350</v>
      </c>
      <c r="E301" s="18" t="s">
        <v>59</v>
      </c>
      <c r="F301" s="18" t="s">
        <v>60</v>
      </c>
      <c r="G301" s="18">
        <v>13721</v>
      </c>
      <c r="H301" s="18">
        <f>_xlfn.XLOOKUP(L301,'[1]2026 Mapping v3'!A:A,'[1]2026 Mapping v3'!F:F,0,0)</f>
        <v>72</v>
      </c>
      <c r="I301" s="18" t="b">
        <v>0</v>
      </c>
      <c r="J301" s="18" t="str">
        <f t="shared" si="17"/>
        <v>N3</v>
      </c>
      <c r="K301" s="21" t="s">
        <v>1324</v>
      </c>
      <c r="L301" s="18" t="s">
        <v>306</v>
      </c>
      <c r="M301" s="18" t="s">
        <v>63</v>
      </c>
      <c r="N301" s="18" t="s">
        <v>64</v>
      </c>
      <c r="O301" s="18" t="s">
        <v>879</v>
      </c>
      <c r="Q301" s="23" t="s">
        <v>80</v>
      </c>
      <c r="R301" s="23">
        <v>10</v>
      </c>
      <c r="S301" s="24">
        <v>261440</v>
      </c>
      <c r="T301" s="28">
        <v>2000</v>
      </c>
      <c r="U301" s="18" t="s">
        <v>67</v>
      </c>
      <c r="V301" s="18" t="s">
        <v>110</v>
      </c>
      <c r="W301" s="18" t="s">
        <v>69</v>
      </c>
      <c r="X301" s="20">
        <v>46023</v>
      </c>
      <c r="Y301" s="18" t="s">
        <v>880</v>
      </c>
      <c r="Z301" s="18" t="s">
        <v>71</v>
      </c>
      <c r="AA301" s="18" t="str">
        <f>_xlfn.XLOOKUP(Y301,'[1]Data Source'!A:A,'[1]Data Source'!B:B,"N/A",0)</f>
        <v>N/A</v>
      </c>
      <c r="AB301" s="18" t="str">
        <f t="shared" si="18"/>
        <v>River Road</v>
      </c>
      <c r="AC301" s="18" t="str">
        <f>_xlfn.XLOOKUP(L301,'[1]2026 Mapping v3'!A:A,'[1]2026 Mapping v3'!B:B,"Error",0)</f>
        <v>Nairobi West</v>
      </c>
      <c r="AD301" s="18" t="str">
        <f>_xlfn.XLOOKUP(L301,'[1]2026 Mapping v3'!A:A,'[1]2026 Mapping v3'!C:C,"Error",0)</f>
        <v>Ancetar Mulili</v>
      </c>
      <c r="AE301" s="18" t="str">
        <f>_xlfn.XLOOKUP(L301,'[1]2026 Mapping v3'!A:A,'[1]2026 Mapping v3'!D:D,"Error",0)</f>
        <v>Ancetar Mulili</v>
      </c>
      <c r="AF301" s="18" t="str">
        <f>_xlfn.XLOOKUP(L301,'[1]2026 Mapping v3'!A:A,'[1]2026 Mapping v3'!E:E,"Error",0)</f>
        <v>Bilha Wachira</v>
      </c>
      <c r="AS301" s="24"/>
      <c r="AT301" s="24">
        <f t="shared" si="19"/>
        <v>2000</v>
      </c>
      <c r="AU301" s="24"/>
      <c r="AV301" s="24"/>
      <c r="AX301" s="29"/>
      <c r="BE301" s="24">
        <f t="shared" si="20"/>
        <v>2000</v>
      </c>
    </row>
    <row r="302" spans="1:57">
      <c r="A302" s="18" t="s">
        <v>881</v>
      </c>
      <c r="B302" s="19">
        <v>27196957</v>
      </c>
      <c r="C302" s="20">
        <v>46055</v>
      </c>
      <c r="D302" s="18" t="s">
        <v>350</v>
      </c>
      <c r="E302" s="18" t="s">
        <v>59</v>
      </c>
      <c r="F302" s="18" t="s">
        <v>60</v>
      </c>
      <c r="G302" s="18">
        <v>1009</v>
      </c>
      <c r="H302" s="18">
        <f>_xlfn.XLOOKUP(L302,'[1]2026 Mapping v3'!A:A,'[1]2026 Mapping v3'!F:F,0,0)</f>
        <v>157</v>
      </c>
      <c r="I302" s="18" t="b">
        <v>0</v>
      </c>
      <c r="J302" s="18" t="str">
        <f t="shared" si="17"/>
        <v>N3</v>
      </c>
      <c r="K302" s="21" t="s">
        <v>1325</v>
      </c>
      <c r="L302" s="18" t="s">
        <v>881</v>
      </c>
      <c r="M302" s="18" t="s">
        <v>63</v>
      </c>
      <c r="N302" s="18" t="s">
        <v>64</v>
      </c>
      <c r="Q302" s="23" t="s">
        <v>80</v>
      </c>
      <c r="R302" s="23">
        <v>12</v>
      </c>
      <c r="S302" s="24">
        <v>4058400</v>
      </c>
      <c r="T302" s="28">
        <v>101460</v>
      </c>
      <c r="U302" s="18" t="s">
        <v>67</v>
      </c>
      <c r="V302" s="18" t="s">
        <v>413</v>
      </c>
      <c r="W302" s="18" t="s">
        <v>69</v>
      </c>
      <c r="X302" s="20">
        <v>46023</v>
      </c>
      <c r="Y302" s="18" t="s">
        <v>882</v>
      </c>
      <c r="Z302" s="18" t="s">
        <v>122</v>
      </c>
      <c r="AA302" s="18" t="str">
        <f>_xlfn.XLOOKUP(Y302,'[1]Data Source'!A:A,'[1]Data Source'!B:B,"N/A",0)</f>
        <v>N/A</v>
      </c>
      <c r="AB302" s="18" t="str">
        <f t="shared" si="18"/>
        <v>Dovenest</v>
      </c>
      <c r="AC302" s="18" t="str">
        <f>_xlfn.XLOOKUP(L302,'[1]2026 Mapping v3'!A:A,'[1]2026 Mapping v3'!B:B,"Error",0)</f>
        <v>Alternative Channels</v>
      </c>
      <c r="AD302" s="18" t="str">
        <f>_xlfn.XLOOKUP(L302,'[1]2026 Mapping v3'!A:A,'[1]2026 Mapping v3'!C:C,"Error",0)</f>
        <v>Selestine Magayu</v>
      </c>
      <c r="AE302" s="18" t="str">
        <f>_xlfn.XLOOKUP(L302,'[1]2026 Mapping v3'!A:A,'[1]2026 Mapping v3'!D:D,"Error",0)</f>
        <v>Joel Mbogo</v>
      </c>
      <c r="AF302" s="18" t="str">
        <f>_xlfn.XLOOKUP(L302,'[1]2026 Mapping v3'!A:A,'[1]2026 Mapping v3'!E:E,"Error",0)</f>
        <v>Eric Njiru</v>
      </c>
      <c r="AS302" s="24"/>
      <c r="AT302" s="24">
        <f t="shared" si="19"/>
        <v>101460</v>
      </c>
      <c r="AU302" s="24"/>
      <c r="AV302" s="24"/>
      <c r="AX302" s="29"/>
      <c r="BE302" s="24">
        <f t="shared" si="20"/>
        <v>101460</v>
      </c>
    </row>
    <row r="303" spans="1:57">
      <c r="A303" s="18" t="s">
        <v>881</v>
      </c>
      <c r="B303" s="19">
        <v>27196957</v>
      </c>
      <c r="C303" s="20">
        <v>46055</v>
      </c>
      <c r="D303" s="18" t="s">
        <v>350</v>
      </c>
      <c r="E303" s="18" t="s">
        <v>59</v>
      </c>
      <c r="F303" s="18" t="s">
        <v>60</v>
      </c>
      <c r="G303" s="18">
        <v>1008</v>
      </c>
      <c r="H303" s="18">
        <f>_xlfn.XLOOKUP(L303,'[1]2026 Mapping v3'!A:A,'[1]2026 Mapping v3'!F:F,0,0)</f>
        <v>157</v>
      </c>
      <c r="I303" s="18" t="b">
        <v>0</v>
      </c>
      <c r="J303" s="18" t="str">
        <f t="shared" si="17"/>
        <v>N3</v>
      </c>
      <c r="K303" s="21" t="s">
        <v>1326</v>
      </c>
      <c r="L303" s="18" t="s">
        <v>881</v>
      </c>
      <c r="M303" s="18" t="s">
        <v>63</v>
      </c>
      <c r="N303" s="18" t="s">
        <v>64</v>
      </c>
      <c r="Q303" s="23" t="s">
        <v>80</v>
      </c>
      <c r="R303" s="23">
        <v>11</v>
      </c>
      <c r="S303" s="24">
        <v>3720000</v>
      </c>
      <c r="T303" s="28">
        <v>93000</v>
      </c>
      <c r="U303" s="18" t="s">
        <v>67</v>
      </c>
      <c r="V303" s="18" t="s">
        <v>413</v>
      </c>
      <c r="W303" s="18" t="s">
        <v>69</v>
      </c>
      <c r="X303" s="20">
        <v>46023</v>
      </c>
      <c r="Y303" s="18" t="s">
        <v>882</v>
      </c>
      <c r="Z303" s="18" t="s">
        <v>122</v>
      </c>
      <c r="AA303" s="18" t="str">
        <f>_xlfn.XLOOKUP(Y303,'[1]Data Source'!A:A,'[1]Data Source'!B:B,"N/A",0)</f>
        <v>N/A</v>
      </c>
      <c r="AB303" s="18" t="str">
        <f t="shared" si="18"/>
        <v>Dovenest</v>
      </c>
      <c r="AC303" s="18" t="str">
        <f>_xlfn.XLOOKUP(L303,'[1]2026 Mapping v3'!A:A,'[1]2026 Mapping v3'!B:B,"Error",0)</f>
        <v>Alternative Channels</v>
      </c>
      <c r="AD303" s="18" t="str">
        <f>_xlfn.XLOOKUP(L303,'[1]2026 Mapping v3'!A:A,'[1]2026 Mapping v3'!C:C,"Error",0)</f>
        <v>Selestine Magayu</v>
      </c>
      <c r="AE303" s="18" t="str">
        <f>_xlfn.XLOOKUP(L303,'[1]2026 Mapping v3'!A:A,'[1]2026 Mapping v3'!D:D,"Error",0)</f>
        <v>Joel Mbogo</v>
      </c>
      <c r="AF303" s="18" t="str">
        <f>_xlfn.XLOOKUP(L303,'[1]2026 Mapping v3'!A:A,'[1]2026 Mapping v3'!E:E,"Error",0)</f>
        <v>Eric Njiru</v>
      </c>
      <c r="AS303" s="24"/>
      <c r="AT303" s="24">
        <f t="shared" si="19"/>
        <v>93000</v>
      </c>
      <c r="AU303" s="24"/>
      <c r="AV303" s="24"/>
      <c r="AX303" s="29"/>
      <c r="BE303" s="24">
        <f t="shared" si="20"/>
        <v>93000</v>
      </c>
    </row>
    <row r="304" spans="1:57">
      <c r="A304" s="18" t="s">
        <v>57</v>
      </c>
      <c r="B304" s="19">
        <v>27196957</v>
      </c>
      <c r="C304" s="20">
        <v>46055</v>
      </c>
      <c r="D304" s="18" t="s">
        <v>350</v>
      </c>
      <c r="E304" s="18" t="s">
        <v>59</v>
      </c>
      <c r="F304" s="18" t="s">
        <v>60</v>
      </c>
      <c r="G304" s="18">
        <v>12850</v>
      </c>
      <c r="H304" s="18">
        <f>_xlfn.XLOOKUP(L304,'[1]2026 Mapping v3'!A:A,'[1]2026 Mapping v3'!F:F,0,0)</f>
        <v>17</v>
      </c>
      <c r="I304" s="18" t="b">
        <v>0</v>
      </c>
      <c r="J304" s="18" t="str">
        <f t="shared" si="17"/>
        <v>N3</v>
      </c>
      <c r="K304" s="21" t="s">
        <v>1327</v>
      </c>
      <c r="L304" s="18" t="s">
        <v>325</v>
      </c>
      <c r="M304" s="18" t="s">
        <v>98</v>
      </c>
      <c r="N304" s="18" t="s">
        <v>64</v>
      </c>
      <c r="Q304" s="23" t="s">
        <v>66</v>
      </c>
      <c r="R304" s="23">
        <v>16</v>
      </c>
      <c r="S304" s="24">
        <v>27254070</v>
      </c>
      <c r="T304" s="28">
        <v>1214169</v>
      </c>
      <c r="U304" s="18" t="s">
        <v>67</v>
      </c>
      <c r="V304" s="18" t="s">
        <v>68</v>
      </c>
      <c r="W304" s="18" t="s">
        <v>69</v>
      </c>
      <c r="X304" s="20">
        <v>46081</v>
      </c>
      <c r="Y304" s="18" t="s">
        <v>369</v>
      </c>
      <c r="Z304" s="18" t="s">
        <v>71</v>
      </c>
      <c r="AA304" s="18" t="str">
        <f>_xlfn.XLOOKUP(Y304,'[1]Data Source'!A:A,'[1]Data Source'!B:B,"N/A",0)</f>
        <v>N/A</v>
      </c>
      <c r="AB304" s="18" t="str">
        <f t="shared" si="18"/>
        <v>Gikomba</v>
      </c>
      <c r="AC304" s="18" t="str">
        <f>_xlfn.XLOOKUP(L304,'[1]2026 Mapping v3'!A:A,'[1]2026 Mapping v3'!B:B,"Error",0)</f>
        <v>Nairobi Central</v>
      </c>
      <c r="AD304" s="18" t="str">
        <f>_xlfn.XLOOKUP(L304,'[1]2026 Mapping v3'!A:A,'[1]2026 Mapping v3'!C:C,"Error",0)</f>
        <v>Zedekiah Mburu</v>
      </c>
      <c r="AE304" s="18" t="str">
        <f>_xlfn.XLOOKUP(L304,'[1]2026 Mapping v3'!A:A,'[1]2026 Mapping v3'!D:D,"Error",0)</f>
        <v>Zedekiah Mburu</v>
      </c>
      <c r="AF304" s="18" t="str">
        <f>_xlfn.XLOOKUP(L304,'[1]2026 Mapping v3'!A:A,'[1]2026 Mapping v3'!E:E,"Error",0)</f>
        <v>Bilha Wachira</v>
      </c>
      <c r="AS304" s="24"/>
      <c r="AT304" s="24">
        <f t="shared" si="19"/>
        <v>1214169</v>
      </c>
      <c r="AU304" s="24"/>
      <c r="AV304" s="24"/>
      <c r="AX304" s="29"/>
      <c r="BE304" s="24">
        <f t="shared" si="20"/>
        <v>1214169</v>
      </c>
    </row>
    <row r="305" spans="1:57">
      <c r="A305" s="18" t="s">
        <v>57</v>
      </c>
      <c r="B305" s="19">
        <v>27196957</v>
      </c>
      <c r="C305" s="20">
        <v>46056</v>
      </c>
      <c r="D305" s="18" t="s">
        <v>350</v>
      </c>
      <c r="E305" s="18" t="s">
        <v>59</v>
      </c>
      <c r="F305" s="18" t="s">
        <v>60</v>
      </c>
      <c r="G305" s="18">
        <v>12370</v>
      </c>
      <c r="H305" s="18">
        <f>_xlfn.XLOOKUP(L305,'[1]2026 Mapping v3'!A:A,'[1]2026 Mapping v3'!F:F,0,0)</f>
        <v>35</v>
      </c>
      <c r="I305" s="18" t="b">
        <v>0</v>
      </c>
      <c r="J305" s="18" t="str">
        <f t="shared" si="17"/>
        <v>N3</v>
      </c>
      <c r="K305" s="21" t="s">
        <v>1328</v>
      </c>
      <c r="L305" s="18" t="s">
        <v>884</v>
      </c>
      <c r="M305" s="18" t="s">
        <v>63</v>
      </c>
      <c r="N305" s="18" t="s">
        <v>64</v>
      </c>
      <c r="O305" s="18" t="s">
        <v>885</v>
      </c>
      <c r="Q305" s="23" t="s">
        <v>80</v>
      </c>
      <c r="R305" s="23">
        <v>15</v>
      </c>
      <c r="S305" s="24">
        <v>510000</v>
      </c>
      <c r="T305" s="28">
        <v>2524.5</v>
      </c>
      <c r="U305" s="18" t="s">
        <v>67</v>
      </c>
      <c r="V305" s="18" t="s">
        <v>110</v>
      </c>
      <c r="W305" s="18" t="s">
        <v>69</v>
      </c>
      <c r="X305" s="20">
        <v>46050</v>
      </c>
      <c r="Y305" s="18" t="s">
        <v>886</v>
      </c>
      <c r="Z305" s="18" t="str">
        <f>_xlfn.XLOOKUP(Y305,'[1]Data Source'!A:A,'[1]Data Source'!E:E,"N/A",0)</f>
        <v>UB</v>
      </c>
      <c r="AA305" s="18" t="str">
        <f>_xlfn.XLOOKUP(Y305,'[1]Data Source'!A:A,'[1]Data Source'!B:B,"N/A",0)</f>
        <v>Charity Mwangi</v>
      </c>
      <c r="AB305" s="18" t="str">
        <f t="shared" si="18"/>
        <v>Kerugoya</v>
      </c>
      <c r="AC305" s="18" t="str">
        <f>_xlfn.XLOOKUP(L305,'[1]2026 Mapping v3'!A:A,'[1]2026 Mapping v3'!B:B,"Error",0)</f>
        <v>Mt. Kenya</v>
      </c>
      <c r="AD305" s="18" t="str">
        <f>_xlfn.XLOOKUP(L305,'[1]2026 Mapping v3'!A:A,'[1]2026 Mapping v3'!C:C,"Error",0)</f>
        <v>Teresa Maina</v>
      </c>
      <c r="AE305" s="18" t="str">
        <f>_xlfn.XLOOKUP(L305,'[1]2026 Mapping v3'!A:A,'[1]2026 Mapping v3'!D:D,"Error",0)</f>
        <v>Paul Kithuka</v>
      </c>
      <c r="AF305" s="18" t="str">
        <f>_xlfn.XLOOKUP(L305,'[1]2026 Mapping v3'!A:A,'[1]2026 Mapping v3'!E:E,"Error",0)</f>
        <v>Simon Maingi</v>
      </c>
      <c r="AS305" s="24"/>
      <c r="AT305" s="24">
        <f t="shared" si="19"/>
        <v>2524.5</v>
      </c>
      <c r="AU305" s="24"/>
      <c r="AV305" s="24"/>
      <c r="AX305" s="29"/>
      <c r="BE305" s="24">
        <f t="shared" si="20"/>
        <v>2524.5</v>
      </c>
    </row>
    <row r="306" spans="1:57">
      <c r="A306" s="18" t="s">
        <v>57</v>
      </c>
      <c r="B306" s="19">
        <v>27196957</v>
      </c>
      <c r="C306" s="20">
        <v>46056</v>
      </c>
      <c r="D306" s="18" t="s">
        <v>350</v>
      </c>
      <c r="E306" s="18" t="s">
        <v>59</v>
      </c>
      <c r="F306" s="18" t="s">
        <v>60</v>
      </c>
      <c r="G306" s="18">
        <v>16580</v>
      </c>
      <c r="H306" s="18">
        <f>_xlfn.XLOOKUP(L306,'[1]2026 Mapping v3'!A:A,'[1]2026 Mapping v3'!F:F,0,0)</f>
        <v>2</v>
      </c>
      <c r="I306" s="18" t="b">
        <v>0</v>
      </c>
      <c r="J306" s="18" t="str">
        <f t="shared" si="17"/>
        <v>N3</v>
      </c>
      <c r="K306" s="21" t="s">
        <v>1329</v>
      </c>
      <c r="L306" s="18" t="s">
        <v>377</v>
      </c>
      <c r="M306" s="18" t="s">
        <v>98</v>
      </c>
      <c r="N306" s="18" t="s">
        <v>64</v>
      </c>
      <c r="O306" s="18" t="s">
        <v>887</v>
      </c>
      <c r="Q306" s="23" t="s">
        <v>66</v>
      </c>
      <c r="R306" s="23">
        <v>10</v>
      </c>
      <c r="S306" s="24">
        <v>1611198</v>
      </c>
      <c r="T306" s="28">
        <v>120010</v>
      </c>
      <c r="U306" s="18" t="s">
        <v>67</v>
      </c>
      <c r="V306" s="18" t="s">
        <v>68</v>
      </c>
      <c r="W306" s="18" t="s">
        <v>69</v>
      </c>
      <c r="X306" s="20">
        <v>46077</v>
      </c>
      <c r="Y306" s="18" t="s">
        <v>888</v>
      </c>
      <c r="Z306" s="18" t="str">
        <f>_xlfn.XLOOKUP(Y306,'[1]Data Source'!A:A,'[1]Data Source'!E:E,"N/A",0)</f>
        <v>N/A</v>
      </c>
      <c r="AA306" s="18" t="str">
        <f>_xlfn.XLOOKUP(Y306,'[1]Data Source'!A:A,'[1]Data Source'!B:B,"N/A",0)</f>
        <v>N/A</v>
      </c>
      <c r="AB306" s="18" t="str">
        <f t="shared" si="18"/>
        <v>TMU</v>
      </c>
      <c r="AC306" s="18" t="str">
        <f>_xlfn.XLOOKUP(L306,'[1]2026 Mapping v3'!A:A,'[1]2026 Mapping v3'!B:B,"Error",0)</f>
        <v>TMU</v>
      </c>
      <c r="AD306" s="18" t="str">
        <f>_xlfn.XLOOKUP(L306,'[1]2026 Mapping v3'!A:A,'[1]2026 Mapping v3'!C:C,"Error",0)</f>
        <v>Simon Wambua</v>
      </c>
      <c r="AE306" s="18" t="str">
        <f>_xlfn.XLOOKUP(L306,'[1]2026 Mapping v3'!A:A,'[1]2026 Mapping v3'!D:D,"Error",0)</f>
        <v>Joseph Kairu</v>
      </c>
      <c r="AF306" s="18" t="str">
        <f>_xlfn.XLOOKUP(L306,'[1]2026 Mapping v3'!A:A,'[1]2026 Mapping v3'!E:E,"Error",0)</f>
        <v>Debrah Rashid</v>
      </c>
      <c r="AS306" s="24"/>
      <c r="AT306" s="24">
        <f t="shared" si="19"/>
        <v>120010</v>
      </c>
      <c r="AU306" s="24"/>
      <c r="AV306" s="24"/>
      <c r="AX306" s="29"/>
      <c r="BE306" s="24">
        <f t="shared" si="20"/>
        <v>120010</v>
      </c>
    </row>
    <row r="307" spans="1:57">
      <c r="A307" s="18" t="s">
        <v>889</v>
      </c>
      <c r="B307" s="19">
        <v>27196957</v>
      </c>
      <c r="C307" s="20">
        <v>46056</v>
      </c>
      <c r="D307" s="18" t="s">
        <v>350</v>
      </c>
      <c r="E307" s="18" t="s">
        <v>59</v>
      </c>
      <c r="F307" s="18" t="s">
        <v>60</v>
      </c>
      <c r="G307" s="18" t="s">
        <v>146</v>
      </c>
      <c r="H307" s="18">
        <f>_xlfn.XLOOKUP(L307,'[1]2026 Mapping v3'!A:A,'[1]2026 Mapping v3'!F:F,0,0)</f>
        <v>110</v>
      </c>
      <c r="I307" s="18" t="b">
        <v>0</v>
      </c>
      <c r="J307" s="18" t="str">
        <f t="shared" si="17"/>
        <v>N3</v>
      </c>
      <c r="K307" s="21" t="s">
        <v>1330</v>
      </c>
      <c r="L307" s="18" t="s">
        <v>889</v>
      </c>
      <c r="M307" s="18" t="s">
        <v>98</v>
      </c>
      <c r="N307" s="18" t="s">
        <v>64</v>
      </c>
      <c r="Q307" s="23" t="s">
        <v>80</v>
      </c>
      <c r="R307" s="23">
        <v>10</v>
      </c>
      <c r="S307" s="24">
        <v>4833594</v>
      </c>
      <c r="T307" s="28">
        <v>400004</v>
      </c>
      <c r="U307" s="18" t="s">
        <v>67</v>
      </c>
      <c r="V307" s="18" t="s">
        <v>68</v>
      </c>
      <c r="W307" s="18" t="s">
        <v>69</v>
      </c>
      <c r="X307" s="20">
        <v>46050</v>
      </c>
      <c r="Y307" s="18" t="s">
        <v>890</v>
      </c>
      <c r="Z307" s="18" t="s">
        <v>122</v>
      </c>
      <c r="AA307" s="18" t="str">
        <f>_xlfn.XLOOKUP(Y307,'[1]Data Source'!A:A,'[1]Data Source'!B:B,"N/A",0)</f>
        <v>N/A</v>
      </c>
      <c r="AB307" s="18" t="str">
        <f t="shared" si="18"/>
        <v>Dawit</v>
      </c>
      <c r="AC307" s="18" t="str">
        <f>_xlfn.XLOOKUP(L307,'[1]2026 Mapping v3'!A:A,'[1]2026 Mapping v3'!B:B,"Error",0)</f>
        <v>Alternative Channels</v>
      </c>
      <c r="AD307" s="18" t="str">
        <f>_xlfn.XLOOKUP(L307,'[1]2026 Mapping v3'!A:A,'[1]2026 Mapping v3'!C:C,"Error",0)</f>
        <v>Joel Mbogo</v>
      </c>
      <c r="AE307" s="18" t="str">
        <f>_xlfn.XLOOKUP(L307,'[1]2026 Mapping v3'!A:A,'[1]2026 Mapping v3'!D:D,"Error",0)</f>
        <v>Joel Mbogo</v>
      </c>
      <c r="AF307" s="18" t="str">
        <f>_xlfn.XLOOKUP(L307,'[1]2026 Mapping v3'!A:A,'[1]2026 Mapping v3'!E:E,"Error",0)</f>
        <v>Eric Njiru</v>
      </c>
      <c r="AS307" s="24"/>
      <c r="AT307" s="24">
        <f t="shared" si="19"/>
        <v>400004</v>
      </c>
      <c r="AU307" s="24"/>
      <c r="AV307" s="24"/>
      <c r="AX307" s="29"/>
      <c r="BE307" s="24">
        <f t="shared" si="20"/>
        <v>400004</v>
      </c>
    </row>
    <row r="308" spans="1:57">
      <c r="A308" s="18" t="s">
        <v>128</v>
      </c>
      <c r="B308" s="19">
        <v>27196957</v>
      </c>
      <c r="C308" s="20">
        <v>46056</v>
      </c>
      <c r="D308" s="18" t="s">
        <v>350</v>
      </c>
      <c r="E308" s="18" t="s">
        <v>59</v>
      </c>
      <c r="F308" s="18" t="s">
        <v>60</v>
      </c>
      <c r="G308" s="18">
        <v>4813</v>
      </c>
      <c r="H308" s="18">
        <f>_xlfn.XLOOKUP(L308,'[1]2026 Mapping v3'!A:A,'[1]2026 Mapping v3'!F:F,0,0)</f>
        <v>12</v>
      </c>
      <c r="I308" s="18" t="b">
        <v>0</v>
      </c>
      <c r="J308" s="18" t="str">
        <f t="shared" si="17"/>
        <v>N3</v>
      </c>
      <c r="K308" s="21" t="s">
        <v>1331</v>
      </c>
      <c r="L308" s="18" t="str">
        <f>Y308</f>
        <v>HISA001</v>
      </c>
      <c r="M308" s="18" t="s">
        <v>98</v>
      </c>
      <c r="N308" s="18" t="s">
        <v>64</v>
      </c>
      <c r="O308" s="18" t="s">
        <v>891</v>
      </c>
      <c r="Q308" s="23" t="s">
        <v>80</v>
      </c>
      <c r="R308" s="23">
        <v>8</v>
      </c>
      <c r="S308" s="24">
        <v>4775115</v>
      </c>
      <c r="T308" s="28">
        <v>40370</v>
      </c>
      <c r="U308" s="18" t="s">
        <v>67</v>
      </c>
      <c r="V308" s="18" t="s">
        <v>110</v>
      </c>
      <c r="W308" s="18" t="s">
        <v>69</v>
      </c>
      <c r="X308" s="20">
        <v>46052</v>
      </c>
      <c r="Y308" s="18" t="s">
        <v>131</v>
      </c>
      <c r="Z308" s="18" t="str">
        <f>_xlfn.XLOOKUP(Y308,'[1]Data Source'!A:A,'[1]Data Source'!E:E,"N/A",0)</f>
        <v>ALAK</v>
      </c>
      <c r="AA308" s="18" t="str">
        <f>_xlfn.XLOOKUP(Y308,'[1]Data Source'!A:A,'[1]Data Source'!B:B,"N/A",0)</f>
        <v>Alfred Mathu</v>
      </c>
      <c r="AB308" s="18" t="str">
        <f>Y308</f>
        <v>HISA001</v>
      </c>
      <c r="AC308" s="18" t="str">
        <f>_xlfn.XLOOKUP(L308,'[1]2026 Mapping v3'!A:A,'[1]2026 Mapping v3'!B:B,"Error",0)</f>
        <v>Alternative Channels</v>
      </c>
      <c r="AD308" s="18" t="str">
        <f>_xlfn.XLOOKUP(L308,'[1]2026 Mapping v3'!A:A,'[1]2026 Mapping v3'!C:C,"Error",0)</f>
        <v>Eric Njiru</v>
      </c>
      <c r="AE308" s="18" t="str">
        <f>_xlfn.XLOOKUP(L308,'[1]2026 Mapping v3'!A:A,'[1]2026 Mapping v3'!D:D,"Error",0)</f>
        <v>Eric Njiru</v>
      </c>
      <c r="AF308" s="18" t="str">
        <f>_xlfn.XLOOKUP(L308,'[1]2026 Mapping v3'!A:A,'[1]2026 Mapping v3'!E:E,"Error",0)</f>
        <v>Eric Njiru</v>
      </c>
      <c r="AS308" s="24"/>
      <c r="AT308" s="24">
        <f t="shared" si="19"/>
        <v>40370</v>
      </c>
      <c r="AU308" s="24"/>
      <c r="AV308" s="24"/>
      <c r="AX308" s="29"/>
      <c r="BE308" s="24">
        <f t="shared" si="20"/>
        <v>40370</v>
      </c>
    </row>
    <row r="309" spans="1:57">
      <c r="A309" s="18" t="s">
        <v>145</v>
      </c>
      <c r="B309" s="19">
        <v>27196957</v>
      </c>
      <c r="C309" s="20">
        <v>46056</v>
      </c>
      <c r="D309" s="18" t="s">
        <v>350</v>
      </c>
      <c r="E309" s="18" t="s">
        <v>59</v>
      </c>
      <c r="F309" s="18" t="s">
        <v>60</v>
      </c>
      <c r="G309" s="18">
        <v>4067</v>
      </c>
      <c r="H309" s="18">
        <f>_xlfn.XLOOKUP(L309,'[1]2026 Mapping v3'!A:A,'[1]2026 Mapping v3'!F:F,0,0)</f>
        <v>129</v>
      </c>
      <c r="I309" s="18" t="b">
        <v>0</v>
      </c>
      <c r="J309" s="18" t="str">
        <f t="shared" si="17"/>
        <v>N3</v>
      </c>
      <c r="K309" s="21" t="s">
        <v>1332</v>
      </c>
      <c r="L309" s="18" t="s">
        <v>145</v>
      </c>
      <c r="M309" s="18" t="s">
        <v>98</v>
      </c>
      <c r="N309" s="18" t="s">
        <v>64</v>
      </c>
      <c r="Q309" s="23" t="s">
        <v>80</v>
      </c>
      <c r="R309" s="23">
        <v>13</v>
      </c>
      <c r="S309" s="24">
        <v>1019251</v>
      </c>
      <c r="T309" s="28">
        <v>62500</v>
      </c>
      <c r="U309" s="18" t="s">
        <v>67</v>
      </c>
      <c r="V309" s="18" t="s">
        <v>68</v>
      </c>
      <c r="W309" s="18" t="s">
        <v>69</v>
      </c>
      <c r="X309" s="20">
        <v>46073</v>
      </c>
      <c r="Y309" s="18" t="s">
        <v>148</v>
      </c>
      <c r="Z309" s="18" t="str">
        <f>_xlfn.XLOOKUP(Y309,'[1]Data Source'!A:A,'[1]Data Source'!E:E,"N/A",0)</f>
        <v>WENDRA</v>
      </c>
      <c r="AA309" s="18" t="str">
        <f>_xlfn.XLOOKUP(Y309,'[1]Data Source'!A:A,'[1]Data Source'!B:B,"N/A",0)</f>
        <v>Beatrice Ndukui</v>
      </c>
      <c r="AB309" s="18" t="str">
        <f t="shared" si="18"/>
        <v>Wendra</v>
      </c>
      <c r="AC309" s="18" t="str">
        <f>_xlfn.XLOOKUP(L309,'[1]2026 Mapping v3'!A:A,'[1]2026 Mapping v3'!B:B,"Error",0)</f>
        <v>Alternative Channels</v>
      </c>
      <c r="AD309" s="18" t="str">
        <f>_xlfn.XLOOKUP(L309,'[1]2026 Mapping v3'!A:A,'[1]2026 Mapping v3'!C:C,"Error",0)</f>
        <v>Selestine Magayu</v>
      </c>
      <c r="AE309" s="18" t="str">
        <f>_xlfn.XLOOKUP(L309,'[1]2026 Mapping v3'!A:A,'[1]2026 Mapping v3'!D:D,"Error",0)</f>
        <v>Joel Mbogo</v>
      </c>
      <c r="AF309" s="18" t="str">
        <f>_xlfn.XLOOKUP(L309,'[1]2026 Mapping v3'!A:A,'[1]2026 Mapping v3'!E:E,"Error",0)</f>
        <v>Eric Njiru</v>
      </c>
      <c r="AS309" s="24"/>
      <c r="AT309" s="24">
        <f t="shared" si="19"/>
        <v>62500</v>
      </c>
      <c r="AU309" s="24"/>
      <c r="AV309" s="24"/>
      <c r="AX309" s="29"/>
      <c r="BE309" s="24">
        <f t="shared" si="20"/>
        <v>62500</v>
      </c>
    </row>
    <row r="310" spans="1:57">
      <c r="A310" s="18" t="s">
        <v>57</v>
      </c>
      <c r="B310" s="19">
        <v>27196957</v>
      </c>
      <c r="C310" s="20">
        <v>46056</v>
      </c>
      <c r="D310" s="18" t="s">
        <v>350</v>
      </c>
      <c r="E310" s="18" t="s">
        <v>59</v>
      </c>
      <c r="F310" s="18" t="s">
        <v>60</v>
      </c>
      <c r="G310" s="18">
        <v>10161</v>
      </c>
      <c r="H310" s="18">
        <f>_xlfn.XLOOKUP(L310,'[1]2026 Mapping v3'!A:A,'[1]2026 Mapping v3'!F:F,0,0)</f>
        <v>80</v>
      </c>
      <c r="I310" s="18" t="b">
        <v>0</v>
      </c>
      <c r="J310" s="18" t="str">
        <f t="shared" si="17"/>
        <v>N3</v>
      </c>
      <c r="K310" s="21" t="s">
        <v>1333</v>
      </c>
      <c r="L310" s="18" t="s">
        <v>892</v>
      </c>
      <c r="M310" s="18" t="s">
        <v>98</v>
      </c>
      <c r="N310" s="18" t="s">
        <v>64</v>
      </c>
      <c r="O310" s="18" t="s">
        <v>893</v>
      </c>
      <c r="Q310" s="23" t="s">
        <v>66</v>
      </c>
      <c r="R310" s="23">
        <v>5</v>
      </c>
      <c r="S310" s="24">
        <v>2000000</v>
      </c>
      <c r="T310" s="28">
        <v>286059</v>
      </c>
      <c r="U310" s="18" t="s">
        <v>67</v>
      </c>
      <c r="V310" s="18" t="s">
        <v>68</v>
      </c>
      <c r="W310" s="18" t="s">
        <v>69</v>
      </c>
      <c r="X310" s="20">
        <v>46046</v>
      </c>
      <c r="Y310" s="18" t="s">
        <v>791</v>
      </c>
      <c r="Z310" s="18" t="str">
        <f>_xlfn.XLOOKUP(Y310,'[1]Data Source'!A:A,'[1]Data Source'!E:E,"N/A",0)</f>
        <v>UB</v>
      </c>
      <c r="AA310" s="18" t="str">
        <f>_xlfn.XLOOKUP(Y310,'[1]Data Source'!A:A,'[1]Data Source'!B:B,"N/A",0)</f>
        <v>Pauline Gathoni Mburu</v>
      </c>
      <c r="AB310" s="18" t="str">
        <f t="shared" si="18"/>
        <v>Two Rivers Mall</v>
      </c>
      <c r="AC310" s="18" t="str">
        <f>_xlfn.XLOOKUP(L310,'[1]2026 Mapping v3'!A:A,'[1]2026 Mapping v3'!B:B,"Error",0)</f>
        <v>Nairobi East</v>
      </c>
      <c r="AD310" s="18" t="str">
        <f>_xlfn.XLOOKUP(L310,'[1]2026 Mapping v3'!A:A,'[1]2026 Mapping v3'!C:C,"Error",0)</f>
        <v>Julius Mugane</v>
      </c>
      <c r="AE310" s="18" t="str">
        <f>_xlfn.XLOOKUP(L310,'[1]2026 Mapping v3'!A:A,'[1]2026 Mapping v3'!D:D,"Error",0)</f>
        <v>Julius Mugane</v>
      </c>
      <c r="AF310" s="18" t="str">
        <f>_xlfn.XLOOKUP(L310,'[1]2026 Mapping v3'!A:A,'[1]2026 Mapping v3'!E:E,"Error",0)</f>
        <v>Debrah Rashid</v>
      </c>
      <c r="AS310" s="24"/>
      <c r="AT310" s="24">
        <f t="shared" si="19"/>
        <v>286059</v>
      </c>
      <c r="AU310" s="24"/>
      <c r="AV310" s="24"/>
      <c r="AX310" s="29"/>
      <c r="BE310" s="24">
        <f t="shared" si="20"/>
        <v>286059</v>
      </c>
    </row>
    <row r="311" spans="1:57">
      <c r="A311" s="18" t="s">
        <v>57</v>
      </c>
      <c r="B311" s="19">
        <v>27196957</v>
      </c>
      <c r="C311" s="20">
        <v>46056</v>
      </c>
      <c r="D311" s="18" t="s">
        <v>350</v>
      </c>
      <c r="E311" s="18" t="s">
        <v>59</v>
      </c>
      <c r="F311" s="18" t="s">
        <v>60</v>
      </c>
      <c r="G311" s="18">
        <v>14831</v>
      </c>
      <c r="H311" s="18">
        <f>_xlfn.XLOOKUP(L311,'[1]2026 Mapping v3'!A:A,'[1]2026 Mapping v3'!F:F,0,0)</f>
        <v>71</v>
      </c>
      <c r="I311" s="18" t="b">
        <v>0</v>
      </c>
      <c r="J311" s="18" t="str">
        <f t="shared" si="17"/>
        <v>N3</v>
      </c>
      <c r="K311" s="21" t="s">
        <v>1334</v>
      </c>
      <c r="L311" s="18" t="s">
        <v>89</v>
      </c>
      <c r="M311" s="18" t="s">
        <v>98</v>
      </c>
      <c r="N311" s="18" t="s">
        <v>64</v>
      </c>
      <c r="O311" s="18" t="s">
        <v>894</v>
      </c>
      <c r="Q311" s="23" t="s">
        <v>80</v>
      </c>
      <c r="R311" s="23">
        <v>10</v>
      </c>
      <c r="S311" s="24">
        <v>6041993</v>
      </c>
      <c r="T311" s="28">
        <v>501113</v>
      </c>
      <c r="U311" s="18" t="s">
        <v>67</v>
      </c>
      <c r="V311" s="18" t="s">
        <v>68</v>
      </c>
      <c r="W311" s="18" t="s">
        <v>69</v>
      </c>
      <c r="X311" s="20">
        <v>46052</v>
      </c>
      <c r="Y311" s="18" t="s">
        <v>91</v>
      </c>
      <c r="Z311" s="18" t="str">
        <f>_xlfn.XLOOKUP(Y311,'[1]Data Source'!A:A,'[1]Data Source'!E:E,"N/A",0)</f>
        <v>LG</v>
      </c>
      <c r="AA311" s="18" t="str">
        <f>_xlfn.XLOOKUP(Y311,'[1]Data Source'!A:A,'[1]Data Source'!B:B,"N/A",0)</f>
        <v>Jacinta Mutuku</v>
      </c>
      <c r="AB311" s="18" t="str">
        <f t="shared" si="18"/>
        <v>Queensway Hse</v>
      </c>
      <c r="AC311" s="18" t="str">
        <f>_xlfn.XLOOKUP(L311,'[1]2026 Mapping v3'!A:A,'[1]2026 Mapping v3'!B:B,"Error",0)</f>
        <v>Queensway</v>
      </c>
      <c r="AD311" s="18" t="str">
        <f>_xlfn.XLOOKUP(L311,'[1]2026 Mapping v3'!A:A,'[1]2026 Mapping v3'!C:C,"Error",0)</f>
        <v>Nina Kifani</v>
      </c>
      <c r="AE311" s="18" t="str">
        <f>_xlfn.XLOOKUP(L311,'[1]2026 Mapping v3'!A:A,'[1]2026 Mapping v3'!D:D,"Error",0)</f>
        <v>Nina Kifani</v>
      </c>
      <c r="AF311" s="18" t="str">
        <f>_xlfn.XLOOKUP(L311,'[1]2026 Mapping v3'!A:A,'[1]2026 Mapping v3'!E:E,"Error",0)</f>
        <v>Bilha Wachira</v>
      </c>
      <c r="AS311" s="24"/>
      <c r="AT311" s="24">
        <f t="shared" si="19"/>
        <v>501113</v>
      </c>
      <c r="AU311" s="24"/>
      <c r="AV311" s="24"/>
      <c r="AX311" s="29"/>
      <c r="BE311" s="24">
        <f t="shared" si="20"/>
        <v>501113</v>
      </c>
    </row>
    <row r="312" spans="1:57">
      <c r="A312" s="18" t="s">
        <v>57</v>
      </c>
      <c r="B312" s="19">
        <v>27196957</v>
      </c>
      <c r="C312" s="20">
        <v>46056</v>
      </c>
      <c r="D312" s="18" t="s">
        <v>350</v>
      </c>
      <c r="E312" s="18" t="s">
        <v>59</v>
      </c>
      <c r="F312" s="18" t="s">
        <v>60</v>
      </c>
      <c r="G312" s="18">
        <v>15288</v>
      </c>
      <c r="H312" s="18">
        <f>_xlfn.XLOOKUP(L312,'[1]2026 Mapping v3'!A:A,'[1]2026 Mapping v3'!F:F,0,0)</f>
        <v>71</v>
      </c>
      <c r="I312" s="18" t="b">
        <v>0</v>
      </c>
      <c r="J312" s="18" t="str">
        <f t="shared" si="17"/>
        <v>N3</v>
      </c>
      <c r="K312" s="21" t="s">
        <v>1335</v>
      </c>
      <c r="L312" s="18" t="s">
        <v>89</v>
      </c>
      <c r="M312" s="18" t="s">
        <v>98</v>
      </c>
      <c r="N312" s="18" t="s">
        <v>64</v>
      </c>
      <c r="Q312" s="23" t="s">
        <v>80</v>
      </c>
      <c r="R312" s="23">
        <v>10</v>
      </c>
      <c r="S312" s="24">
        <v>2363090</v>
      </c>
      <c r="T312" s="28">
        <v>16000</v>
      </c>
      <c r="U312" s="18" t="s">
        <v>67</v>
      </c>
      <c r="V312" s="18" t="s">
        <v>110</v>
      </c>
      <c r="W312" s="18" t="s">
        <v>69</v>
      </c>
      <c r="X312" s="20">
        <v>46046</v>
      </c>
      <c r="Y312" s="18" t="s">
        <v>895</v>
      </c>
      <c r="Z312" s="18" t="s">
        <v>71</v>
      </c>
      <c r="AA312" s="18" t="str">
        <f>_xlfn.XLOOKUP(Y312,'[1]Data Source'!A:A,'[1]Data Source'!B:B,"N/A",0)</f>
        <v>N/A</v>
      </c>
      <c r="AB312" s="18" t="str">
        <f t="shared" si="18"/>
        <v>Queensway Hse</v>
      </c>
      <c r="AC312" s="18" t="str">
        <f>_xlfn.XLOOKUP(L312,'[1]2026 Mapping v3'!A:A,'[1]2026 Mapping v3'!B:B,"Error",0)</f>
        <v>Queensway</v>
      </c>
      <c r="AD312" s="18" t="str">
        <f>_xlfn.XLOOKUP(L312,'[1]2026 Mapping v3'!A:A,'[1]2026 Mapping v3'!C:C,"Error",0)</f>
        <v>Nina Kifani</v>
      </c>
      <c r="AE312" s="18" t="str">
        <f>_xlfn.XLOOKUP(L312,'[1]2026 Mapping v3'!A:A,'[1]2026 Mapping v3'!D:D,"Error",0)</f>
        <v>Nina Kifani</v>
      </c>
      <c r="AF312" s="18" t="str">
        <f>_xlfn.XLOOKUP(L312,'[1]2026 Mapping v3'!A:A,'[1]2026 Mapping v3'!E:E,"Error",0)</f>
        <v>Bilha Wachira</v>
      </c>
      <c r="AS312" s="24"/>
      <c r="AT312" s="24">
        <f t="shared" si="19"/>
        <v>16000</v>
      </c>
      <c r="AU312" s="24"/>
      <c r="AV312" s="24"/>
      <c r="AX312" s="29"/>
      <c r="BE312" s="24">
        <f t="shared" si="20"/>
        <v>16000</v>
      </c>
    </row>
    <row r="313" spans="1:57">
      <c r="A313" s="18" t="s">
        <v>57</v>
      </c>
      <c r="B313" s="19">
        <v>27196957</v>
      </c>
      <c r="C313" s="20">
        <v>46057</v>
      </c>
      <c r="D313" s="18" t="s">
        <v>350</v>
      </c>
      <c r="E313" s="18" t="s">
        <v>59</v>
      </c>
      <c r="F313" s="18" t="s">
        <v>60</v>
      </c>
      <c r="G313" s="18">
        <v>18790</v>
      </c>
      <c r="H313" s="18">
        <f>_xlfn.XLOOKUP(L313,'[1]2026 Mapping v3'!A:A,'[1]2026 Mapping v3'!F:F,0,0)</f>
        <v>20</v>
      </c>
      <c r="I313" s="18" t="b">
        <v>0</v>
      </c>
      <c r="J313" s="18" t="str">
        <f t="shared" si="17"/>
        <v>N3</v>
      </c>
      <c r="K313" s="21" t="s">
        <v>1336</v>
      </c>
      <c r="L313" s="18" t="s">
        <v>484</v>
      </c>
      <c r="M313" s="18" t="s">
        <v>98</v>
      </c>
      <c r="N313" s="18" t="s">
        <v>64</v>
      </c>
      <c r="O313" s="18" t="s">
        <v>896</v>
      </c>
      <c r="Q313" s="23" t="s">
        <v>80</v>
      </c>
      <c r="R313" s="23">
        <v>5</v>
      </c>
      <c r="S313" s="24">
        <v>8398470</v>
      </c>
      <c r="T313" s="28">
        <v>1333002</v>
      </c>
      <c r="U313" s="18" t="s">
        <v>67</v>
      </c>
      <c r="V313" s="18" t="s">
        <v>68</v>
      </c>
      <c r="W313" s="18" t="s">
        <v>69</v>
      </c>
      <c r="X313" s="20">
        <v>46052</v>
      </c>
      <c r="Y313" s="18" t="s">
        <v>897</v>
      </c>
      <c r="Z313" s="18" t="s">
        <v>71</v>
      </c>
      <c r="AA313" s="18" t="str">
        <f>_xlfn.XLOOKUP(Y313,'[1]Data Source'!A:A,'[1]Data Source'!B:B,"N/A",0)</f>
        <v>N/A</v>
      </c>
      <c r="AB313" s="18" t="str">
        <f t="shared" si="18"/>
        <v>Harambee Prestige</v>
      </c>
      <c r="AC313" s="18" t="str">
        <f>_xlfn.XLOOKUP(L313,'[1]2026 Mapping v3'!A:A,'[1]2026 Mapping v3'!B:B,"Error",0)</f>
        <v>Nairobi East</v>
      </c>
      <c r="AD313" s="18" t="str">
        <f>_xlfn.XLOOKUP(L313,'[1]2026 Mapping v3'!A:A,'[1]2026 Mapping v3'!C:C,"Error",0)</f>
        <v>Charles Gicho</v>
      </c>
      <c r="AE313" s="18" t="str">
        <f>_xlfn.XLOOKUP(L313,'[1]2026 Mapping v3'!A:A,'[1]2026 Mapping v3'!D:D,"Error",0)</f>
        <v>Julius Mugane</v>
      </c>
      <c r="AF313" s="18" t="str">
        <f>_xlfn.XLOOKUP(L313,'[1]2026 Mapping v3'!A:A,'[1]2026 Mapping v3'!E:E,"Error",0)</f>
        <v>Debrah Rashid</v>
      </c>
      <c r="AS313" s="24"/>
      <c r="AT313" s="24">
        <f t="shared" si="19"/>
        <v>1333002</v>
      </c>
      <c r="AU313" s="24"/>
      <c r="AV313" s="24"/>
      <c r="AX313" s="29"/>
      <c r="BE313" s="24">
        <f t="shared" si="20"/>
        <v>1333002</v>
      </c>
    </row>
    <row r="314" spans="1:57">
      <c r="A314" s="18" t="s">
        <v>57</v>
      </c>
      <c r="B314" s="19">
        <v>27196957</v>
      </c>
      <c r="C314" s="20">
        <v>46057</v>
      </c>
      <c r="D314" s="18" t="s">
        <v>350</v>
      </c>
      <c r="E314" s="18" t="s">
        <v>59</v>
      </c>
      <c r="F314" s="18" t="s">
        <v>60</v>
      </c>
      <c r="G314" s="18">
        <v>6594</v>
      </c>
      <c r="H314" s="18">
        <f>_xlfn.XLOOKUP(L314,'[1]2026 Mapping v3'!A:A,'[1]2026 Mapping v3'!F:F,0,0)</f>
        <v>58</v>
      </c>
      <c r="I314" s="18" t="b">
        <v>0</v>
      </c>
      <c r="J314" s="18" t="str">
        <f t="shared" si="17"/>
        <v>N3</v>
      </c>
      <c r="K314" s="21" t="s">
        <v>1337</v>
      </c>
      <c r="L314" s="18" t="s">
        <v>291</v>
      </c>
      <c r="M314" s="18" t="s">
        <v>98</v>
      </c>
      <c r="N314" s="18" t="s">
        <v>64</v>
      </c>
      <c r="O314" s="18" t="s">
        <v>898</v>
      </c>
      <c r="Q314" s="23" t="s">
        <v>80</v>
      </c>
      <c r="R314" s="23">
        <v>5</v>
      </c>
      <c r="S314" s="24">
        <v>1232771</v>
      </c>
      <c r="T314" s="28">
        <v>20021</v>
      </c>
      <c r="U314" s="18" t="s">
        <v>67</v>
      </c>
      <c r="V314" s="18" t="s">
        <v>110</v>
      </c>
      <c r="W314" s="18" t="s">
        <v>69</v>
      </c>
      <c r="X314" s="20">
        <v>46052</v>
      </c>
      <c r="Y314" s="18" t="s">
        <v>496</v>
      </c>
      <c r="Z314" s="18" t="s">
        <v>71</v>
      </c>
      <c r="AA314" s="18" t="str">
        <f>_xlfn.XLOOKUP(Y314,'[1]Data Source'!A:A,'[1]Data Source'!B:B,"N/A",0)</f>
        <v>N/A</v>
      </c>
      <c r="AB314" s="18" t="str">
        <f t="shared" si="18"/>
        <v>Naivasha</v>
      </c>
      <c r="AC314" s="18" t="str">
        <f>_xlfn.XLOOKUP(L314,'[1]2026 Mapping v3'!A:A,'[1]2026 Mapping v3'!B:B,"Error",0)</f>
        <v>Rift Valley</v>
      </c>
      <c r="AD314" s="18" t="str">
        <f>_xlfn.XLOOKUP(L314,'[1]2026 Mapping v3'!A:A,'[1]2026 Mapping v3'!C:C,"Error",0)</f>
        <v>Jane Nduta</v>
      </c>
      <c r="AE314" s="18" t="str">
        <f>_xlfn.XLOOKUP(L314,'[1]2026 Mapping v3'!A:A,'[1]2026 Mapping v3'!D:D,"Error",0)</f>
        <v>Emily Jepchirchir</v>
      </c>
      <c r="AF314" s="18" t="str">
        <f>_xlfn.XLOOKUP(L314,'[1]2026 Mapping v3'!A:A,'[1]2026 Mapping v3'!E:E,"Error",0)</f>
        <v>Emily Jepchirchir</v>
      </c>
      <c r="AS314" s="24"/>
      <c r="AT314" s="24">
        <f t="shared" si="19"/>
        <v>20021</v>
      </c>
      <c r="AU314" s="24"/>
      <c r="AV314" s="24"/>
      <c r="AX314" s="29"/>
      <c r="BE314" s="24">
        <f t="shared" si="20"/>
        <v>20021</v>
      </c>
    </row>
    <row r="315" spans="1:57">
      <c r="A315" s="18" t="s">
        <v>57</v>
      </c>
      <c r="B315" s="19">
        <v>27196957</v>
      </c>
      <c r="C315" s="20">
        <v>46057</v>
      </c>
      <c r="D315" s="18" t="s">
        <v>350</v>
      </c>
      <c r="E315" s="18" t="s">
        <v>59</v>
      </c>
      <c r="F315" s="18" t="s">
        <v>60</v>
      </c>
      <c r="G315" s="18">
        <v>3250</v>
      </c>
      <c r="H315" s="18">
        <f>_xlfn.XLOOKUP(L315,'[1]2026 Mapping v3'!A:A,'[1]2026 Mapping v3'!F:F,0,0)</f>
        <v>20</v>
      </c>
      <c r="I315" s="18" t="b">
        <v>0</v>
      </c>
      <c r="J315" s="18" t="str">
        <f t="shared" si="17"/>
        <v>N3</v>
      </c>
      <c r="K315" s="21" t="s">
        <v>1338</v>
      </c>
      <c r="L315" s="18" t="s">
        <v>484</v>
      </c>
      <c r="M315" s="18" t="s">
        <v>98</v>
      </c>
      <c r="N315" s="18" t="s">
        <v>64</v>
      </c>
      <c r="O315" s="18" t="s">
        <v>899</v>
      </c>
      <c r="Q315" s="23" t="s">
        <v>80</v>
      </c>
      <c r="R315" s="23">
        <v>5</v>
      </c>
      <c r="S315" s="24">
        <v>8398740</v>
      </c>
      <c r="T315" s="28">
        <v>1333002</v>
      </c>
      <c r="U315" s="18" t="s">
        <v>67</v>
      </c>
      <c r="V315" s="18" t="s">
        <v>68</v>
      </c>
      <c r="W315" s="18" t="s">
        <v>69</v>
      </c>
      <c r="X315" s="20">
        <v>46052</v>
      </c>
      <c r="Y315" s="18" t="s">
        <v>897</v>
      </c>
      <c r="Z315" s="18" t="s">
        <v>71</v>
      </c>
      <c r="AA315" s="18" t="str">
        <f>_xlfn.XLOOKUP(Y315,'[1]Data Source'!A:A,'[1]Data Source'!B:B,"N/A",0)</f>
        <v>N/A</v>
      </c>
      <c r="AB315" s="18" t="str">
        <f t="shared" si="18"/>
        <v>Harambee Prestige</v>
      </c>
      <c r="AC315" s="18" t="str">
        <f>_xlfn.XLOOKUP(L315,'[1]2026 Mapping v3'!A:A,'[1]2026 Mapping v3'!B:B,"Error",0)</f>
        <v>Nairobi East</v>
      </c>
      <c r="AD315" s="18" t="str">
        <f>_xlfn.XLOOKUP(L315,'[1]2026 Mapping v3'!A:A,'[1]2026 Mapping v3'!C:C,"Error",0)</f>
        <v>Charles Gicho</v>
      </c>
      <c r="AE315" s="18" t="str">
        <f>_xlfn.XLOOKUP(L315,'[1]2026 Mapping v3'!A:A,'[1]2026 Mapping v3'!D:D,"Error",0)</f>
        <v>Julius Mugane</v>
      </c>
      <c r="AF315" s="18" t="str">
        <f>_xlfn.XLOOKUP(L315,'[1]2026 Mapping v3'!A:A,'[1]2026 Mapping v3'!E:E,"Error",0)</f>
        <v>Debrah Rashid</v>
      </c>
      <c r="AS315" s="24"/>
      <c r="AT315" s="24">
        <f t="shared" si="19"/>
        <v>1333002</v>
      </c>
      <c r="AU315" s="24"/>
      <c r="AV315" s="24"/>
      <c r="AX315" s="29"/>
      <c r="BE315" s="24">
        <f t="shared" si="20"/>
        <v>1333002</v>
      </c>
    </row>
    <row r="316" spans="1:57">
      <c r="A316" s="18" t="s">
        <v>57</v>
      </c>
      <c r="B316" s="19">
        <v>27196957</v>
      </c>
      <c r="C316" s="20">
        <v>46057</v>
      </c>
      <c r="D316" s="18" t="s">
        <v>350</v>
      </c>
      <c r="E316" s="18" t="s">
        <v>59</v>
      </c>
      <c r="F316" s="18" t="s">
        <v>60</v>
      </c>
      <c r="G316" s="18">
        <v>5312</v>
      </c>
      <c r="H316" s="18">
        <f>_xlfn.XLOOKUP(L316,'[1]2026 Mapping v3'!A:A,'[1]2026 Mapping v3'!F:F,0,0)</f>
        <v>56</v>
      </c>
      <c r="I316" s="18" t="b">
        <v>0</v>
      </c>
      <c r="J316" s="18" t="str">
        <f t="shared" si="17"/>
        <v>N3</v>
      </c>
      <c r="K316" s="21" t="s">
        <v>1339</v>
      </c>
      <c r="L316" s="18" t="s">
        <v>900</v>
      </c>
      <c r="M316" s="18" t="s">
        <v>98</v>
      </c>
      <c r="N316" s="18" t="s">
        <v>64</v>
      </c>
      <c r="O316" s="18" t="s">
        <v>901</v>
      </c>
      <c r="Q316" s="23" t="s">
        <v>80</v>
      </c>
      <c r="R316" s="23">
        <v>5</v>
      </c>
      <c r="S316" s="24">
        <v>10000000</v>
      </c>
      <c r="T316" s="28">
        <v>1588980</v>
      </c>
      <c r="U316" s="18" t="s">
        <v>67</v>
      </c>
      <c r="V316" s="18" t="s">
        <v>68</v>
      </c>
      <c r="W316" s="18" t="s">
        <v>69</v>
      </c>
      <c r="X316" s="20">
        <v>46052</v>
      </c>
      <c r="Y316" s="18" t="s">
        <v>807</v>
      </c>
      <c r="Z316" s="18" t="str">
        <f>_xlfn.XLOOKUP(Y316,'[1]Data Source'!A:A,'[1]Data Source'!E:E,"N/A",0)</f>
        <v>LG</v>
      </c>
      <c r="AA316" s="18" t="str">
        <f>_xlfn.XLOOKUP(Y316,'[1]Data Source'!A:A,'[1]Data Source'!B:B,"N/A",0)</f>
        <v>Joel Mutweko</v>
      </c>
      <c r="AB316" s="18" t="str">
        <f t="shared" si="18"/>
        <v>Muthaiga</v>
      </c>
      <c r="AC316" s="18" t="str">
        <f>_xlfn.XLOOKUP(L316,'[1]2026 Mapping v3'!A:A,'[1]2026 Mapping v3'!B:B,"Error",0)</f>
        <v>Nairobi East</v>
      </c>
      <c r="AD316" s="18" t="str">
        <f>_xlfn.XLOOKUP(L316,'[1]2026 Mapping v3'!A:A,'[1]2026 Mapping v3'!C:C,"Error",0)</f>
        <v>Julius Mugane</v>
      </c>
      <c r="AE316" s="18" t="str">
        <f>_xlfn.XLOOKUP(L316,'[1]2026 Mapping v3'!A:A,'[1]2026 Mapping v3'!D:D,"Error",0)</f>
        <v>Julius Mugane</v>
      </c>
      <c r="AF316" s="18" t="str">
        <f>_xlfn.XLOOKUP(L316,'[1]2026 Mapping v3'!A:A,'[1]2026 Mapping v3'!E:E,"Error",0)</f>
        <v>Debrah Rashid</v>
      </c>
      <c r="AS316" s="24"/>
      <c r="AT316" s="24">
        <f t="shared" si="19"/>
        <v>1588980</v>
      </c>
      <c r="AU316" s="24"/>
      <c r="AV316" s="24"/>
      <c r="AX316" s="29"/>
      <c r="BE316" s="24">
        <f t="shared" si="20"/>
        <v>1588980</v>
      </c>
    </row>
    <row r="317" spans="1:57">
      <c r="A317" s="18" t="s">
        <v>57</v>
      </c>
      <c r="B317" s="19">
        <v>27196957</v>
      </c>
      <c r="C317" s="20">
        <v>46057</v>
      </c>
      <c r="D317" s="18" t="s">
        <v>350</v>
      </c>
      <c r="E317" s="18" t="s">
        <v>59</v>
      </c>
      <c r="F317" s="18" t="s">
        <v>60</v>
      </c>
      <c r="G317" s="18">
        <v>10812</v>
      </c>
      <c r="H317" s="18">
        <f>_xlfn.XLOOKUP(L317,'[1]2026 Mapping v3'!A:A,'[1]2026 Mapping v3'!F:F,0,0)</f>
        <v>73</v>
      </c>
      <c r="I317" s="18" t="b">
        <v>0</v>
      </c>
      <c r="J317" s="18" t="str">
        <f t="shared" si="17"/>
        <v>N3</v>
      </c>
      <c r="K317" s="21" t="s">
        <v>1340</v>
      </c>
      <c r="L317" s="18" t="s">
        <v>181</v>
      </c>
      <c r="M317" s="18" t="s">
        <v>98</v>
      </c>
      <c r="N317" s="18" t="s">
        <v>64</v>
      </c>
      <c r="O317" s="18" t="s">
        <v>902</v>
      </c>
      <c r="Q317" s="23" t="s">
        <v>80</v>
      </c>
      <c r="R317" s="23">
        <v>5</v>
      </c>
      <c r="S317" s="24">
        <v>10000000</v>
      </c>
      <c r="T317" s="28">
        <v>1588980</v>
      </c>
      <c r="U317" s="18" t="s">
        <v>67</v>
      </c>
      <c r="V317" s="18" t="s">
        <v>68</v>
      </c>
      <c r="W317" s="18" t="s">
        <v>69</v>
      </c>
      <c r="X317" s="20">
        <v>46052</v>
      </c>
      <c r="Y317" s="18" t="s">
        <v>903</v>
      </c>
      <c r="Z317" s="18" t="s">
        <v>71</v>
      </c>
      <c r="AA317" s="18" t="str">
        <f>_xlfn.XLOOKUP(Y317,'[1]Data Source'!A:A,'[1]Data Source'!B:B,"N/A",0)</f>
        <v>N/A</v>
      </c>
      <c r="AB317" s="18" t="str">
        <f t="shared" si="18"/>
        <v>Ruaraka</v>
      </c>
      <c r="AC317" s="18" t="str">
        <f>_xlfn.XLOOKUP(L317,'[1]2026 Mapping v3'!A:A,'[1]2026 Mapping v3'!B:B,"Error",0)</f>
        <v>Nairobi Central</v>
      </c>
      <c r="AD317" s="18" t="str">
        <f>_xlfn.XLOOKUP(L317,'[1]2026 Mapping v3'!A:A,'[1]2026 Mapping v3'!C:C,"Error",0)</f>
        <v>Zedekiah Mburu</v>
      </c>
      <c r="AE317" s="18" t="str">
        <f>_xlfn.XLOOKUP(L317,'[1]2026 Mapping v3'!A:A,'[1]2026 Mapping v3'!D:D,"Error",0)</f>
        <v>Zedekiah Mburu</v>
      </c>
      <c r="AF317" s="18" t="str">
        <f>_xlfn.XLOOKUP(L317,'[1]2026 Mapping v3'!A:A,'[1]2026 Mapping v3'!E:E,"Error",0)</f>
        <v>Bilha Wachira</v>
      </c>
      <c r="AS317" s="24"/>
      <c r="AT317" s="24">
        <f t="shared" si="19"/>
        <v>1588980</v>
      </c>
      <c r="AU317" s="24"/>
      <c r="AV317" s="24"/>
      <c r="AX317" s="29"/>
      <c r="BE317" s="24">
        <f t="shared" si="20"/>
        <v>1588980</v>
      </c>
    </row>
    <row r="318" spans="1:57">
      <c r="A318" s="18" t="s">
        <v>57</v>
      </c>
      <c r="B318" s="19">
        <v>27196957</v>
      </c>
      <c r="C318" s="20">
        <v>46057</v>
      </c>
      <c r="D318" s="18" t="s">
        <v>350</v>
      </c>
      <c r="E318" s="18" t="s">
        <v>59</v>
      </c>
      <c r="F318" s="18" t="s">
        <v>60</v>
      </c>
      <c r="G318" s="18">
        <v>16096</v>
      </c>
      <c r="H318" s="18">
        <f>_xlfn.XLOOKUP(L318,'[1]2026 Mapping v3'!A:A,'[1]2026 Mapping v3'!F:F,0,0)</f>
        <v>73</v>
      </c>
      <c r="I318" s="18" t="b">
        <v>0</v>
      </c>
      <c r="J318" s="18" t="str">
        <f t="shared" si="17"/>
        <v>N3</v>
      </c>
      <c r="K318" s="21" t="s">
        <v>1341</v>
      </c>
      <c r="L318" s="18" t="s">
        <v>181</v>
      </c>
      <c r="M318" s="18" t="s">
        <v>98</v>
      </c>
      <c r="N318" s="18" t="s">
        <v>64</v>
      </c>
      <c r="O318" s="18" t="s">
        <v>904</v>
      </c>
      <c r="Q318" s="23" t="s">
        <v>80</v>
      </c>
      <c r="R318" s="23">
        <v>10</v>
      </c>
      <c r="S318" s="24">
        <v>3400000</v>
      </c>
      <c r="T318" s="28">
        <v>25579</v>
      </c>
      <c r="U318" s="18" t="s">
        <v>67</v>
      </c>
      <c r="V318" s="18" t="s">
        <v>110</v>
      </c>
      <c r="W318" s="18" t="s">
        <v>69</v>
      </c>
      <c r="X318" s="20">
        <v>46052</v>
      </c>
      <c r="Y318" s="18" t="s">
        <v>905</v>
      </c>
      <c r="Z318" s="18" t="str">
        <f>_xlfn.XLOOKUP(Y318,'[1]Data Source'!A:A,'[1]Data Source'!E:E,"N/A",0)</f>
        <v>LG</v>
      </c>
      <c r="AA318" s="18" t="str">
        <f>_xlfn.XLOOKUP(Y318,'[1]Data Source'!A:A,'[1]Data Source'!B:B,"N/A",0)</f>
        <v>JUSTA NDUBA MBAABU</v>
      </c>
      <c r="AB318" s="18" t="str">
        <f t="shared" si="18"/>
        <v>Ruaraka</v>
      </c>
      <c r="AC318" s="18" t="str">
        <f>_xlfn.XLOOKUP(L318,'[1]2026 Mapping v3'!A:A,'[1]2026 Mapping v3'!B:B,"Error",0)</f>
        <v>Nairobi Central</v>
      </c>
      <c r="AD318" s="18" t="str">
        <f>_xlfn.XLOOKUP(L318,'[1]2026 Mapping v3'!A:A,'[1]2026 Mapping v3'!C:C,"Error",0)</f>
        <v>Zedekiah Mburu</v>
      </c>
      <c r="AE318" s="18" t="str">
        <f>_xlfn.XLOOKUP(L318,'[1]2026 Mapping v3'!A:A,'[1]2026 Mapping v3'!D:D,"Error",0)</f>
        <v>Zedekiah Mburu</v>
      </c>
      <c r="AF318" s="18" t="str">
        <f>_xlfn.XLOOKUP(L318,'[1]2026 Mapping v3'!A:A,'[1]2026 Mapping v3'!E:E,"Error",0)</f>
        <v>Bilha Wachira</v>
      </c>
      <c r="AS318" s="24"/>
      <c r="AT318" s="24">
        <f t="shared" si="19"/>
        <v>25579</v>
      </c>
      <c r="AU318" s="24"/>
      <c r="AV318" s="24"/>
      <c r="AX318" s="29"/>
      <c r="BE318" s="24">
        <f t="shared" si="20"/>
        <v>25579</v>
      </c>
    </row>
    <row r="319" spans="1:57">
      <c r="A319" s="18" t="s">
        <v>57</v>
      </c>
      <c r="B319" s="19">
        <v>27196957</v>
      </c>
      <c r="C319" s="20">
        <v>46057</v>
      </c>
      <c r="D319" s="18" t="s">
        <v>350</v>
      </c>
      <c r="E319" s="18" t="s">
        <v>59</v>
      </c>
      <c r="F319" s="18" t="s">
        <v>60</v>
      </c>
      <c r="G319" s="18">
        <v>16570</v>
      </c>
      <c r="H319" s="18">
        <f>_xlfn.XLOOKUP(L319,'[1]2026 Mapping v3'!A:A,'[1]2026 Mapping v3'!F:F,0,0)</f>
        <v>74</v>
      </c>
      <c r="I319" s="18" t="b">
        <v>0</v>
      </c>
      <c r="J319" s="18" t="str">
        <f t="shared" si="17"/>
        <v>N3</v>
      </c>
      <c r="K319" s="21" t="s">
        <v>1342</v>
      </c>
      <c r="L319" s="18" t="s">
        <v>651</v>
      </c>
      <c r="M319" s="18" t="s">
        <v>98</v>
      </c>
      <c r="N319" s="18" t="s">
        <v>64</v>
      </c>
      <c r="O319" s="18" t="s">
        <v>906</v>
      </c>
      <c r="Q319" s="23" t="s">
        <v>80</v>
      </c>
      <c r="R319" s="23">
        <v>5</v>
      </c>
      <c r="S319" s="24">
        <v>5000000</v>
      </c>
      <c r="T319" s="28">
        <v>793573</v>
      </c>
      <c r="U319" s="18" t="s">
        <v>67</v>
      </c>
      <c r="V319" s="18" t="s">
        <v>68</v>
      </c>
      <c r="W319" s="18" t="s">
        <v>69</v>
      </c>
      <c r="X319" s="20">
        <v>46052</v>
      </c>
      <c r="Y319" s="18" t="s">
        <v>379</v>
      </c>
      <c r="Z319" s="18" t="str">
        <f>_xlfn.XLOOKUP(Y319,'[1]Data Source'!A:A,'[1]Data Source'!E:E,"N/A",0)</f>
        <v>LG</v>
      </c>
      <c r="AA319" s="18" t="str">
        <f>_xlfn.XLOOKUP(Y319,'[1]Data Source'!A:A,'[1]Data Source'!B:B,"N/A",0)</f>
        <v>Kenneth Gitonga Mwongera</v>
      </c>
      <c r="AB319" s="18" t="str">
        <f t="shared" si="18"/>
        <v>Sarit Prestige</v>
      </c>
      <c r="AC319" s="18" t="str">
        <f>_xlfn.XLOOKUP(L319,'[1]2026 Mapping v3'!A:A,'[1]2026 Mapping v3'!B:B,"Error",0)</f>
        <v>Premier</v>
      </c>
      <c r="AD319" s="18" t="str">
        <f>_xlfn.XLOOKUP(L319,'[1]2026 Mapping v3'!A:A,'[1]2026 Mapping v3'!C:C,"Error",0)</f>
        <v>Joseph Kairu</v>
      </c>
      <c r="AE319" s="18" t="str">
        <f>_xlfn.XLOOKUP(L319,'[1]2026 Mapping v3'!A:A,'[1]2026 Mapping v3'!D:D,"Error",0)</f>
        <v>Joseph Kairu</v>
      </c>
      <c r="AF319" s="18" t="str">
        <f>_xlfn.XLOOKUP(L319,'[1]2026 Mapping v3'!A:A,'[1]2026 Mapping v3'!E:E,"Error",0)</f>
        <v>Debrah Rashid</v>
      </c>
      <c r="AS319" s="24"/>
      <c r="AT319" s="24">
        <f t="shared" si="19"/>
        <v>793573</v>
      </c>
      <c r="AU319" s="24"/>
      <c r="AV319" s="24"/>
      <c r="AX319" s="29"/>
      <c r="BE319" s="24">
        <f t="shared" si="20"/>
        <v>793573</v>
      </c>
    </row>
    <row r="320" spans="1:57">
      <c r="A320" s="18" t="s">
        <v>57</v>
      </c>
      <c r="B320" s="19">
        <v>27196957</v>
      </c>
      <c r="C320" s="20">
        <v>46058</v>
      </c>
      <c r="D320" s="18" t="s">
        <v>350</v>
      </c>
      <c r="E320" s="18" t="s">
        <v>59</v>
      </c>
      <c r="F320" s="18" t="s">
        <v>60</v>
      </c>
      <c r="G320" s="18">
        <v>3241</v>
      </c>
      <c r="H320" s="18">
        <f>_xlfn.XLOOKUP(L320,'[1]2026 Mapping v3'!A:A,'[1]2026 Mapping v3'!F:F,0,0)</f>
        <v>20</v>
      </c>
      <c r="I320" s="18" t="b">
        <v>0</v>
      </c>
      <c r="J320" s="18" t="str">
        <f t="shared" si="17"/>
        <v>N3</v>
      </c>
      <c r="K320" s="21" t="s">
        <v>1343</v>
      </c>
      <c r="L320" s="18" t="s">
        <v>484</v>
      </c>
      <c r="M320" s="18" t="s">
        <v>98</v>
      </c>
      <c r="N320" s="18" t="s">
        <v>64</v>
      </c>
      <c r="O320" s="18" t="s">
        <v>907</v>
      </c>
      <c r="Q320" s="23" t="s">
        <v>80</v>
      </c>
      <c r="R320" s="23">
        <v>5</v>
      </c>
      <c r="S320" s="24">
        <v>8398740</v>
      </c>
      <c r="T320" s="28">
        <v>1333002</v>
      </c>
      <c r="U320" s="18" t="s">
        <v>67</v>
      </c>
      <c r="V320" s="18" t="s">
        <v>68</v>
      </c>
      <c r="W320" s="18" t="s">
        <v>69</v>
      </c>
      <c r="X320" s="20">
        <v>46052</v>
      </c>
      <c r="Y320" s="18" t="s">
        <v>897</v>
      </c>
      <c r="Z320" s="18" t="str">
        <f>_xlfn.XLOOKUP(Y320,'[1]Data Source'!A:A,'[1]Data Source'!E:E,"N/A",0)</f>
        <v>N/A</v>
      </c>
      <c r="AA320" s="18" t="str">
        <f>_xlfn.XLOOKUP(Y320,'[1]Data Source'!A:A,'[1]Data Source'!B:B,"N/A",0)</f>
        <v>N/A</v>
      </c>
      <c r="AB320" s="18" t="str">
        <f t="shared" si="18"/>
        <v>Harambee Prestige</v>
      </c>
      <c r="AC320" s="18" t="str">
        <f>_xlfn.XLOOKUP(L320,'[1]2026 Mapping v3'!A:A,'[1]2026 Mapping v3'!B:B,"Error",0)</f>
        <v>Nairobi East</v>
      </c>
      <c r="AD320" s="18" t="str">
        <f>_xlfn.XLOOKUP(L320,'[1]2026 Mapping v3'!A:A,'[1]2026 Mapping v3'!C:C,"Error",0)</f>
        <v>Charles Gicho</v>
      </c>
      <c r="AE320" s="18" t="str">
        <f>_xlfn.XLOOKUP(L320,'[1]2026 Mapping v3'!A:A,'[1]2026 Mapping v3'!D:D,"Error",0)</f>
        <v>Julius Mugane</v>
      </c>
      <c r="AF320" s="18" t="str">
        <f>_xlfn.XLOOKUP(L320,'[1]2026 Mapping v3'!A:A,'[1]2026 Mapping v3'!E:E,"Error",0)</f>
        <v>Debrah Rashid</v>
      </c>
      <c r="AS320" s="24"/>
      <c r="AT320" s="24">
        <f t="shared" si="19"/>
        <v>1333002</v>
      </c>
      <c r="AU320" s="24"/>
      <c r="AV320" s="24"/>
      <c r="AX320" s="29"/>
      <c r="BE320" s="24">
        <f t="shared" si="20"/>
        <v>1333002</v>
      </c>
    </row>
    <row r="321" spans="1:57">
      <c r="A321" s="18" t="s">
        <v>57</v>
      </c>
      <c r="B321" s="19">
        <v>27196957</v>
      </c>
      <c r="C321" s="20">
        <v>46058</v>
      </c>
      <c r="D321" s="18" t="s">
        <v>350</v>
      </c>
      <c r="E321" s="18" t="s">
        <v>59</v>
      </c>
      <c r="F321" s="18" t="s">
        <v>60</v>
      </c>
      <c r="G321" s="18">
        <v>5388</v>
      </c>
      <c r="H321" s="18">
        <f>_xlfn.XLOOKUP(L321,'[1]2026 Mapping v3'!A:A,'[1]2026 Mapping v3'!F:F,0,0)</f>
        <v>27</v>
      </c>
      <c r="I321" s="18" t="b">
        <v>0</v>
      </c>
      <c r="J321" s="18" t="str">
        <f t="shared" si="17"/>
        <v>N3</v>
      </c>
      <c r="K321" s="21" t="s">
        <v>1344</v>
      </c>
      <c r="L321" s="18" t="s">
        <v>509</v>
      </c>
      <c r="M321" s="18" t="s">
        <v>98</v>
      </c>
      <c r="N321" s="18" t="s">
        <v>64</v>
      </c>
      <c r="O321" s="18" t="s">
        <v>908</v>
      </c>
      <c r="Q321" s="23" t="s">
        <v>80</v>
      </c>
      <c r="R321" s="23">
        <v>13</v>
      </c>
      <c r="S321" s="24">
        <v>435739</v>
      </c>
      <c r="T321" s="28">
        <v>2050</v>
      </c>
      <c r="U321" s="18" t="s">
        <v>67</v>
      </c>
      <c r="V321" s="18" t="s">
        <v>110</v>
      </c>
      <c r="W321" s="18" t="s">
        <v>69</v>
      </c>
      <c r="X321" s="20">
        <v>46052</v>
      </c>
      <c r="Y321" s="18" t="s">
        <v>909</v>
      </c>
      <c r="Z321" s="18" t="str">
        <f>_xlfn.XLOOKUP(Y321,'[1]Data Source'!A:A,'[1]Data Source'!E:E,"N/A",0)</f>
        <v>LG</v>
      </c>
      <c r="AA321" s="18" t="str">
        <f>_xlfn.XLOOKUP(Y321,'[1]Data Source'!A:A,'[1]Data Source'!B:B,"N/A",0)</f>
        <v>Liboyi Jacobeth Owiso</v>
      </c>
      <c r="AB321" s="18" t="str">
        <f t="shared" si="18"/>
        <v>Kabarnet</v>
      </c>
      <c r="AC321" s="18" t="str">
        <f>_xlfn.XLOOKUP(L321,'[1]2026 Mapping v3'!A:A,'[1]2026 Mapping v3'!B:B,"Error",0)</f>
        <v>Rift Valley</v>
      </c>
      <c r="AD321" s="18" t="str">
        <f>_xlfn.XLOOKUP(L321,'[1]2026 Mapping v3'!A:A,'[1]2026 Mapping v3'!C:C,"Error",0)</f>
        <v>Hillary Muganda</v>
      </c>
      <c r="AE321" s="18" t="str">
        <f>_xlfn.XLOOKUP(L321,'[1]2026 Mapping v3'!A:A,'[1]2026 Mapping v3'!D:D,"Error",0)</f>
        <v>Emily Jepchirchir</v>
      </c>
      <c r="AF321" s="18" t="str">
        <f>_xlfn.XLOOKUP(L321,'[1]2026 Mapping v3'!A:A,'[1]2026 Mapping v3'!E:E,"Error",0)</f>
        <v>Emily Jepchirchir</v>
      </c>
      <c r="AS321" s="24"/>
      <c r="AT321" s="24">
        <f t="shared" si="19"/>
        <v>2050</v>
      </c>
      <c r="AU321" s="24"/>
      <c r="AV321" s="24"/>
      <c r="AX321" s="29"/>
      <c r="BE321" s="24">
        <f t="shared" si="20"/>
        <v>2050</v>
      </c>
    </row>
    <row r="322" spans="1:57">
      <c r="A322" s="18" t="s">
        <v>113</v>
      </c>
      <c r="B322" s="19">
        <v>27196957</v>
      </c>
      <c r="C322" s="20">
        <v>46058</v>
      </c>
      <c r="D322" s="18" t="s">
        <v>350</v>
      </c>
      <c r="E322" s="18" t="s">
        <v>59</v>
      </c>
      <c r="F322" s="18" t="s">
        <v>60</v>
      </c>
      <c r="H322" s="18">
        <f>_xlfn.XLOOKUP(L322,'[1]2026 Mapping v3'!A:A,'[1]2026 Mapping v3'!F:F,0,0)</f>
        <v>98</v>
      </c>
      <c r="I322" s="18" t="b">
        <v>0</v>
      </c>
      <c r="J322" s="18" t="str">
        <f t="shared" si="17"/>
        <v>N3</v>
      </c>
      <c r="K322" s="21" t="s">
        <v>1345</v>
      </c>
      <c r="L322" s="18" t="s">
        <v>910</v>
      </c>
      <c r="M322" s="18" t="s">
        <v>63</v>
      </c>
      <c r="N322" s="18" t="s">
        <v>64</v>
      </c>
      <c r="Q322" s="23" t="s">
        <v>80</v>
      </c>
      <c r="R322" s="23">
        <v>12</v>
      </c>
      <c r="S322" s="24">
        <v>793650</v>
      </c>
      <c r="T322" s="28">
        <v>5000</v>
      </c>
      <c r="U322" s="18" t="s">
        <v>67</v>
      </c>
      <c r="V322" s="18" t="s">
        <v>110</v>
      </c>
      <c r="W322" s="18" t="s">
        <v>69</v>
      </c>
      <c r="X322" s="20">
        <v>46073</v>
      </c>
      <c r="Y322" s="18" t="s">
        <v>911</v>
      </c>
      <c r="Z322" s="18" t="str">
        <f>_xlfn.XLOOKUP(Y322,'[1]Data Source'!A:A,'[1]Data Source'!E:E,"N/A",0)</f>
        <v>ALAK</v>
      </c>
      <c r="AA322" s="18" t="str">
        <f>_xlfn.XLOOKUP(Y322,'[1]Data Source'!A:A,'[1]Data Source'!B:B,"N/A",0)</f>
        <v>Paul Kithuka</v>
      </c>
      <c r="AB322" s="18" t="str">
        <f t="shared" si="18"/>
        <v>Direct-Kithuka</v>
      </c>
      <c r="AC322" s="18" t="str">
        <f>_xlfn.XLOOKUP(L322,'[1]2026 Mapping v3'!A:A,'[1]2026 Mapping v3'!B:B,"Error",0)</f>
        <v>Mt. Kenya</v>
      </c>
      <c r="AD322" s="18" t="str">
        <f>_xlfn.XLOOKUP(L322,'[1]2026 Mapping v3'!A:A,'[1]2026 Mapping v3'!C:C,"Error",0)</f>
        <v>Paul Kithuka</v>
      </c>
      <c r="AE322" s="18" t="str">
        <f>_xlfn.XLOOKUP(L322,'[1]2026 Mapping v3'!A:A,'[1]2026 Mapping v3'!D:D,"Error",0)</f>
        <v>Paul Kithuka</v>
      </c>
      <c r="AF322" s="18" t="str">
        <f>_xlfn.XLOOKUP(L322,'[1]2026 Mapping v3'!A:A,'[1]2026 Mapping v3'!E:E,"Error",0)</f>
        <v>Bilha Wachira</v>
      </c>
      <c r="AS322" s="24"/>
      <c r="AT322" s="24">
        <f t="shared" si="19"/>
        <v>5000</v>
      </c>
      <c r="AU322" s="24"/>
      <c r="AV322" s="24"/>
      <c r="AX322" s="29"/>
      <c r="BE322" s="24">
        <f t="shared" si="20"/>
        <v>5000</v>
      </c>
    </row>
    <row r="323" spans="1:57">
      <c r="A323" s="18" t="s">
        <v>57</v>
      </c>
      <c r="B323" s="19">
        <v>27196957</v>
      </c>
      <c r="C323" s="20">
        <v>46059</v>
      </c>
      <c r="D323" s="18" t="s">
        <v>350</v>
      </c>
      <c r="E323" s="18" t="s">
        <v>59</v>
      </c>
      <c r="F323" s="18" t="s">
        <v>60</v>
      </c>
      <c r="H323" s="18">
        <f>_xlfn.XLOOKUP(L323,'[1]2026 Mapping v3'!A:A,'[1]2026 Mapping v3'!F:F,0,0)</f>
        <v>61</v>
      </c>
      <c r="I323" s="18" t="b">
        <v>0</v>
      </c>
      <c r="J323" s="18" t="str">
        <f t="shared" si="17"/>
        <v>N3</v>
      </c>
      <c r="K323" s="21" t="s">
        <v>1346</v>
      </c>
      <c r="L323" s="18" t="s">
        <v>438</v>
      </c>
      <c r="M323" s="18" t="s">
        <v>98</v>
      </c>
      <c r="N323" s="18" t="s">
        <v>64</v>
      </c>
      <c r="O323" s="18" t="s">
        <v>912</v>
      </c>
      <c r="Q323" s="23" t="s">
        <v>66</v>
      </c>
      <c r="R323" s="23">
        <v>10</v>
      </c>
      <c r="S323" s="24">
        <v>7720273</v>
      </c>
      <c r="T323" s="28">
        <v>496525</v>
      </c>
      <c r="U323" s="18" t="s">
        <v>67</v>
      </c>
      <c r="V323" s="18" t="s">
        <v>68</v>
      </c>
      <c r="W323" s="18" t="s">
        <v>69</v>
      </c>
      <c r="X323" s="20">
        <v>46081</v>
      </c>
      <c r="Y323" s="18" t="s">
        <v>913</v>
      </c>
      <c r="Z323" s="18" t="str">
        <f>_xlfn.XLOOKUP(Y323,'[1]Data Source'!A:A,'[1]Data Source'!E:E,"N/A",0)</f>
        <v>N/A</v>
      </c>
      <c r="AA323" s="18" t="str">
        <f>_xlfn.XLOOKUP(Y323,'[1]Data Source'!A:A,'[1]Data Source'!B:B,"N/A",0)</f>
        <v>N/A</v>
      </c>
      <c r="AB323" s="18" t="str">
        <f t="shared" si="18"/>
        <v>Nanyuki</v>
      </c>
      <c r="AC323" s="18" t="str">
        <f>_xlfn.XLOOKUP(L323,'[1]2026 Mapping v3'!A:A,'[1]2026 Mapping v3'!B:B,"Error",0)</f>
        <v>Mt. Kenya</v>
      </c>
      <c r="AD323" s="18" t="str">
        <f>_xlfn.XLOOKUP(L323,'[1]2026 Mapping v3'!A:A,'[1]2026 Mapping v3'!C:C,"Error",0)</f>
        <v>Morgan Mwangi</v>
      </c>
      <c r="AE323" s="18" t="str">
        <f>_xlfn.XLOOKUP(L323,'[1]2026 Mapping v3'!A:A,'[1]2026 Mapping v3'!D:D,"Error",0)</f>
        <v>Paul Kithuka</v>
      </c>
      <c r="AF323" s="18" t="str">
        <f>_xlfn.XLOOKUP(L323,'[1]2026 Mapping v3'!A:A,'[1]2026 Mapping v3'!E:E,"Error",0)</f>
        <v>Simon Maingi</v>
      </c>
      <c r="AS323" s="24"/>
      <c r="AT323" s="24">
        <f t="shared" si="19"/>
        <v>496525</v>
      </c>
      <c r="AU323" s="24"/>
      <c r="AV323" s="24"/>
      <c r="AX323" s="29"/>
      <c r="BE323" s="24">
        <f t="shared" si="20"/>
        <v>496525</v>
      </c>
    </row>
    <row r="324" spans="1:57">
      <c r="A324" s="18" t="s">
        <v>128</v>
      </c>
      <c r="B324" s="19">
        <v>27196957</v>
      </c>
      <c r="C324" s="20">
        <v>46059</v>
      </c>
      <c r="D324" s="18" t="s">
        <v>350</v>
      </c>
      <c r="E324" s="18" t="s">
        <v>59</v>
      </c>
      <c r="F324" s="18" t="s">
        <v>60</v>
      </c>
      <c r="G324" s="18">
        <v>4984</v>
      </c>
      <c r="H324" s="18">
        <f>_xlfn.XLOOKUP(L324,'[1]2026 Mapping v3'!A:A,'[1]2026 Mapping v3'!F:F,0,0)</f>
        <v>12</v>
      </c>
      <c r="I324" s="18" t="b">
        <v>0</v>
      </c>
      <c r="J324" s="18" t="str">
        <f t="shared" si="17"/>
        <v>N3</v>
      </c>
      <c r="K324" s="21" t="s">
        <v>1347</v>
      </c>
      <c r="L324" s="18" t="str">
        <f t="shared" ref="L324:L325" si="21">Y324</f>
        <v>HISA001</v>
      </c>
      <c r="M324" s="18" t="s">
        <v>98</v>
      </c>
      <c r="N324" s="18" t="s">
        <v>64</v>
      </c>
      <c r="O324" s="18" t="s">
        <v>914</v>
      </c>
      <c r="Q324" s="23" t="s">
        <v>80</v>
      </c>
      <c r="R324" s="23">
        <v>10</v>
      </c>
      <c r="S324" s="24">
        <v>1993857</v>
      </c>
      <c r="T324" s="28">
        <v>15034</v>
      </c>
      <c r="U324" s="18" t="s">
        <v>586</v>
      </c>
      <c r="V324" s="18" t="s">
        <v>110</v>
      </c>
      <c r="W324" s="18" t="s">
        <v>278</v>
      </c>
      <c r="X324" s="20">
        <v>46081</v>
      </c>
      <c r="Y324" s="18" t="s">
        <v>131</v>
      </c>
      <c r="Z324" s="18" t="str">
        <f>_xlfn.XLOOKUP(Y324,'[1]Data Source'!A:A,'[1]Data Source'!E:E,"N/A",0)</f>
        <v>ALAK</v>
      </c>
      <c r="AA324" s="18" t="str">
        <f>_xlfn.XLOOKUP(Y324,'[1]Data Source'!A:A,'[1]Data Source'!B:B,"N/A",0)</f>
        <v>Alfred Mathu</v>
      </c>
      <c r="AB324" s="18" t="str">
        <f t="shared" ref="AB324:AB325" si="22">Y324</f>
        <v>HISA001</v>
      </c>
      <c r="AC324" s="18" t="str">
        <f>_xlfn.XLOOKUP(L324,'[1]2026 Mapping v3'!A:A,'[1]2026 Mapping v3'!B:B,"Error",0)</f>
        <v>Alternative Channels</v>
      </c>
      <c r="AD324" s="18" t="str">
        <f>_xlfn.XLOOKUP(L324,'[1]2026 Mapping v3'!A:A,'[1]2026 Mapping v3'!C:C,"Error",0)</f>
        <v>Eric Njiru</v>
      </c>
      <c r="AE324" s="18" t="str">
        <f>_xlfn.XLOOKUP(L324,'[1]2026 Mapping v3'!A:A,'[1]2026 Mapping v3'!D:D,"Error",0)</f>
        <v>Eric Njiru</v>
      </c>
      <c r="AF324" s="18" t="str">
        <f>_xlfn.XLOOKUP(L324,'[1]2026 Mapping v3'!A:A,'[1]2026 Mapping v3'!E:E,"Error",0)</f>
        <v>Eric Njiru</v>
      </c>
      <c r="AS324" s="24"/>
      <c r="AT324" s="24">
        <f t="shared" si="19"/>
        <v>15034</v>
      </c>
      <c r="AU324" s="24"/>
      <c r="AV324" s="24"/>
      <c r="AX324" s="29"/>
      <c r="BE324" s="24">
        <f t="shared" si="20"/>
        <v>15034</v>
      </c>
    </row>
    <row r="325" spans="1:57">
      <c r="A325" s="18" t="s">
        <v>128</v>
      </c>
      <c r="B325" s="19">
        <v>27196957</v>
      </c>
      <c r="C325" s="20">
        <v>46059</v>
      </c>
      <c r="D325" s="18" t="s">
        <v>350</v>
      </c>
      <c r="E325" s="18" t="s">
        <v>59</v>
      </c>
      <c r="F325" s="18" t="s">
        <v>60</v>
      </c>
      <c r="G325" s="18">
        <v>4676</v>
      </c>
      <c r="H325" s="18">
        <f>_xlfn.XLOOKUP(L325,'[1]2026 Mapping v3'!A:A,'[1]2026 Mapping v3'!F:F,0,0)</f>
        <v>12</v>
      </c>
      <c r="I325" s="18" t="b">
        <v>0</v>
      </c>
      <c r="J325" s="18" t="str">
        <f t="shared" si="17"/>
        <v>N3</v>
      </c>
      <c r="K325" s="21" t="s">
        <v>1348</v>
      </c>
      <c r="L325" s="18" t="str">
        <f t="shared" si="21"/>
        <v>HISA001</v>
      </c>
      <c r="M325" s="18" t="s">
        <v>98</v>
      </c>
      <c r="N325" s="18" t="s">
        <v>64</v>
      </c>
      <c r="O325" s="18" t="s">
        <v>915</v>
      </c>
      <c r="Q325" s="23" t="s">
        <v>80</v>
      </c>
      <c r="R325" s="23">
        <v>6</v>
      </c>
      <c r="S325" s="24">
        <v>2001483</v>
      </c>
      <c r="T325" s="28">
        <v>26034</v>
      </c>
      <c r="U325" s="18" t="s">
        <v>586</v>
      </c>
      <c r="V325" s="18" t="s">
        <v>110</v>
      </c>
      <c r="W325" s="18" t="s">
        <v>278</v>
      </c>
      <c r="X325" s="20">
        <v>46081</v>
      </c>
      <c r="Y325" s="18" t="s">
        <v>131</v>
      </c>
      <c r="Z325" s="18" t="str">
        <f>_xlfn.XLOOKUP(Y325,'[1]Data Source'!A:A,'[1]Data Source'!E:E,"N/A",0)</f>
        <v>ALAK</v>
      </c>
      <c r="AA325" s="18" t="str">
        <f>_xlfn.XLOOKUP(Y325,'[1]Data Source'!A:A,'[1]Data Source'!B:B,"N/A",0)</f>
        <v>Alfred Mathu</v>
      </c>
      <c r="AB325" s="18" t="str">
        <f t="shared" si="22"/>
        <v>HISA001</v>
      </c>
      <c r="AC325" s="18" t="str">
        <f>_xlfn.XLOOKUP(L325,'[1]2026 Mapping v3'!A:A,'[1]2026 Mapping v3'!B:B,"Error",0)</f>
        <v>Alternative Channels</v>
      </c>
      <c r="AD325" s="18" t="str">
        <f>_xlfn.XLOOKUP(L325,'[1]2026 Mapping v3'!A:A,'[1]2026 Mapping v3'!C:C,"Error",0)</f>
        <v>Eric Njiru</v>
      </c>
      <c r="AE325" s="18" t="str">
        <f>_xlfn.XLOOKUP(L325,'[1]2026 Mapping v3'!A:A,'[1]2026 Mapping v3'!D:D,"Error",0)</f>
        <v>Eric Njiru</v>
      </c>
      <c r="AF325" s="18" t="str">
        <f>_xlfn.XLOOKUP(L325,'[1]2026 Mapping v3'!A:A,'[1]2026 Mapping v3'!E:E,"Error",0)</f>
        <v>Eric Njiru</v>
      </c>
      <c r="AS325" s="24"/>
      <c r="AT325" s="24">
        <f t="shared" si="19"/>
        <v>26034</v>
      </c>
      <c r="AU325" s="24"/>
      <c r="AV325" s="24"/>
      <c r="AX325" s="29"/>
      <c r="BE325" s="24">
        <f t="shared" si="20"/>
        <v>26034</v>
      </c>
    </row>
    <row r="326" spans="1:57">
      <c r="B326" s="19"/>
      <c r="K326" s="21"/>
      <c r="T326" s="28"/>
      <c r="AS326" s="24"/>
      <c r="AT326" s="24"/>
      <c r="AU326" s="24"/>
      <c r="AV326" s="24"/>
      <c r="AX326" s="29"/>
      <c r="BE326" s="24">
        <f t="shared" ref="BE326:BE327" si="23">SUM(AS326:BD326)</f>
        <v>0</v>
      </c>
    </row>
    <row r="327" spans="1:57">
      <c r="B327" s="19"/>
      <c r="K327" s="21"/>
      <c r="T327" s="28"/>
      <c r="AS327" s="24"/>
      <c r="AT327" s="24"/>
      <c r="AU327" s="24"/>
      <c r="AV327" s="24"/>
      <c r="AX327" s="29"/>
      <c r="BE327" s="24">
        <f t="shared" si="23"/>
        <v>0</v>
      </c>
    </row>
    <row r="328" spans="1:57">
      <c r="B328" s="19"/>
      <c r="K328" s="21"/>
      <c r="T328" s="28"/>
      <c r="AS328" s="24"/>
      <c r="AT328" s="24"/>
      <c r="AU328" s="24"/>
      <c r="AV328" s="24"/>
      <c r="AX328" s="29"/>
    </row>
    <row r="329" spans="1:57">
      <c r="B329" s="19"/>
      <c r="K329" s="21"/>
      <c r="T329" s="28"/>
      <c r="AS329" s="24"/>
      <c r="AT329" s="24"/>
      <c r="AU329" s="24"/>
      <c r="AV329" s="24"/>
      <c r="AX329" s="29"/>
    </row>
    <row r="330" spans="1:57">
      <c r="B330" s="19"/>
      <c r="K330" s="21"/>
      <c r="T330" s="28"/>
      <c r="AS330" s="24"/>
      <c r="AT330" s="24"/>
      <c r="AU330" s="24"/>
      <c r="AV330" s="24"/>
      <c r="AX330" s="29"/>
    </row>
    <row r="331" spans="1:57">
      <c r="B331" s="19"/>
      <c r="K331" s="21"/>
      <c r="T331" s="28"/>
      <c r="AS331" s="24"/>
      <c r="AT331" s="24"/>
      <c r="AU331" s="24"/>
      <c r="AV331" s="24"/>
      <c r="AX331" s="29"/>
    </row>
    <row r="332" spans="1:57">
      <c r="B332" s="19"/>
      <c r="K332" s="21"/>
      <c r="T332" s="28"/>
      <c r="AS332" s="24"/>
      <c r="AT332" s="24"/>
      <c r="AU332" s="24"/>
      <c r="AV332" s="24"/>
      <c r="AX332" s="29"/>
    </row>
    <row r="333" spans="1:57">
      <c r="B333" s="19"/>
      <c r="K333" s="21"/>
      <c r="T333" s="28"/>
      <c r="AS333" s="24"/>
      <c r="AT333" s="24"/>
      <c r="AU333" s="24"/>
      <c r="AV333" s="24"/>
      <c r="AX333" s="29"/>
    </row>
    <row r="334" spans="1:57">
      <c r="B334" s="19"/>
      <c r="K334" s="21"/>
      <c r="T334" s="28"/>
      <c r="AS334" s="24"/>
      <c r="AT334" s="24"/>
      <c r="AU334" s="24"/>
      <c r="AV334" s="24"/>
      <c r="AX334" s="29"/>
    </row>
    <row r="335" spans="1:57">
      <c r="B335" s="19"/>
      <c r="K335" s="21"/>
      <c r="T335" s="28"/>
      <c r="AS335" s="24"/>
      <c r="AT335" s="24"/>
      <c r="AU335" s="24"/>
      <c r="AV335" s="24"/>
      <c r="AX335" s="29"/>
    </row>
    <row r="336" spans="1:57">
      <c r="B336" s="19"/>
      <c r="K336" s="21"/>
      <c r="T336" s="28"/>
      <c r="AS336" s="24"/>
      <c r="AT336" s="24"/>
      <c r="AU336" s="24"/>
      <c r="AV336" s="24"/>
      <c r="AX336" s="29"/>
    </row>
    <row r="337" spans="2:50">
      <c r="B337" s="19"/>
      <c r="K337" s="21"/>
      <c r="T337" s="28"/>
      <c r="AS337" s="24"/>
      <c r="AT337" s="24"/>
      <c r="AU337" s="24"/>
      <c r="AV337" s="24"/>
      <c r="AX337" s="29"/>
    </row>
    <row r="338" spans="2:50">
      <c r="B338" s="19"/>
      <c r="K338" s="21"/>
      <c r="T338" s="28"/>
      <c r="AS338" s="24"/>
      <c r="AT338" s="24"/>
      <c r="AU338" s="24"/>
      <c r="AV338" s="24"/>
      <c r="AX338" s="29"/>
    </row>
    <row r="339" spans="2:50">
      <c r="B339" s="19"/>
      <c r="K339" s="21"/>
      <c r="T339" s="28"/>
      <c r="AS339" s="24"/>
      <c r="AT339" s="24"/>
      <c r="AU339" s="24"/>
      <c r="AV339" s="24"/>
      <c r="AX339" s="29"/>
    </row>
    <row r="340" spans="2:50">
      <c r="B340" s="19"/>
      <c r="K340" s="21"/>
      <c r="T340" s="28"/>
      <c r="AS340" s="24"/>
      <c r="AT340" s="24"/>
      <c r="AU340" s="24"/>
      <c r="AV340" s="24"/>
      <c r="AX340" s="29"/>
    </row>
    <row r="341" spans="2:50">
      <c r="B341" s="19"/>
      <c r="K341" s="21"/>
      <c r="T341" s="28"/>
      <c r="AS341" s="24"/>
      <c r="AT341" s="24"/>
      <c r="AU341" s="24"/>
      <c r="AV341" s="24"/>
      <c r="AX341" s="29"/>
    </row>
    <row r="342" spans="2:50">
      <c r="B342" s="19"/>
      <c r="K342" s="21"/>
      <c r="T342" s="28"/>
      <c r="AS342" s="24"/>
      <c r="AT342" s="24"/>
      <c r="AU342" s="24"/>
      <c r="AV342" s="24"/>
      <c r="AX342" s="29"/>
    </row>
    <row r="343" spans="2:50">
      <c r="B343" s="19"/>
      <c r="K343" s="21"/>
      <c r="T343" s="28"/>
      <c r="AS343" s="24"/>
      <c r="AT343" s="24"/>
      <c r="AU343" s="24"/>
      <c r="AV343" s="24"/>
      <c r="AX343" s="29"/>
    </row>
    <row r="344" spans="2:50">
      <c r="B344" s="19"/>
      <c r="K344" s="21"/>
      <c r="T344" s="28"/>
      <c r="AS344" s="24"/>
      <c r="AT344" s="24"/>
      <c r="AU344" s="24"/>
      <c r="AV344" s="24"/>
      <c r="AX344" s="29"/>
    </row>
    <row r="345" spans="2:50">
      <c r="B345" s="19"/>
      <c r="K345" s="21"/>
      <c r="T345" s="28"/>
      <c r="AS345" s="24"/>
      <c r="AT345" s="24"/>
      <c r="AU345" s="24"/>
      <c r="AV345" s="24"/>
      <c r="AX345" s="29"/>
    </row>
    <row r="346" spans="2:50">
      <c r="B346" s="19"/>
      <c r="K346" s="21"/>
      <c r="T346" s="28"/>
      <c r="Y346" s="35"/>
      <c r="AS346" s="24"/>
      <c r="AT346" s="24"/>
      <c r="AU346" s="24"/>
      <c r="AV346" s="24"/>
      <c r="AX346" s="29"/>
    </row>
    <row r="347" spans="2:50">
      <c r="B347" s="19"/>
      <c r="K347" s="21"/>
      <c r="T347" s="28"/>
      <c r="Y347" s="24"/>
      <c r="AS347" s="24"/>
      <c r="AT347" s="24"/>
      <c r="AU347" s="24"/>
      <c r="AV347" s="24"/>
      <c r="AX347" s="29"/>
    </row>
    <row r="348" spans="2:50">
      <c r="B348" s="19"/>
      <c r="K348" s="21"/>
      <c r="T348" s="28"/>
      <c r="Y348" s="35"/>
      <c r="AS348" s="24"/>
      <c r="AT348" s="24"/>
      <c r="AU348" s="24"/>
      <c r="AV348" s="24"/>
      <c r="AX348" s="29"/>
    </row>
    <row r="349" spans="2:50">
      <c r="B349" s="19"/>
      <c r="K349" s="21"/>
      <c r="T349" s="28"/>
      <c r="AS349" s="24"/>
      <c r="AT349" s="24"/>
      <c r="AU349" s="24"/>
      <c r="AV349" s="24"/>
      <c r="AX349" s="29"/>
    </row>
    <row r="350" spans="2:50">
      <c r="B350" s="19"/>
      <c r="K350" s="21"/>
      <c r="T350" s="28"/>
      <c r="AS350" s="24"/>
      <c r="AT350" s="24"/>
      <c r="AU350" s="24"/>
      <c r="AV350" s="24"/>
      <c r="AX350" s="29"/>
    </row>
    <row r="351" spans="2:50">
      <c r="B351" s="19"/>
      <c r="K351" s="21"/>
      <c r="T351" s="28"/>
      <c r="AS351" s="24"/>
      <c r="AT351" s="24"/>
      <c r="AU351" s="24"/>
      <c r="AV351" s="24"/>
      <c r="AX351" s="29"/>
    </row>
    <row r="352" spans="2:50">
      <c r="B352" s="19"/>
      <c r="K352" s="21"/>
      <c r="T352" s="28"/>
      <c r="AS352" s="24"/>
      <c r="AT352" s="24"/>
      <c r="AU352" s="24"/>
      <c r="AV352" s="24"/>
      <c r="AX352" s="29"/>
    </row>
    <row r="353" spans="2:50">
      <c r="B353" s="19"/>
      <c r="K353" s="21"/>
      <c r="T353" s="28"/>
      <c r="AS353" s="24"/>
      <c r="AT353" s="24"/>
      <c r="AU353" s="24"/>
      <c r="AV353" s="24"/>
      <c r="AX353" s="29"/>
    </row>
    <row r="354" spans="2:50">
      <c r="B354" s="19"/>
      <c r="K354" s="21"/>
      <c r="T354" s="28"/>
      <c r="AS354" s="24"/>
      <c r="AT354" s="24"/>
      <c r="AU354" s="24"/>
      <c r="AV354" s="24"/>
      <c r="AX354" s="29"/>
    </row>
    <row r="355" spans="2:50">
      <c r="B355" s="19"/>
      <c r="K355" s="21"/>
      <c r="T355" s="28"/>
      <c r="AS355" s="24"/>
      <c r="AT355" s="24"/>
      <c r="AU355" s="24"/>
      <c r="AV355" s="24"/>
      <c r="AX355" s="29"/>
    </row>
    <row r="356" spans="2:50">
      <c r="B356" s="19"/>
      <c r="K356" s="21"/>
      <c r="T356" s="28"/>
      <c r="AS356" s="24"/>
      <c r="AT356" s="24"/>
      <c r="AU356" s="24"/>
      <c r="AV356" s="24"/>
      <c r="AX356" s="29"/>
    </row>
    <row r="357" spans="2:50">
      <c r="B357" s="19"/>
      <c r="K357" s="21"/>
      <c r="T357" s="28"/>
      <c r="AS357" s="24"/>
      <c r="AT357" s="24"/>
      <c r="AU357" s="24"/>
      <c r="AV357" s="24"/>
      <c r="AX357" s="29"/>
    </row>
    <row r="358" spans="2:50">
      <c r="B358" s="19"/>
      <c r="K358" s="21"/>
      <c r="T358" s="28"/>
      <c r="AS358" s="24"/>
      <c r="AT358" s="24"/>
      <c r="AU358" s="24"/>
      <c r="AV358" s="24"/>
      <c r="AX358" s="29"/>
    </row>
    <row r="359" spans="2:50">
      <c r="B359" s="19"/>
      <c r="K359" s="21"/>
      <c r="T359" s="28"/>
      <c r="AS359" s="24"/>
      <c r="AT359" s="24"/>
      <c r="AU359" s="24"/>
      <c r="AV359" s="24"/>
      <c r="AX359" s="29"/>
    </row>
    <row r="360" spans="2:50">
      <c r="B360" s="19"/>
      <c r="K360" s="21"/>
      <c r="T360" s="28"/>
      <c r="AS360" s="24"/>
      <c r="AT360" s="24"/>
      <c r="AU360" s="24"/>
      <c r="AV360" s="24"/>
      <c r="AX360" s="29"/>
    </row>
    <row r="361" spans="2:50">
      <c r="B361" s="19"/>
      <c r="K361" s="21"/>
      <c r="T361" s="28"/>
      <c r="AS361" s="24"/>
      <c r="AT361" s="24"/>
      <c r="AU361" s="24"/>
      <c r="AV361" s="24"/>
      <c r="AX361" s="29"/>
    </row>
    <row r="362" spans="2:50">
      <c r="B362" s="19"/>
      <c r="K362" s="21"/>
      <c r="T362" s="28"/>
      <c r="AS362" s="24"/>
      <c r="AT362" s="24"/>
      <c r="AU362" s="24"/>
      <c r="AV362" s="24"/>
      <c r="AX362" s="29"/>
    </row>
    <row r="363" spans="2:50">
      <c r="B363" s="19"/>
      <c r="K363" s="21"/>
      <c r="T363" s="28"/>
      <c r="AS363" s="24"/>
      <c r="AT363" s="24"/>
      <c r="AU363" s="24"/>
      <c r="AV363" s="24"/>
      <c r="AX363" s="29"/>
    </row>
    <row r="364" spans="2:50">
      <c r="B364" s="19"/>
      <c r="K364" s="21"/>
      <c r="T364" s="28"/>
      <c r="Y364" s="35"/>
      <c r="AS364" s="24"/>
      <c r="AT364" s="24"/>
      <c r="AU364" s="24"/>
      <c r="AV364" s="24"/>
      <c r="AX364" s="29"/>
    </row>
    <row r="365" spans="2:50">
      <c r="B365" s="19"/>
      <c r="K365" s="21"/>
      <c r="T365" s="28"/>
      <c r="AS365" s="24"/>
      <c r="AT365" s="24"/>
      <c r="AU365" s="24"/>
      <c r="AV365" s="24"/>
      <c r="AX365" s="29"/>
    </row>
    <row r="366" spans="2:50">
      <c r="B366" s="19"/>
      <c r="K366" s="21"/>
      <c r="T366" s="28"/>
      <c r="AS366" s="24"/>
      <c r="AT366" s="24"/>
      <c r="AU366" s="24"/>
      <c r="AV366" s="24"/>
      <c r="AX366" s="29"/>
    </row>
    <row r="367" spans="2:50">
      <c r="B367" s="19"/>
      <c r="K367" s="21"/>
      <c r="T367" s="28"/>
      <c r="AS367" s="24"/>
      <c r="AT367" s="24"/>
      <c r="AU367" s="24"/>
      <c r="AV367" s="24"/>
      <c r="AX367" s="29"/>
    </row>
    <row r="368" spans="2:50">
      <c r="B368" s="19"/>
      <c r="K368" s="21"/>
      <c r="T368" s="28"/>
      <c r="AS368" s="24"/>
      <c r="AT368" s="24"/>
      <c r="AU368" s="24"/>
      <c r="AV368" s="24"/>
      <c r="AX368" s="29"/>
    </row>
    <row r="369" spans="2:50">
      <c r="B369" s="19"/>
      <c r="K369" s="21"/>
      <c r="T369" s="28"/>
      <c r="AS369" s="24"/>
      <c r="AT369" s="24"/>
      <c r="AU369" s="24"/>
      <c r="AV369" s="24"/>
      <c r="AX369" s="29"/>
    </row>
    <row r="370" spans="2:50">
      <c r="B370" s="19"/>
      <c r="K370" s="21"/>
      <c r="T370" s="28"/>
      <c r="AS370" s="24"/>
      <c r="AT370" s="24"/>
      <c r="AU370" s="24"/>
      <c r="AV370" s="24"/>
      <c r="AX370" s="29"/>
    </row>
    <row r="371" spans="2:50">
      <c r="B371" s="19"/>
      <c r="K371" s="21"/>
      <c r="T371" s="28"/>
      <c r="AS371" s="24"/>
      <c r="AT371" s="24"/>
      <c r="AU371" s="24"/>
      <c r="AV371" s="24"/>
      <c r="AX371" s="29"/>
    </row>
    <row r="372" spans="2:50">
      <c r="B372" s="19"/>
      <c r="K372" s="21"/>
      <c r="T372" s="28"/>
      <c r="AS372" s="24"/>
      <c r="AT372" s="24"/>
      <c r="AU372" s="24"/>
      <c r="AV372" s="24"/>
      <c r="AX372" s="29"/>
    </row>
    <row r="373" spans="2:50">
      <c r="B373" s="19"/>
      <c r="K373" s="21"/>
      <c r="T373" s="28"/>
      <c r="AS373" s="24"/>
      <c r="AT373" s="24"/>
      <c r="AU373" s="24"/>
      <c r="AV373" s="24"/>
      <c r="AX373" s="29"/>
    </row>
    <row r="374" spans="2:50">
      <c r="B374" s="19"/>
      <c r="K374" s="21"/>
      <c r="T374" s="28"/>
      <c r="AS374" s="24"/>
      <c r="AT374" s="24"/>
      <c r="AU374" s="24"/>
      <c r="AV374" s="24"/>
      <c r="AX374" s="29"/>
    </row>
    <row r="375" spans="2:50">
      <c r="B375" s="19"/>
      <c r="K375" s="21"/>
      <c r="T375" s="28"/>
      <c r="AS375" s="24"/>
      <c r="AT375" s="24"/>
      <c r="AU375" s="24"/>
      <c r="AV375" s="24"/>
      <c r="AX375" s="29"/>
    </row>
    <row r="376" spans="2:50">
      <c r="B376" s="19"/>
      <c r="K376" s="21"/>
      <c r="T376" s="28"/>
      <c r="AS376" s="24"/>
      <c r="AT376" s="24"/>
      <c r="AU376" s="24"/>
      <c r="AV376" s="24"/>
      <c r="AX376" s="29"/>
    </row>
    <row r="377" spans="2:50">
      <c r="B377" s="19"/>
      <c r="K377" s="21"/>
      <c r="T377" s="28"/>
      <c r="AS377" s="24"/>
      <c r="AT377" s="24"/>
      <c r="AU377" s="24"/>
      <c r="AV377" s="24"/>
      <c r="AX377" s="29"/>
    </row>
    <row r="378" spans="2:50">
      <c r="B378" s="19"/>
      <c r="K378" s="21"/>
      <c r="T378" s="28"/>
      <c r="AS378" s="24"/>
      <c r="AT378" s="24"/>
      <c r="AU378" s="24"/>
      <c r="AV378" s="24"/>
      <c r="AX378" s="29"/>
    </row>
    <row r="379" spans="2:50">
      <c r="B379" s="19"/>
      <c r="K379" s="21"/>
      <c r="T379" s="28"/>
      <c r="AS379" s="24"/>
      <c r="AT379" s="24"/>
      <c r="AU379" s="24"/>
      <c r="AV379" s="24"/>
      <c r="AX379" s="29"/>
    </row>
    <row r="380" spans="2:50">
      <c r="B380" s="19"/>
      <c r="K380" s="21"/>
      <c r="T380" s="28"/>
      <c r="AS380" s="24"/>
      <c r="AT380" s="24"/>
      <c r="AU380" s="24"/>
      <c r="AV380" s="24"/>
      <c r="AX380" s="29"/>
    </row>
    <row r="381" spans="2:50">
      <c r="B381" s="19"/>
      <c r="K381" s="21"/>
      <c r="T381" s="28"/>
      <c r="AS381" s="24"/>
      <c r="AT381" s="24"/>
      <c r="AU381" s="24"/>
      <c r="AV381" s="24"/>
      <c r="AX381" s="29"/>
    </row>
    <row r="382" spans="2:50">
      <c r="B382" s="19"/>
      <c r="K382" s="21"/>
      <c r="T382" s="28"/>
      <c r="AS382" s="24"/>
      <c r="AT382" s="24"/>
      <c r="AU382" s="24"/>
      <c r="AV382" s="24"/>
      <c r="AX382" s="29"/>
    </row>
    <row r="383" spans="2:50">
      <c r="B383" s="19"/>
      <c r="K383" s="21"/>
      <c r="T383" s="28"/>
      <c r="AS383" s="24"/>
      <c r="AT383" s="24"/>
      <c r="AU383" s="24"/>
      <c r="AV383" s="24"/>
      <c r="AX383" s="29"/>
    </row>
    <row r="384" spans="2:50">
      <c r="B384" s="19"/>
      <c r="K384" s="21"/>
      <c r="T384" s="28"/>
      <c r="AS384" s="24"/>
      <c r="AT384" s="24"/>
      <c r="AU384" s="24"/>
      <c r="AV384" s="24"/>
      <c r="AX384" s="29"/>
    </row>
    <row r="385" spans="2:50">
      <c r="B385" s="19"/>
      <c r="K385" s="21"/>
      <c r="T385" s="28"/>
      <c r="AS385" s="24"/>
      <c r="AT385" s="24"/>
      <c r="AU385" s="24"/>
      <c r="AV385" s="24"/>
      <c r="AX385" s="29"/>
    </row>
    <row r="386" spans="2:50">
      <c r="B386" s="19"/>
      <c r="K386" s="21"/>
      <c r="T386" s="28"/>
      <c r="AS386" s="24"/>
      <c r="AT386" s="24"/>
      <c r="AU386" s="24"/>
      <c r="AV386" s="24"/>
      <c r="AX386" s="29"/>
    </row>
    <row r="387" spans="2:50">
      <c r="B387" s="19"/>
      <c r="K387" s="21"/>
      <c r="T387" s="28"/>
      <c r="AS387" s="24"/>
      <c r="AT387" s="24"/>
      <c r="AU387" s="24"/>
      <c r="AV387" s="24"/>
      <c r="AX387" s="29"/>
    </row>
    <row r="388" spans="2:50">
      <c r="B388" s="19"/>
      <c r="K388" s="21"/>
      <c r="T388" s="28"/>
      <c r="AS388" s="24"/>
      <c r="AT388" s="24"/>
      <c r="AU388" s="24"/>
      <c r="AV388" s="24"/>
      <c r="AX388" s="29"/>
    </row>
    <row r="389" spans="2:50">
      <c r="B389" s="19"/>
      <c r="K389" s="21"/>
      <c r="T389" s="28"/>
      <c r="AS389" s="24"/>
      <c r="AT389" s="24"/>
      <c r="AU389" s="24"/>
      <c r="AV389" s="24"/>
      <c r="AX389" s="29"/>
    </row>
    <row r="390" spans="2:50">
      <c r="B390" s="19"/>
      <c r="K390" s="21"/>
      <c r="T390" s="28"/>
      <c r="AS390" s="24"/>
      <c r="AT390" s="24"/>
      <c r="AU390" s="24"/>
      <c r="AV390" s="24"/>
      <c r="AX390" s="29"/>
    </row>
    <row r="391" spans="2:50">
      <c r="B391" s="19"/>
      <c r="K391" s="21"/>
      <c r="T391" s="28"/>
      <c r="AS391" s="24"/>
      <c r="AT391" s="24"/>
      <c r="AU391" s="24"/>
      <c r="AV391" s="24"/>
      <c r="AX391" s="29"/>
    </row>
    <row r="392" spans="2:50">
      <c r="B392" s="19"/>
      <c r="K392" s="21"/>
      <c r="T392" s="28"/>
      <c r="AS392" s="24"/>
      <c r="AT392" s="24"/>
      <c r="AU392" s="24"/>
      <c r="AV392" s="24"/>
      <c r="AX392" s="29"/>
    </row>
    <row r="393" spans="2:50">
      <c r="B393" s="19"/>
      <c r="K393" s="21"/>
      <c r="T393" s="28"/>
      <c r="AS393" s="24"/>
      <c r="AT393" s="24"/>
      <c r="AU393" s="24"/>
      <c r="AV393" s="24"/>
      <c r="AX393" s="29"/>
    </row>
    <row r="394" spans="2:50">
      <c r="B394" s="19"/>
      <c r="K394" s="21"/>
      <c r="T394" s="28"/>
      <c r="AS394" s="24"/>
      <c r="AT394" s="24"/>
      <c r="AU394" s="24"/>
      <c r="AV394" s="24"/>
      <c r="AX394" s="29"/>
    </row>
    <row r="395" spans="2:50">
      <c r="B395" s="19"/>
      <c r="K395" s="21"/>
      <c r="T395" s="28"/>
      <c r="AS395" s="24"/>
      <c r="AT395" s="24"/>
      <c r="AU395" s="24"/>
      <c r="AV395" s="24"/>
      <c r="AX395" s="29"/>
    </row>
    <row r="396" spans="2:50">
      <c r="B396" s="19"/>
      <c r="K396" s="21"/>
      <c r="T396" s="28"/>
      <c r="AS396" s="24"/>
      <c r="AT396" s="24"/>
      <c r="AU396" s="24"/>
      <c r="AV396" s="24"/>
      <c r="AX396" s="29"/>
    </row>
    <row r="397" spans="2:50">
      <c r="B397" s="19"/>
      <c r="K397" s="21"/>
      <c r="T397" s="28"/>
      <c r="AS397" s="24"/>
      <c r="AT397" s="24"/>
      <c r="AU397" s="24"/>
      <c r="AV397" s="24"/>
      <c r="AX397" s="29"/>
    </row>
    <row r="398" spans="2:50">
      <c r="B398" s="19"/>
      <c r="K398" s="21"/>
      <c r="T398" s="28"/>
      <c r="AS398" s="24"/>
      <c r="AT398" s="24"/>
      <c r="AU398" s="24"/>
      <c r="AV398" s="24"/>
      <c r="AX398" s="29"/>
    </row>
    <row r="399" spans="2:50">
      <c r="B399" s="19"/>
      <c r="K399" s="21"/>
      <c r="T399" s="28"/>
      <c r="AS399" s="24"/>
      <c r="AT399" s="24"/>
      <c r="AU399" s="24"/>
      <c r="AV399" s="24"/>
      <c r="AX399" s="29"/>
    </row>
    <row r="400" spans="2:50">
      <c r="B400" s="33"/>
      <c r="K400" s="21"/>
      <c r="T400" s="28"/>
      <c r="AS400" s="24"/>
      <c r="AT400" s="24"/>
      <c r="AU400" s="24"/>
      <c r="AV400" s="24"/>
      <c r="AX400" s="29"/>
    </row>
    <row r="401" spans="2:50">
      <c r="B401" s="19"/>
      <c r="K401" s="21"/>
      <c r="T401" s="28"/>
      <c r="AS401" s="24"/>
      <c r="AT401" s="24"/>
      <c r="AU401" s="24"/>
      <c r="AV401" s="24"/>
      <c r="AX401" s="29"/>
    </row>
    <row r="402" spans="2:50">
      <c r="B402" s="19"/>
      <c r="K402" s="21"/>
      <c r="T402" s="28"/>
      <c r="AS402" s="24"/>
      <c r="AT402" s="24"/>
      <c r="AU402" s="24"/>
      <c r="AV402" s="24"/>
      <c r="AX402" s="29"/>
    </row>
    <row r="403" spans="2:50">
      <c r="B403" s="19"/>
      <c r="K403" s="21"/>
      <c r="T403" s="28"/>
      <c r="AS403" s="24"/>
      <c r="AT403" s="24"/>
      <c r="AU403" s="24"/>
      <c r="AV403" s="24"/>
      <c r="AX403" s="29"/>
    </row>
    <row r="404" spans="2:50">
      <c r="B404" s="19"/>
      <c r="K404" s="21"/>
      <c r="T404" s="28"/>
      <c r="AS404" s="24"/>
      <c r="AT404" s="24"/>
      <c r="AU404" s="24"/>
      <c r="AV404" s="24"/>
      <c r="AX404" s="29"/>
    </row>
    <row r="405" spans="2:50">
      <c r="B405" s="19"/>
      <c r="K405" s="21"/>
      <c r="T405" s="28"/>
      <c r="AS405" s="24"/>
      <c r="AT405" s="24"/>
      <c r="AU405" s="24"/>
      <c r="AV405" s="24"/>
      <c r="AX405" s="29"/>
    </row>
    <row r="406" spans="2:50">
      <c r="B406" s="19"/>
      <c r="K406" s="21"/>
      <c r="T406" s="28"/>
      <c r="AS406" s="24"/>
      <c r="AT406" s="24"/>
      <c r="AU406" s="24"/>
      <c r="AV406" s="24"/>
      <c r="AX406" s="29"/>
    </row>
    <row r="407" spans="2:50">
      <c r="B407" s="19"/>
      <c r="K407" s="21"/>
      <c r="T407" s="28"/>
      <c r="AS407" s="24"/>
      <c r="AT407" s="24"/>
      <c r="AU407" s="24"/>
      <c r="AV407" s="24"/>
      <c r="AX407" s="29"/>
    </row>
    <row r="408" spans="2:50">
      <c r="B408" s="19"/>
      <c r="K408" s="21"/>
      <c r="T408" s="28"/>
      <c r="AS408" s="24"/>
      <c r="AT408" s="24"/>
      <c r="AU408" s="24"/>
      <c r="AV408" s="24"/>
      <c r="AX408" s="29"/>
    </row>
    <row r="409" spans="2:50">
      <c r="B409" s="19"/>
      <c r="K409" s="21"/>
      <c r="T409" s="28"/>
      <c r="AS409" s="24"/>
      <c r="AT409" s="24"/>
      <c r="AU409" s="24"/>
      <c r="AV409" s="24"/>
      <c r="AX409" s="29"/>
    </row>
    <row r="410" spans="2:50">
      <c r="B410" s="19"/>
      <c r="K410" s="21"/>
      <c r="T410" s="28"/>
      <c r="AS410" s="24"/>
      <c r="AT410" s="24"/>
      <c r="AU410" s="24"/>
      <c r="AV410" s="24"/>
      <c r="AX410" s="29"/>
    </row>
    <row r="411" spans="2:50">
      <c r="B411" s="19"/>
      <c r="K411" s="21"/>
      <c r="T411" s="28"/>
      <c r="AS411" s="24"/>
      <c r="AT411" s="24"/>
      <c r="AU411" s="24"/>
      <c r="AV411" s="24"/>
      <c r="AX411" s="29"/>
    </row>
    <row r="412" spans="2:50">
      <c r="B412" s="19"/>
      <c r="K412" s="21"/>
      <c r="T412" s="28"/>
      <c r="AS412" s="24"/>
      <c r="AT412" s="24"/>
      <c r="AU412" s="24"/>
      <c r="AV412" s="24"/>
      <c r="AX412" s="29"/>
    </row>
    <row r="413" spans="2:50">
      <c r="B413" s="19"/>
      <c r="K413" s="21"/>
      <c r="T413" s="28"/>
      <c r="AS413" s="24"/>
      <c r="AT413" s="24"/>
      <c r="AU413" s="24"/>
      <c r="AV413" s="24"/>
      <c r="AX413" s="29"/>
    </row>
    <row r="414" spans="2:50">
      <c r="B414" s="19"/>
      <c r="K414" s="21"/>
      <c r="T414" s="28"/>
      <c r="AS414" s="24"/>
      <c r="AT414" s="24"/>
      <c r="AU414" s="24"/>
      <c r="AV414" s="24"/>
      <c r="AX414" s="29"/>
    </row>
    <row r="415" spans="2:50">
      <c r="B415" s="19"/>
      <c r="K415" s="21"/>
      <c r="T415" s="28"/>
      <c r="AS415" s="24"/>
      <c r="AT415" s="24"/>
      <c r="AU415" s="24"/>
      <c r="AV415" s="24"/>
      <c r="AX415" s="29"/>
    </row>
    <row r="416" spans="2:50">
      <c r="B416" s="19"/>
      <c r="K416" s="21"/>
      <c r="T416" s="28"/>
      <c r="AS416" s="24"/>
      <c r="AT416" s="24"/>
      <c r="AU416" s="24"/>
      <c r="AV416" s="24"/>
      <c r="AX416" s="29"/>
    </row>
    <row r="417" spans="2:50">
      <c r="B417" s="19"/>
      <c r="K417" s="21"/>
      <c r="T417" s="28"/>
      <c r="AS417" s="24"/>
      <c r="AT417" s="24"/>
      <c r="AU417" s="24"/>
      <c r="AV417" s="24"/>
      <c r="AX417" s="29"/>
    </row>
    <row r="418" spans="2:50">
      <c r="B418" s="19"/>
      <c r="K418" s="21"/>
      <c r="T418" s="28"/>
      <c r="AS418" s="24"/>
      <c r="AT418" s="24"/>
      <c r="AU418" s="24"/>
      <c r="AV418" s="24"/>
      <c r="AX418" s="29"/>
    </row>
    <row r="419" spans="2:50">
      <c r="B419" s="19"/>
      <c r="K419" s="21"/>
      <c r="T419" s="28"/>
      <c r="AS419" s="24"/>
      <c r="AT419" s="24"/>
      <c r="AU419" s="24"/>
      <c r="AV419" s="24"/>
      <c r="AX419" s="29"/>
    </row>
    <row r="420" spans="2:50">
      <c r="B420" s="19"/>
      <c r="K420" s="21"/>
      <c r="T420" s="28"/>
      <c r="AS420" s="24"/>
      <c r="AT420" s="24"/>
      <c r="AU420" s="24"/>
      <c r="AV420" s="24"/>
      <c r="AX420" s="29"/>
    </row>
    <row r="421" spans="2:50">
      <c r="B421" s="19"/>
      <c r="K421" s="21"/>
      <c r="T421" s="28"/>
      <c r="AS421" s="24"/>
      <c r="AT421" s="24"/>
      <c r="AU421" s="24"/>
      <c r="AV421" s="24"/>
      <c r="AX421" s="29"/>
    </row>
    <row r="422" spans="2:50">
      <c r="B422" s="19"/>
      <c r="K422" s="21"/>
      <c r="T422" s="28"/>
      <c r="AS422" s="24"/>
      <c r="AT422" s="24"/>
      <c r="AU422" s="24"/>
      <c r="AV422" s="24"/>
      <c r="AX422" s="29"/>
    </row>
    <row r="423" spans="2:50">
      <c r="B423" s="19"/>
      <c r="K423" s="21"/>
      <c r="T423" s="28"/>
      <c r="AS423" s="24"/>
      <c r="AT423" s="24"/>
      <c r="AU423" s="24"/>
      <c r="AV423" s="24"/>
      <c r="AX423" s="29"/>
    </row>
    <row r="424" spans="2:50">
      <c r="B424" s="19"/>
      <c r="K424" s="21"/>
      <c r="T424" s="28"/>
      <c r="AS424" s="24"/>
      <c r="AT424" s="24"/>
      <c r="AU424" s="24"/>
      <c r="AV424" s="24"/>
      <c r="AX424" s="29"/>
    </row>
    <row r="425" spans="2:50">
      <c r="B425" s="19"/>
      <c r="K425" s="21"/>
      <c r="T425" s="28"/>
      <c r="AS425" s="24"/>
      <c r="AT425" s="24"/>
      <c r="AU425" s="24"/>
      <c r="AV425" s="24"/>
      <c r="AX425" s="29"/>
    </row>
    <row r="426" spans="2:50">
      <c r="B426" s="19"/>
      <c r="K426" s="21"/>
      <c r="T426" s="28"/>
      <c r="AS426" s="24"/>
      <c r="AT426" s="24"/>
      <c r="AU426" s="24"/>
      <c r="AV426" s="24"/>
      <c r="AX426" s="29"/>
    </row>
    <row r="427" spans="2:50">
      <c r="B427" s="19"/>
      <c r="K427" s="21"/>
      <c r="T427" s="28"/>
      <c r="AS427" s="24"/>
      <c r="AT427" s="24"/>
      <c r="AU427" s="24"/>
      <c r="AV427" s="24"/>
      <c r="AX427" s="29"/>
    </row>
    <row r="428" spans="2:50">
      <c r="B428" s="19"/>
      <c r="K428" s="21"/>
      <c r="T428" s="28"/>
      <c r="AS428" s="24"/>
      <c r="AT428" s="24"/>
      <c r="AU428" s="24"/>
      <c r="AV428" s="24"/>
      <c r="AX428" s="29"/>
    </row>
    <row r="429" spans="2:50">
      <c r="B429" s="19"/>
      <c r="K429" s="21"/>
      <c r="T429" s="28"/>
      <c r="AS429" s="24"/>
      <c r="AT429" s="24"/>
      <c r="AU429" s="24"/>
      <c r="AV429" s="24"/>
      <c r="AX429" s="29"/>
    </row>
    <row r="430" spans="2:50">
      <c r="B430" s="19"/>
      <c r="K430" s="21"/>
      <c r="T430" s="28"/>
      <c r="AS430" s="24"/>
      <c r="AT430" s="24"/>
      <c r="AU430" s="24"/>
      <c r="AV430" s="24"/>
      <c r="AX430" s="29"/>
    </row>
    <row r="431" spans="2:50">
      <c r="B431" s="19"/>
      <c r="K431" s="21"/>
      <c r="T431" s="28"/>
      <c r="AS431" s="24"/>
      <c r="AT431" s="24"/>
      <c r="AU431" s="24"/>
      <c r="AV431" s="24"/>
      <c r="AX431" s="29"/>
    </row>
    <row r="432" spans="2:50">
      <c r="B432" s="19"/>
      <c r="K432" s="21"/>
      <c r="T432" s="28"/>
      <c r="AS432" s="24"/>
      <c r="AT432" s="24"/>
      <c r="AU432" s="24"/>
      <c r="AV432" s="24"/>
      <c r="AX432" s="29"/>
    </row>
    <row r="433" spans="2:50">
      <c r="B433" s="19"/>
      <c r="K433" s="21"/>
      <c r="T433" s="28"/>
      <c r="AS433" s="24"/>
      <c r="AT433" s="24"/>
      <c r="AU433" s="24"/>
      <c r="AV433" s="24"/>
      <c r="AX433" s="29"/>
    </row>
    <row r="434" spans="2:50">
      <c r="B434" s="19"/>
      <c r="K434" s="21"/>
      <c r="T434" s="28"/>
      <c r="AS434" s="24"/>
      <c r="AT434" s="24"/>
      <c r="AU434" s="24"/>
      <c r="AV434" s="24"/>
      <c r="AX434" s="29"/>
    </row>
    <row r="435" spans="2:50">
      <c r="B435" s="19"/>
      <c r="K435" s="21"/>
      <c r="T435" s="28"/>
      <c r="AS435" s="24"/>
      <c r="AT435" s="24"/>
      <c r="AU435" s="24"/>
      <c r="AV435" s="24"/>
      <c r="AX435" s="29"/>
    </row>
    <row r="436" spans="2:50">
      <c r="B436" s="19"/>
      <c r="K436" s="21"/>
      <c r="T436" s="28"/>
      <c r="AS436" s="24"/>
      <c r="AT436" s="24"/>
      <c r="AU436" s="24"/>
      <c r="AV436" s="24"/>
      <c r="AX436" s="29"/>
    </row>
    <row r="437" spans="2:50">
      <c r="B437" s="19"/>
      <c r="K437" s="21"/>
      <c r="T437" s="28"/>
      <c r="AS437" s="24"/>
      <c r="AT437" s="24"/>
      <c r="AU437" s="24"/>
      <c r="AV437" s="24"/>
      <c r="AX437" s="29"/>
    </row>
    <row r="438" spans="2:50">
      <c r="B438" s="19"/>
      <c r="K438" s="21"/>
      <c r="T438" s="28"/>
      <c r="AS438" s="24"/>
      <c r="AT438" s="24"/>
      <c r="AU438" s="24"/>
      <c r="AV438" s="24"/>
      <c r="AX438" s="29"/>
    </row>
    <row r="439" spans="2:50">
      <c r="B439" s="19"/>
      <c r="K439" s="21"/>
      <c r="T439" s="28"/>
      <c r="AS439" s="24"/>
      <c r="AT439" s="24"/>
      <c r="AU439" s="24"/>
      <c r="AV439" s="24"/>
      <c r="AX439" s="29"/>
    </row>
    <row r="440" spans="2:50">
      <c r="B440" s="19"/>
      <c r="K440" s="21"/>
      <c r="T440" s="28"/>
      <c r="AS440" s="24"/>
      <c r="AT440" s="24"/>
      <c r="AU440" s="24"/>
      <c r="AV440" s="24"/>
      <c r="AX440" s="29"/>
    </row>
    <row r="441" spans="2:50">
      <c r="B441" s="19"/>
      <c r="K441" s="21"/>
      <c r="T441" s="28"/>
      <c r="AS441" s="24"/>
      <c r="AT441" s="24"/>
      <c r="AU441" s="24"/>
      <c r="AV441" s="24"/>
      <c r="AX441" s="29"/>
    </row>
    <row r="442" spans="2:50">
      <c r="B442" s="19"/>
      <c r="K442" s="21"/>
      <c r="T442" s="28"/>
      <c r="AS442" s="24"/>
      <c r="AT442" s="24"/>
      <c r="AU442" s="24"/>
      <c r="AV442" s="24"/>
      <c r="AX442" s="29"/>
    </row>
    <row r="443" spans="2:50">
      <c r="B443" s="19"/>
      <c r="K443" s="21"/>
      <c r="T443" s="28"/>
      <c r="AS443" s="24"/>
      <c r="AT443" s="24"/>
      <c r="AU443" s="24"/>
      <c r="AV443" s="24"/>
      <c r="AX443" s="29"/>
    </row>
    <row r="444" spans="2:50">
      <c r="B444" s="19"/>
      <c r="K444" s="21"/>
      <c r="T444" s="28"/>
      <c r="AS444" s="24"/>
      <c r="AT444" s="24"/>
      <c r="AU444" s="24"/>
      <c r="AV444" s="24"/>
      <c r="AX444" s="29"/>
    </row>
    <row r="445" spans="2:50">
      <c r="B445" s="19"/>
      <c r="K445" s="21"/>
      <c r="T445" s="28"/>
      <c r="AS445" s="24"/>
      <c r="AT445" s="24"/>
      <c r="AU445" s="24"/>
      <c r="AV445" s="24"/>
      <c r="AX445" s="29"/>
    </row>
    <row r="446" spans="2:50">
      <c r="B446" s="19"/>
      <c r="K446" s="21"/>
      <c r="T446" s="28"/>
      <c r="AS446" s="24"/>
      <c r="AT446" s="24"/>
      <c r="AU446" s="24"/>
      <c r="AV446" s="24"/>
      <c r="AX446" s="29"/>
    </row>
    <row r="447" spans="2:50">
      <c r="B447" s="19"/>
      <c r="K447" s="21"/>
      <c r="T447" s="28"/>
      <c r="AS447" s="24"/>
      <c r="AT447" s="24"/>
      <c r="AU447" s="24"/>
      <c r="AV447" s="24"/>
      <c r="AX447" s="29"/>
    </row>
    <row r="448" spans="2:50">
      <c r="B448" s="19"/>
      <c r="K448" s="21"/>
      <c r="T448" s="28"/>
      <c r="AS448" s="24"/>
      <c r="AT448" s="24"/>
      <c r="AU448" s="24"/>
      <c r="AV448" s="24"/>
      <c r="AX448" s="29"/>
    </row>
    <row r="449" spans="2:50">
      <c r="B449" s="19"/>
      <c r="K449" s="21"/>
      <c r="T449" s="28"/>
      <c r="AS449" s="24"/>
      <c r="AT449" s="24"/>
      <c r="AU449" s="24"/>
      <c r="AV449" s="24"/>
      <c r="AX449" s="29"/>
    </row>
    <row r="450" spans="2:50">
      <c r="B450" s="19"/>
      <c r="K450" s="21"/>
      <c r="T450" s="28"/>
      <c r="AS450" s="24"/>
      <c r="AT450" s="24"/>
      <c r="AU450" s="24"/>
      <c r="AV450" s="24"/>
      <c r="AX450" s="29"/>
    </row>
    <row r="451" spans="2:50">
      <c r="B451" s="19"/>
      <c r="K451" s="21"/>
      <c r="T451" s="28"/>
      <c r="AS451" s="24"/>
      <c r="AT451" s="24"/>
      <c r="AU451" s="24"/>
      <c r="AV451" s="24"/>
      <c r="AX451" s="29"/>
    </row>
    <row r="452" spans="2:50">
      <c r="B452" s="19"/>
      <c r="K452" s="21"/>
      <c r="T452" s="28"/>
      <c r="AS452" s="24"/>
      <c r="AT452" s="24"/>
      <c r="AU452" s="24"/>
      <c r="AV452" s="24"/>
      <c r="AX452" s="29"/>
    </row>
    <row r="453" spans="2:50">
      <c r="B453" s="19"/>
      <c r="K453" s="21"/>
      <c r="T453" s="28"/>
      <c r="AS453" s="24"/>
      <c r="AT453" s="24"/>
      <c r="AU453" s="24"/>
      <c r="AV453" s="24"/>
      <c r="AX453" s="29"/>
    </row>
    <row r="454" spans="2:50">
      <c r="B454" s="19"/>
      <c r="K454" s="21"/>
      <c r="T454" s="28"/>
      <c r="AS454" s="24"/>
      <c r="AT454" s="24"/>
      <c r="AU454" s="24"/>
      <c r="AV454" s="24"/>
      <c r="AX454" s="29"/>
    </row>
    <row r="455" spans="2:50">
      <c r="B455" s="19"/>
      <c r="K455" s="21"/>
      <c r="T455" s="28"/>
      <c r="AS455" s="24"/>
      <c r="AT455" s="24"/>
      <c r="AU455" s="24"/>
      <c r="AV455" s="24"/>
      <c r="AX455" s="29"/>
    </row>
    <row r="456" spans="2:50">
      <c r="B456" s="19"/>
      <c r="K456" s="21"/>
      <c r="T456" s="28"/>
      <c r="AS456" s="24"/>
      <c r="AT456" s="24"/>
      <c r="AU456" s="24"/>
      <c r="AV456" s="24"/>
      <c r="AX456" s="29"/>
    </row>
    <row r="457" spans="2:50">
      <c r="B457" s="19"/>
      <c r="K457" s="21"/>
      <c r="T457" s="28"/>
      <c r="AS457" s="24"/>
      <c r="AT457" s="24"/>
      <c r="AU457" s="24"/>
      <c r="AV457" s="24"/>
      <c r="AX457" s="29"/>
    </row>
    <row r="458" spans="2:50">
      <c r="B458" s="19"/>
      <c r="K458" s="21"/>
      <c r="T458" s="28"/>
      <c r="AS458" s="24"/>
      <c r="AT458" s="24"/>
      <c r="AU458" s="24"/>
      <c r="AV458" s="24"/>
      <c r="AX458" s="29"/>
    </row>
    <row r="459" spans="2:50">
      <c r="B459" s="19"/>
      <c r="K459" s="21"/>
      <c r="T459" s="28"/>
      <c r="AS459" s="24"/>
      <c r="AT459" s="24"/>
      <c r="AU459" s="24"/>
      <c r="AV459" s="24"/>
      <c r="AX459" s="29"/>
    </row>
    <row r="460" spans="2:50">
      <c r="B460" s="19"/>
      <c r="K460" s="21"/>
      <c r="T460" s="28"/>
      <c r="AS460" s="24"/>
      <c r="AT460" s="24"/>
      <c r="AU460" s="24"/>
      <c r="AV460" s="24"/>
      <c r="AX460" s="29"/>
    </row>
    <row r="461" spans="2:50">
      <c r="B461" s="19"/>
      <c r="K461" s="21"/>
      <c r="T461" s="28"/>
      <c r="AS461" s="24"/>
      <c r="AT461" s="24"/>
      <c r="AU461" s="24"/>
      <c r="AV461" s="24"/>
      <c r="AX461" s="29"/>
    </row>
    <row r="462" spans="2:50">
      <c r="B462" s="19"/>
      <c r="K462" s="21"/>
      <c r="T462" s="28"/>
      <c r="AS462" s="24"/>
      <c r="AT462" s="24"/>
      <c r="AU462" s="24"/>
      <c r="AV462" s="24"/>
      <c r="AX462" s="29"/>
    </row>
    <row r="463" spans="2:50">
      <c r="B463" s="19"/>
      <c r="K463" s="21"/>
      <c r="T463" s="28"/>
      <c r="AS463" s="24"/>
      <c r="AT463" s="24"/>
      <c r="AU463" s="24"/>
      <c r="AV463" s="24"/>
      <c r="AX463" s="29"/>
    </row>
    <row r="464" spans="2:50">
      <c r="B464" s="19"/>
      <c r="K464" s="21"/>
      <c r="T464" s="28"/>
      <c r="AS464" s="24"/>
      <c r="AT464" s="24"/>
      <c r="AU464" s="24"/>
      <c r="AV464" s="24"/>
      <c r="AX464" s="29"/>
    </row>
    <row r="465" spans="2:50">
      <c r="B465" s="19"/>
      <c r="K465" s="21"/>
      <c r="T465" s="28"/>
      <c r="AS465" s="24"/>
      <c r="AT465" s="24"/>
      <c r="AU465" s="24"/>
      <c r="AV465" s="24"/>
      <c r="AX465" s="29"/>
    </row>
    <row r="466" spans="2:50">
      <c r="B466" s="19"/>
      <c r="K466" s="21"/>
      <c r="T466" s="28"/>
      <c r="AS466" s="24"/>
      <c r="AT466" s="24"/>
      <c r="AU466" s="24"/>
      <c r="AV466" s="24"/>
      <c r="AX466" s="29"/>
    </row>
    <row r="467" spans="2:50">
      <c r="B467" s="19"/>
      <c r="K467" s="21"/>
      <c r="T467" s="28"/>
      <c r="AS467" s="24"/>
      <c r="AT467" s="24"/>
      <c r="AU467" s="24"/>
      <c r="AV467" s="24"/>
      <c r="AX467" s="29"/>
    </row>
    <row r="468" spans="2:50">
      <c r="B468" s="19"/>
      <c r="K468" s="21"/>
      <c r="T468" s="28"/>
      <c r="AS468" s="24"/>
      <c r="AT468" s="24"/>
      <c r="AU468" s="24"/>
      <c r="AV468" s="24"/>
      <c r="AX468" s="29"/>
    </row>
    <row r="469" spans="2:50">
      <c r="B469" s="19"/>
      <c r="K469" s="21"/>
      <c r="T469" s="28"/>
      <c r="AS469" s="24"/>
      <c r="AT469" s="24"/>
      <c r="AU469" s="24"/>
      <c r="AV469" s="24"/>
      <c r="AX469" s="29"/>
    </row>
    <row r="470" spans="2:50">
      <c r="B470" s="19"/>
      <c r="K470" s="21"/>
      <c r="T470" s="28"/>
      <c r="AS470" s="24"/>
      <c r="AT470" s="24"/>
      <c r="AU470" s="24"/>
      <c r="AV470" s="24"/>
      <c r="AX470" s="29"/>
    </row>
    <row r="471" spans="2:50">
      <c r="B471" s="19"/>
      <c r="K471" s="21"/>
      <c r="T471" s="28"/>
      <c r="AS471" s="24"/>
      <c r="AT471" s="24"/>
      <c r="AU471" s="24"/>
      <c r="AV471" s="24"/>
      <c r="AX471" s="29"/>
    </row>
    <row r="472" spans="2:50">
      <c r="B472" s="19"/>
      <c r="K472" s="21"/>
      <c r="T472" s="28"/>
      <c r="AS472" s="24"/>
      <c r="AT472" s="24"/>
      <c r="AU472" s="24"/>
      <c r="AV472" s="24"/>
      <c r="AX472" s="29"/>
    </row>
    <row r="473" spans="2:50">
      <c r="B473" s="19"/>
      <c r="K473" s="21"/>
      <c r="T473" s="28"/>
      <c r="AS473" s="24"/>
      <c r="AT473" s="24"/>
      <c r="AU473" s="24"/>
      <c r="AV473" s="24"/>
      <c r="AX473" s="29"/>
    </row>
    <row r="474" spans="2:50">
      <c r="B474" s="19"/>
      <c r="K474" s="21"/>
      <c r="T474" s="28"/>
      <c r="AS474" s="24"/>
      <c r="AT474" s="24"/>
      <c r="AU474" s="24"/>
      <c r="AV474" s="24"/>
      <c r="AX474" s="29"/>
    </row>
    <row r="475" spans="2:50">
      <c r="B475" s="19"/>
      <c r="K475" s="21"/>
      <c r="T475" s="28"/>
      <c r="AS475" s="24"/>
      <c r="AT475" s="24"/>
      <c r="AU475" s="24"/>
      <c r="AV475" s="24"/>
      <c r="AX475" s="29"/>
    </row>
    <row r="476" spans="2:50">
      <c r="B476" s="19"/>
      <c r="K476" s="21"/>
      <c r="T476" s="28"/>
      <c r="AS476" s="24"/>
      <c r="AT476" s="24"/>
      <c r="AU476" s="24"/>
      <c r="AV476" s="24"/>
      <c r="AX476" s="29"/>
    </row>
    <row r="477" spans="2:50">
      <c r="B477" s="19"/>
      <c r="K477" s="21"/>
      <c r="T477" s="28"/>
      <c r="AS477" s="24"/>
      <c r="AT477" s="24"/>
      <c r="AU477" s="24"/>
      <c r="AV477" s="24"/>
      <c r="AX477" s="29"/>
    </row>
    <row r="478" spans="2:50">
      <c r="B478" s="19"/>
      <c r="K478" s="21"/>
      <c r="T478" s="28"/>
      <c r="AS478" s="24"/>
      <c r="AT478" s="24"/>
      <c r="AU478" s="24"/>
      <c r="AV478" s="24"/>
      <c r="AX478" s="29"/>
    </row>
    <row r="479" spans="2:50">
      <c r="B479" s="19"/>
      <c r="K479" s="21"/>
      <c r="T479" s="28"/>
      <c r="AS479" s="24"/>
      <c r="AT479" s="24"/>
      <c r="AU479" s="24"/>
      <c r="AV479" s="24"/>
      <c r="AX479" s="29"/>
    </row>
    <row r="480" spans="2:50">
      <c r="B480" s="19"/>
      <c r="K480" s="21"/>
      <c r="T480" s="28"/>
      <c r="AS480" s="24"/>
      <c r="AT480" s="24"/>
      <c r="AU480" s="24"/>
      <c r="AV480" s="24"/>
      <c r="AX480" s="29"/>
    </row>
    <row r="481" spans="2:50">
      <c r="B481" s="19"/>
      <c r="K481" s="21"/>
      <c r="T481" s="28"/>
      <c r="AS481" s="24"/>
      <c r="AT481" s="24"/>
      <c r="AU481" s="24"/>
      <c r="AV481" s="24"/>
      <c r="AX481" s="29"/>
    </row>
    <row r="482" spans="2:50">
      <c r="B482" s="19"/>
      <c r="K482" s="21"/>
      <c r="T482" s="28"/>
      <c r="AS482" s="24"/>
      <c r="AT482" s="24"/>
      <c r="AU482" s="24"/>
      <c r="AV482" s="24"/>
      <c r="AX482" s="29"/>
    </row>
    <row r="483" spans="2:50">
      <c r="B483" s="19"/>
      <c r="K483" s="21"/>
      <c r="T483" s="28"/>
      <c r="AS483" s="24"/>
      <c r="AT483" s="24"/>
      <c r="AU483" s="24"/>
      <c r="AV483" s="24"/>
      <c r="AX483" s="29"/>
    </row>
    <row r="484" spans="2:50">
      <c r="B484" s="19"/>
      <c r="K484" s="21"/>
      <c r="T484" s="28"/>
      <c r="AS484" s="24"/>
      <c r="AT484" s="24"/>
      <c r="AU484" s="24"/>
      <c r="AV484" s="24"/>
      <c r="AX484" s="29"/>
    </row>
    <row r="485" spans="2:50">
      <c r="B485" s="33"/>
      <c r="K485" s="21"/>
      <c r="T485" s="28"/>
      <c r="AS485" s="24"/>
      <c r="AT485" s="24"/>
      <c r="AU485" s="24"/>
      <c r="AV485" s="24"/>
      <c r="AX485" s="29"/>
    </row>
    <row r="486" spans="2:50">
      <c r="B486" s="19"/>
      <c r="K486" s="21"/>
      <c r="T486" s="28"/>
      <c r="AS486" s="24"/>
      <c r="AT486" s="24"/>
      <c r="AU486" s="24"/>
      <c r="AV486" s="24"/>
      <c r="AX486" s="29"/>
    </row>
    <row r="487" spans="2:50">
      <c r="B487" s="19"/>
      <c r="K487" s="21"/>
      <c r="T487" s="28"/>
      <c r="AS487" s="24"/>
      <c r="AT487" s="24"/>
      <c r="AU487" s="24"/>
      <c r="AV487" s="24"/>
      <c r="AX487" s="29"/>
    </row>
    <row r="488" spans="2:50">
      <c r="B488" s="19"/>
      <c r="K488" s="21"/>
      <c r="T488" s="28"/>
      <c r="AS488" s="24"/>
      <c r="AT488" s="24"/>
      <c r="AU488" s="24"/>
      <c r="AV488" s="24"/>
      <c r="AX488" s="29"/>
    </row>
    <row r="489" spans="2:50">
      <c r="B489" s="19"/>
      <c r="K489" s="21"/>
      <c r="T489" s="28"/>
      <c r="AS489" s="24"/>
      <c r="AT489" s="24"/>
      <c r="AU489" s="24"/>
      <c r="AV489" s="24"/>
      <c r="AX489" s="29"/>
    </row>
    <row r="490" spans="2:50">
      <c r="B490" s="19"/>
      <c r="K490" s="21"/>
      <c r="T490" s="28"/>
      <c r="AS490" s="24"/>
      <c r="AT490" s="24"/>
      <c r="AU490" s="24"/>
      <c r="AV490" s="24"/>
      <c r="AX490" s="29"/>
    </row>
    <row r="491" spans="2:50">
      <c r="B491" s="19"/>
      <c r="K491" s="21"/>
      <c r="T491" s="28"/>
      <c r="AS491" s="24"/>
      <c r="AT491" s="24"/>
      <c r="AU491" s="24"/>
      <c r="AV491" s="24"/>
      <c r="AX491" s="29"/>
    </row>
    <row r="492" spans="2:50">
      <c r="B492" s="19"/>
      <c r="K492" s="21"/>
      <c r="T492" s="28"/>
      <c r="AS492" s="24"/>
      <c r="AT492" s="24"/>
      <c r="AU492" s="24"/>
      <c r="AV492" s="24"/>
      <c r="AX492" s="29"/>
    </row>
    <row r="493" spans="2:50">
      <c r="B493" s="19"/>
      <c r="K493" s="21"/>
      <c r="T493" s="28"/>
      <c r="AS493" s="24"/>
      <c r="AT493" s="24"/>
      <c r="AU493" s="24"/>
      <c r="AV493" s="24"/>
      <c r="AX493" s="29"/>
    </row>
    <row r="494" spans="2:50">
      <c r="B494" s="19"/>
      <c r="K494" s="21"/>
      <c r="T494" s="28"/>
      <c r="AS494" s="24"/>
      <c r="AT494" s="24"/>
      <c r="AU494" s="24"/>
      <c r="AV494" s="24"/>
      <c r="AX494" s="29"/>
    </row>
    <row r="495" spans="2:50">
      <c r="B495" s="19"/>
      <c r="K495" s="21"/>
      <c r="T495" s="28"/>
      <c r="AS495" s="24"/>
      <c r="AT495" s="24"/>
      <c r="AU495" s="24"/>
      <c r="AV495" s="24"/>
      <c r="AX495" s="29"/>
    </row>
    <row r="496" spans="2:50">
      <c r="B496" s="19"/>
      <c r="K496" s="21"/>
      <c r="T496" s="28"/>
      <c r="AS496" s="24"/>
      <c r="AT496" s="24"/>
      <c r="AU496" s="24"/>
      <c r="AV496" s="24"/>
      <c r="AX496" s="29"/>
    </row>
    <row r="497" spans="2:50">
      <c r="B497" s="19"/>
      <c r="K497" s="21"/>
      <c r="T497" s="28"/>
      <c r="AS497" s="24"/>
      <c r="AT497" s="24"/>
      <c r="AU497" s="24"/>
      <c r="AV497" s="24"/>
      <c r="AX497" s="29"/>
    </row>
    <row r="498" spans="2:50">
      <c r="B498" s="19"/>
      <c r="K498" s="21"/>
      <c r="T498" s="28"/>
      <c r="AS498" s="24"/>
      <c r="AT498" s="24"/>
      <c r="AU498" s="24"/>
      <c r="AV498" s="24"/>
      <c r="AX498" s="29"/>
    </row>
    <row r="499" spans="2:50">
      <c r="B499" s="19"/>
      <c r="K499" s="21"/>
      <c r="T499" s="28"/>
      <c r="AS499" s="24"/>
      <c r="AT499" s="24"/>
      <c r="AU499" s="24"/>
      <c r="AV499" s="24"/>
      <c r="AX499" s="29"/>
    </row>
    <row r="500" spans="2:50">
      <c r="B500" s="19"/>
      <c r="K500" s="21"/>
      <c r="T500" s="28"/>
      <c r="AS500" s="24"/>
      <c r="AT500" s="24"/>
      <c r="AU500" s="24"/>
      <c r="AV500" s="24"/>
      <c r="AX500" s="29"/>
    </row>
    <row r="501" spans="2:50">
      <c r="B501" s="19"/>
      <c r="K501" s="21"/>
      <c r="T501" s="28"/>
      <c r="AS501" s="24"/>
      <c r="AT501" s="24"/>
      <c r="AU501" s="24"/>
      <c r="AV501" s="24"/>
      <c r="AX501" s="29"/>
    </row>
    <row r="502" spans="2:50">
      <c r="B502" s="19"/>
      <c r="K502" s="21"/>
      <c r="T502" s="28"/>
      <c r="AS502" s="24"/>
      <c r="AT502" s="24"/>
      <c r="AU502" s="24"/>
      <c r="AV502" s="24"/>
      <c r="AX502" s="29"/>
    </row>
    <row r="503" spans="2:50">
      <c r="B503" s="19"/>
      <c r="K503" s="21"/>
      <c r="T503" s="28"/>
      <c r="AS503" s="24"/>
      <c r="AT503" s="24"/>
      <c r="AU503" s="24"/>
      <c r="AV503" s="24"/>
      <c r="AX503" s="29"/>
    </row>
    <row r="504" spans="2:50">
      <c r="B504" s="19"/>
      <c r="K504" s="21"/>
      <c r="T504" s="28"/>
      <c r="AS504" s="24"/>
      <c r="AT504" s="24"/>
      <c r="AU504" s="24"/>
      <c r="AV504" s="24"/>
      <c r="AX504" s="29"/>
    </row>
    <row r="505" spans="2:50">
      <c r="B505" s="19"/>
      <c r="K505" s="21"/>
      <c r="T505" s="28"/>
      <c r="AS505" s="24"/>
      <c r="AT505" s="24"/>
      <c r="AU505" s="24"/>
      <c r="AV505" s="24"/>
      <c r="AX505" s="29"/>
    </row>
    <row r="506" spans="2:50">
      <c r="B506" s="19"/>
      <c r="K506" s="21"/>
      <c r="T506" s="28"/>
      <c r="AS506" s="24"/>
      <c r="AT506" s="24"/>
      <c r="AU506" s="24"/>
      <c r="AV506" s="24"/>
      <c r="AX506" s="29"/>
    </row>
    <row r="507" spans="2:50">
      <c r="B507" s="19"/>
      <c r="K507" s="21"/>
      <c r="T507" s="28"/>
      <c r="AS507" s="24"/>
      <c r="AT507" s="24"/>
      <c r="AU507" s="24"/>
      <c r="AV507" s="24"/>
      <c r="AX507" s="29"/>
    </row>
    <row r="508" spans="2:50">
      <c r="B508" s="19"/>
      <c r="K508" s="21"/>
      <c r="T508" s="28"/>
      <c r="AS508" s="24"/>
      <c r="AT508" s="24"/>
      <c r="AU508" s="24"/>
      <c r="AV508" s="24"/>
      <c r="AX508" s="29"/>
    </row>
    <row r="509" spans="2:50">
      <c r="B509" s="19"/>
      <c r="K509" s="21"/>
      <c r="T509" s="28"/>
      <c r="AS509" s="24"/>
      <c r="AT509" s="24"/>
      <c r="AU509" s="24"/>
      <c r="AV509" s="24"/>
      <c r="AX509" s="29"/>
    </row>
    <row r="510" spans="2:50">
      <c r="B510" s="19"/>
      <c r="K510" s="21"/>
      <c r="T510" s="28"/>
      <c r="AS510" s="24"/>
      <c r="AT510" s="24"/>
      <c r="AU510" s="24"/>
      <c r="AV510" s="24"/>
      <c r="AX510" s="29"/>
    </row>
    <row r="511" spans="2:50">
      <c r="B511" s="19"/>
      <c r="K511" s="21"/>
      <c r="T511" s="28"/>
      <c r="AS511" s="24"/>
      <c r="AT511" s="24"/>
      <c r="AU511" s="24"/>
      <c r="AV511" s="24"/>
      <c r="AX511" s="29"/>
    </row>
    <row r="512" spans="2:50">
      <c r="B512" s="19"/>
      <c r="K512" s="21"/>
      <c r="T512" s="28"/>
      <c r="AS512" s="24"/>
      <c r="AT512" s="24"/>
      <c r="AU512" s="24"/>
      <c r="AV512" s="24"/>
      <c r="AX512" s="29"/>
    </row>
    <row r="513" spans="2:50">
      <c r="B513" s="19"/>
      <c r="K513" s="21"/>
      <c r="T513" s="28"/>
      <c r="AS513" s="24"/>
      <c r="AT513" s="24"/>
      <c r="AU513" s="24"/>
      <c r="AV513" s="24"/>
      <c r="AX513" s="29"/>
    </row>
    <row r="514" spans="2:50">
      <c r="B514" s="19"/>
      <c r="K514" s="21"/>
      <c r="T514" s="28"/>
      <c r="AS514" s="24"/>
      <c r="AT514" s="24"/>
      <c r="AU514" s="24"/>
      <c r="AV514" s="24"/>
      <c r="AX514" s="29"/>
    </row>
    <row r="515" spans="2:50">
      <c r="B515" s="19"/>
      <c r="K515" s="21"/>
      <c r="T515" s="28"/>
      <c r="AS515" s="24"/>
      <c r="AT515" s="24"/>
      <c r="AU515" s="24"/>
      <c r="AV515" s="24"/>
      <c r="AX515" s="29"/>
    </row>
    <row r="516" spans="2:50">
      <c r="B516" s="19"/>
      <c r="K516" s="21"/>
      <c r="T516" s="28"/>
      <c r="AS516" s="24"/>
      <c r="AT516" s="24"/>
      <c r="AU516" s="24"/>
      <c r="AV516" s="24"/>
      <c r="AX516" s="29"/>
    </row>
    <row r="517" spans="2:50">
      <c r="B517" s="19"/>
      <c r="K517" s="21"/>
      <c r="T517" s="28"/>
      <c r="AS517" s="24"/>
      <c r="AT517" s="24"/>
      <c r="AU517" s="24"/>
      <c r="AV517" s="24"/>
      <c r="AX517" s="29"/>
    </row>
    <row r="518" spans="2:50">
      <c r="B518" s="19"/>
      <c r="K518" s="21"/>
      <c r="T518" s="28"/>
      <c r="AS518" s="24"/>
      <c r="AT518" s="24"/>
      <c r="AU518" s="24"/>
      <c r="AV518" s="24"/>
      <c r="AX518" s="29"/>
    </row>
    <row r="519" spans="2:50">
      <c r="B519" s="19"/>
      <c r="K519" s="21"/>
      <c r="T519" s="28"/>
      <c r="AS519" s="24"/>
      <c r="AT519" s="24"/>
      <c r="AU519" s="24"/>
      <c r="AV519" s="24"/>
      <c r="AX519" s="29"/>
    </row>
    <row r="520" spans="2:50">
      <c r="B520" s="19"/>
      <c r="K520" s="21"/>
      <c r="T520" s="28"/>
      <c r="AS520" s="24"/>
      <c r="AT520" s="24"/>
      <c r="AU520" s="24"/>
      <c r="AV520" s="24"/>
      <c r="AX520" s="29"/>
    </row>
    <row r="521" spans="2:50">
      <c r="B521" s="19"/>
      <c r="K521" s="21"/>
      <c r="T521" s="28"/>
      <c r="AS521" s="24"/>
      <c r="AT521" s="24"/>
      <c r="AU521" s="24"/>
      <c r="AV521" s="24"/>
      <c r="AX521" s="29"/>
    </row>
    <row r="522" spans="2:50">
      <c r="B522" s="19"/>
      <c r="K522" s="21"/>
      <c r="T522" s="28"/>
      <c r="AS522" s="24"/>
      <c r="AT522" s="24"/>
      <c r="AU522" s="24"/>
      <c r="AV522" s="24"/>
      <c r="AX522" s="29"/>
    </row>
    <row r="523" spans="2:50">
      <c r="B523" s="19"/>
      <c r="K523" s="21"/>
      <c r="T523" s="28"/>
      <c r="AS523" s="24"/>
      <c r="AT523" s="24"/>
      <c r="AU523" s="24"/>
      <c r="AV523" s="24"/>
      <c r="AX523" s="29"/>
    </row>
    <row r="524" spans="2:50">
      <c r="B524" s="19"/>
      <c r="K524" s="21"/>
      <c r="T524" s="28"/>
      <c r="AS524" s="24"/>
      <c r="AT524" s="24"/>
      <c r="AU524" s="24"/>
      <c r="AV524" s="24"/>
      <c r="AX524" s="29"/>
    </row>
    <row r="525" spans="2:50">
      <c r="B525" s="19"/>
      <c r="K525" s="21"/>
      <c r="T525" s="28"/>
      <c r="AS525" s="24"/>
      <c r="AT525" s="24"/>
      <c r="AU525" s="24"/>
      <c r="AV525" s="24"/>
      <c r="AX525" s="29"/>
    </row>
    <row r="526" spans="2:50">
      <c r="B526" s="19"/>
      <c r="K526" s="21"/>
      <c r="T526" s="28"/>
      <c r="AS526" s="24"/>
      <c r="AT526" s="24"/>
      <c r="AU526" s="24"/>
      <c r="AV526" s="24"/>
      <c r="AX526" s="29"/>
    </row>
    <row r="527" spans="2:50">
      <c r="B527" s="19"/>
      <c r="K527" s="21"/>
      <c r="T527" s="28"/>
      <c r="AS527" s="24"/>
      <c r="AT527" s="24"/>
      <c r="AU527" s="24"/>
      <c r="AV527" s="24"/>
      <c r="AX527" s="29"/>
    </row>
    <row r="528" spans="2:50">
      <c r="B528" s="19"/>
      <c r="K528" s="21"/>
      <c r="T528" s="28"/>
      <c r="AS528" s="24"/>
      <c r="AT528" s="24"/>
      <c r="AU528" s="24"/>
      <c r="AV528" s="24"/>
      <c r="AX528" s="29"/>
    </row>
    <row r="529" spans="2:50">
      <c r="B529" s="19"/>
      <c r="K529" s="21"/>
      <c r="T529" s="28"/>
      <c r="AS529" s="24"/>
      <c r="AT529" s="24"/>
      <c r="AU529" s="24"/>
      <c r="AV529" s="24"/>
      <c r="AX529" s="29"/>
    </row>
    <row r="530" spans="2:50">
      <c r="B530" s="19"/>
      <c r="K530" s="21"/>
      <c r="T530" s="28"/>
      <c r="AS530" s="24"/>
      <c r="AT530" s="24"/>
      <c r="AU530" s="24"/>
      <c r="AV530" s="24"/>
      <c r="AX530" s="29"/>
    </row>
    <row r="531" spans="2:50">
      <c r="B531" s="19"/>
      <c r="K531" s="21"/>
      <c r="T531" s="28"/>
      <c r="AS531" s="24"/>
      <c r="AT531" s="24"/>
      <c r="AU531" s="24"/>
      <c r="AV531" s="24"/>
      <c r="AX531" s="29"/>
    </row>
    <row r="532" spans="2:50">
      <c r="B532" s="19"/>
      <c r="K532" s="21"/>
      <c r="T532" s="28"/>
      <c r="AS532" s="24"/>
      <c r="AT532" s="24"/>
      <c r="AU532" s="24"/>
      <c r="AV532" s="24"/>
      <c r="AX532" s="29"/>
    </row>
    <row r="533" spans="2:50">
      <c r="B533" s="19"/>
      <c r="K533" s="21"/>
      <c r="T533" s="28"/>
      <c r="AS533" s="24"/>
      <c r="AT533" s="24"/>
      <c r="AU533" s="24"/>
      <c r="AV533" s="24"/>
      <c r="AX533" s="29"/>
    </row>
    <row r="534" spans="2:50">
      <c r="B534" s="19"/>
      <c r="K534" s="21"/>
      <c r="T534" s="28"/>
      <c r="AS534" s="24"/>
      <c r="AT534" s="24"/>
      <c r="AU534" s="24"/>
      <c r="AV534" s="24"/>
      <c r="AX534" s="29"/>
    </row>
    <row r="535" spans="2:50">
      <c r="B535" s="19"/>
      <c r="K535" s="21"/>
      <c r="T535" s="28"/>
      <c r="AS535" s="24"/>
      <c r="AT535" s="24"/>
      <c r="AU535" s="24"/>
      <c r="AV535" s="24"/>
      <c r="AX535" s="29"/>
    </row>
    <row r="536" spans="2:50">
      <c r="B536" s="19"/>
      <c r="K536" s="21"/>
      <c r="T536" s="28"/>
      <c r="AS536" s="24"/>
      <c r="AT536" s="24"/>
      <c r="AU536" s="24"/>
      <c r="AV536" s="24"/>
      <c r="AX536" s="29"/>
    </row>
    <row r="537" spans="2:50">
      <c r="B537" s="19"/>
      <c r="K537" s="21"/>
      <c r="T537" s="28"/>
      <c r="AS537" s="24"/>
      <c r="AT537" s="24"/>
      <c r="AU537" s="24"/>
      <c r="AV537" s="24"/>
      <c r="AX537" s="29"/>
    </row>
    <row r="538" spans="2:50">
      <c r="B538" s="19"/>
      <c r="K538" s="21"/>
      <c r="T538" s="28"/>
      <c r="AS538" s="24"/>
      <c r="AT538" s="24"/>
      <c r="AU538" s="24"/>
      <c r="AV538" s="24"/>
      <c r="AX538" s="29"/>
    </row>
    <row r="539" spans="2:50">
      <c r="B539" s="19"/>
      <c r="K539" s="21"/>
      <c r="T539" s="28"/>
      <c r="AS539" s="24"/>
      <c r="AT539" s="24"/>
      <c r="AU539" s="24"/>
      <c r="AV539" s="24"/>
      <c r="AX539" s="29"/>
    </row>
    <row r="540" spans="2:50">
      <c r="B540" s="19"/>
      <c r="K540" s="21"/>
      <c r="T540" s="28"/>
      <c r="AS540" s="24"/>
      <c r="AT540" s="24"/>
      <c r="AU540" s="24"/>
      <c r="AV540" s="24"/>
      <c r="AX540" s="29"/>
    </row>
    <row r="541" spans="2:50">
      <c r="B541" s="19"/>
      <c r="K541" s="21"/>
      <c r="T541" s="28"/>
      <c r="AS541" s="24"/>
      <c r="AT541" s="24"/>
      <c r="AU541" s="24"/>
      <c r="AV541" s="24"/>
      <c r="AX541" s="29"/>
    </row>
    <row r="542" spans="2:50">
      <c r="B542" s="19"/>
      <c r="K542" s="21"/>
      <c r="T542" s="28"/>
      <c r="AS542" s="24"/>
      <c r="AT542" s="24"/>
      <c r="AU542" s="24"/>
      <c r="AV542" s="24"/>
      <c r="AX542" s="29"/>
    </row>
    <row r="543" spans="2:50">
      <c r="B543" s="19"/>
      <c r="K543" s="21"/>
      <c r="T543" s="28"/>
      <c r="AS543" s="24"/>
      <c r="AT543" s="24"/>
      <c r="AU543" s="24"/>
      <c r="AV543" s="24"/>
      <c r="AX543" s="29"/>
    </row>
    <row r="544" spans="2:50">
      <c r="B544" s="19"/>
      <c r="K544" s="21"/>
      <c r="T544" s="28"/>
      <c r="AS544" s="24"/>
      <c r="AT544" s="24"/>
      <c r="AU544" s="24"/>
      <c r="AV544" s="24"/>
      <c r="AX544" s="29"/>
    </row>
    <row r="545" spans="2:50">
      <c r="B545" s="19"/>
      <c r="K545" s="21"/>
      <c r="T545" s="28"/>
      <c r="AS545" s="24"/>
      <c r="AT545" s="24"/>
      <c r="AU545" s="24"/>
      <c r="AV545" s="24"/>
      <c r="AX545" s="29"/>
    </row>
    <row r="546" spans="2:50">
      <c r="B546" s="19"/>
      <c r="K546" s="21"/>
      <c r="T546" s="28"/>
      <c r="AS546" s="24"/>
      <c r="AT546" s="24"/>
      <c r="AU546" s="24"/>
      <c r="AV546" s="24"/>
      <c r="AX546" s="29"/>
    </row>
    <row r="547" spans="2:50">
      <c r="B547" s="19"/>
      <c r="K547" s="21"/>
      <c r="T547" s="28"/>
      <c r="AS547" s="24"/>
      <c r="AT547" s="24"/>
      <c r="AU547" s="24"/>
      <c r="AV547" s="24"/>
      <c r="AX547" s="29"/>
    </row>
    <row r="548" spans="2:50">
      <c r="B548" s="19"/>
      <c r="K548" s="21"/>
      <c r="T548" s="28"/>
      <c r="AS548" s="24"/>
      <c r="AT548" s="24"/>
      <c r="AU548" s="24"/>
      <c r="AV548" s="24"/>
      <c r="AX548" s="29"/>
    </row>
    <row r="549" spans="2:50">
      <c r="B549" s="19"/>
      <c r="K549" s="21"/>
      <c r="T549" s="28"/>
      <c r="AS549" s="24"/>
      <c r="AT549" s="24"/>
      <c r="AU549" s="24"/>
      <c r="AV549" s="24"/>
      <c r="AX549" s="29"/>
    </row>
    <row r="550" spans="2:50">
      <c r="B550" s="19"/>
      <c r="K550" s="21"/>
      <c r="T550" s="28"/>
      <c r="AS550" s="24"/>
      <c r="AT550" s="24"/>
      <c r="AU550" s="24"/>
      <c r="AV550" s="24"/>
      <c r="AX550" s="29"/>
    </row>
    <row r="551" spans="2:50">
      <c r="B551" s="19"/>
      <c r="K551" s="21"/>
      <c r="T551" s="28"/>
      <c r="AS551" s="24"/>
      <c r="AT551" s="24"/>
      <c r="AU551" s="24"/>
      <c r="AV551" s="24"/>
      <c r="AX551" s="29"/>
    </row>
    <row r="552" spans="2:50">
      <c r="B552" s="19"/>
      <c r="K552" s="21"/>
      <c r="T552" s="28"/>
      <c r="AS552" s="24"/>
      <c r="AT552" s="24"/>
      <c r="AU552" s="24"/>
      <c r="AV552" s="24"/>
      <c r="AX552" s="29"/>
    </row>
    <row r="553" spans="2:50">
      <c r="B553" s="19"/>
      <c r="K553" s="21"/>
      <c r="T553" s="28"/>
      <c r="AS553" s="24"/>
      <c r="AT553" s="24"/>
      <c r="AU553" s="24"/>
      <c r="AV553" s="24"/>
      <c r="AX553" s="29"/>
    </row>
    <row r="554" spans="2:50">
      <c r="B554" s="19"/>
      <c r="K554" s="21"/>
      <c r="T554" s="28"/>
      <c r="AS554" s="24"/>
      <c r="AT554" s="24"/>
      <c r="AU554" s="24"/>
      <c r="AV554" s="24"/>
      <c r="AX554" s="29"/>
    </row>
    <row r="555" spans="2:50">
      <c r="B555" s="19"/>
      <c r="K555" s="21"/>
      <c r="T555" s="28"/>
      <c r="AS555" s="24"/>
      <c r="AT555" s="24"/>
      <c r="AU555" s="24"/>
      <c r="AV555" s="24"/>
      <c r="AX555" s="29"/>
    </row>
    <row r="556" spans="2:50">
      <c r="B556" s="19"/>
      <c r="K556" s="21"/>
      <c r="T556" s="28"/>
      <c r="AS556" s="24"/>
      <c r="AT556" s="24"/>
      <c r="AU556" s="24"/>
      <c r="AV556" s="24"/>
      <c r="AX556" s="29"/>
    </row>
    <row r="557" spans="2:50">
      <c r="B557" s="19"/>
      <c r="K557" s="21"/>
      <c r="T557" s="28"/>
      <c r="AS557" s="24"/>
      <c r="AT557" s="24"/>
      <c r="AU557" s="24"/>
      <c r="AV557" s="24"/>
      <c r="AX557" s="29"/>
    </row>
    <row r="558" spans="2:50">
      <c r="B558" s="19"/>
      <c r="K558" s="21"/>
      <c r="T558" s="28"/>
      <c r="AS558" s="24"/>
      <c r="AT558" s="24"/>
      <c r="AU558" s="24"/>
      <c r="AV558" s="24"/>
      <c r="AX558" s="29"/>
    </row>
    <row r="559" spans="2:50">
      <c r="B559" s="19"/>
      <c r="K559" s="21"/>
      <c r="T559" s="28"/>
      <c r="AS559" s="24"/>
      <c r="AT559" s="24"/>
      <c r="AU559" s="24"/>
      <c r="AV559" s="24"/>
      <c r="AX559" s="29"/>
    </row>
    <row r="560" spans="2:50">
      <c r="B560" s="19"/>
      <c r="K560" s="21"/>
      <c r="T560" s="28"/>
      <c r="AS560" s="24"/>
      <c r="AT560" s="24"/>
      <c r="AU560" s="24"/>
      <c r="AV560" s="24"/>
      <c r="AX560" s="29"/>
    </row>
    <row r="561" spans="2:50">
      <c r="B561" s="19"/>
      <c r="K561" s="21"/>
      <c r="T561" s="28"/>
      <c r="AS561" s="24"/>
      <c r="AT561" s="24"/>
      <c r="AU561" s="24"/>
      <c r="AV561" s="24"/>
      <c r="AX561" s="29"/>
    </row>
    <row r="562" spans="2:50">
      <c r="B562" s="19"/>
      <c r="K562" s="21"/>
      <c r="T562" s="28"/>
      <c r="AS562" s="24"/>
      <c r="AT562" s="24"/>
      <c r="AU562" s="24"/>
      <c r="AV562" s="24"/>
      <c r="AX562" s="29"/>
    </row>
    <row r="563" spans="2:50">
      <c r="B563" s="19"/>
      <c r="K563" s="21"/>
      <c r="T563" s="28"/>
      <c r="AS563" s="24"/>
      <c r="AT563" s="24"/>
      <c r="AU563" s="24"/>
      <c r="AV563" s="24"/>
      <c r="AX563" s="29"/>
    </row>
    <row r="564" spans="2:50">
      <c r="B564" s="19"/>
      <c r="K564" s="21"/>
      <c r="T564" s="28"/>
      <c r="AS564" s="24"/>
      <c r="AT564" s="24"/>
      <c r="AU564" s="24"/>
      <c r="AV564" s="24"/>
      <c r="AX564" s="29"/>
    </row>
    <row r="565" spans="2:50">
      <c r="B565" s="19"/>
      <c r="K565" s="21"/>
      <c r="T565" s="28"/>
      <c r="AS565" s="24"/>
      <c r="AT565" s="24"/>
      <c r="AU565" s="24"/>
      <c r="AV565" s="24"/>
      <c r="AX565" s="29"/>
    </row>
    <row r="566" spans="2:50">
      <c r="B566" s="19"/>
      <c r="K566" s="21"/>
      <c r="T566" s="28"/>
      <c r="AS566" s="24"/>
      <c r="AT566" s="24"/>
      <c r="AU566" s="24"/>
      <c r="AV566" s="24"/>
      <c r="AX566" s="29"/>
    </row>
    <row r="567" spans="2:50">
      <c r="B567" s="19"/>
      <c r="K567" s="21"/>
      <c r="T567" s="28"/>
      <c r="AS567" s="24"/>
      <c r="AT567" s="24"/>
      <c r="AU567" s="24"/>
      <c r="AV567" s="24"/>
      <c r="AX567" s="29"/>
    </row>
    <row r="568" spans="2:50">
      <c r="B568" s="19"/>
      <c r="K568" s="21"/>
      <c r="T568" s="28"/>
      <c r="AS568" s="24"/>
      <c r="AT568" s="24"/>
      <c r="AU568" s="24"/>
      <c r="AV568" s="24"/>
      <c r="AX568" s="29"/>
    </row>
    <row r="569" spans="2:50">
      <c r="B569" s="19"/>
      <c r="K569" s="21"/>
      <c r="T569" s="28"/>
      <c r="AS569" s="24"/>
      <c r="AT569" s="24"/>
      <c r="AU569" s="24"/>
      <c r="AV569" s="24"/>
      <c r="AX569" s="29"/>
    </row>
    <row r="570" spans="2:50">
      <c r="B570" s="19"/>
      <c r="K570" s="21"/>
      <c r="T570" s="28"/>
      <c r="AS570" s="24"/>
      <c r="AT570" s="24"/>
      <c r="AU570" s="24"/>
      <c r="AV570" s="24"/>
      <c r="AX570" s="29"/>
    </row>
    <row r="571" spans="2:50">
      <c r="B571" s="19"/>
      <c r="K571" s="21"/>
      <c r="T571" s="28"/>
      <c r="AS571" s="24"/>
      <c r="AT571" s="24"/>
      <c r="AU571" s="24"/>
      <c r="AV571" s="24"/>
      <c r="AX571" s="29"/>
    </row>
    <row r="572" spans="2:50">
      <c r="B572" s="19"/>
      <c r="K572" s="21"/>
      <c r="T572" s="28"/>
      <c r="AS572" s="24"/>
      <c r="AT572" s="24"/>
      <c r="AU572" s="24"/>
      <c r="AV572" s="24"/>
      <c r="AX572" s="29"/>
    </row>
    <row r="573" spans="2:50">
      <c r="B573" s="19"/>
      <c r="K573" s="21"/>
      <c r="T573" s="28"/>
      <c r="AS573" s="24"/>
      <c r="AT573" s="24"/>
      <c r="AU573" s="24"/>
      <c r="AV573" s="24"/>
      <c r="AX573" s="29"/>
    </row>
    <row r="574" spans="2:50">
      <c r="B574" s="19"/>
      <c r="K574" s="21"/>
      <c r="T574" s="28"/>
      <c r="AS574" s="24"/>
      <c r="AT574" s="24"/>
      <c r="AU574" s="24"/>
      <c r="AV574" s="24"/>
      <c r="AX574" s="29"/>
    </row>
    <row r="575" spans="2:50">
      <c r="B575" s="19"/>
      <c r="K575" s="21"/>
      <c r="T575" s="28"/>
      <c r="AS575" s="24"/>
      <c r="AT575" s="24"/>
      <c r="AU575" s="24"/>
      <c r="AV575" s="24"/>
      <c r="AX575" s="29"/>
    </row>
    <row r="576" spans="2:50">
      <c r="B576" s="19"/>
      <c r="K576" s="21"/>
      <c r="T576" s="28"/>
      <c r="AS576" s="24"/>
      <c r="AT576" s="24"/>
      <c r="AU576" s="24"/>
      <c r="AV576" s="24"/>
      <c r="AX576" s="29"/>
    </row>
    <row r="577" spans="2:50">
      <c r="B577" s="19"/>
      <c r="K577" s="21"/>
      <c r="T577" s="28"/>
      <c r="AS577" s="24"/>
      <c r="AT577" s="24"/>
      <c r="AU577" s="24"/>
      <c r="AV577" s="24"/>
      <c r="AX577" s="29"/>
    </row>
    <row r="578" spans="2:50">
      <c r="B578" s="19"/>
      <c r="K578" s="21"/>
      <c r="T578" s="28"/>
      <c r="AS578" s="24"/>
      <c r="AT578" s="24"/>
      <c r="AU578" s="24"/>
      <c r="AV578" s="24"/>
      <c r="AX578" s="29"/>
    </row>
    <row r="579" spans="2:50">
      <c r="B579" s="19"/>
      <c r="K579" s="21"/>
      <c r="T579" s="28"/>
      <c r="AS579" s="24"/>
      <c r="AT579" s="24"/>
      <c r="AU579" s="24"/>
      <c r="AV579" s="24"/>
      <c r="AX579" s="29"/>
    </row>
    <row r="580" spans="2:50">
      <c r="B580" s="19"/>
      <c r="K580" s="21"/>
      <c r="T580" s="28"/>
      <c r="AS580" s="24"/>
      <c r="AT580" s="24"/>
      <c r="AU580" s="24"/>
      <c r="AV580" s="24"/>
      <c r="AX580" s="29"/>
    </row>
    <row r="581" spans="2:50">
      <c r="B581" s="19"/>
      <c r="K581" s="21"/>
      <c r="T581" s="28"/>
      <c r="AS581" s="24"/>
      <c r="AT581" s="24"/>
      <c r="AU581" s="24"/>
      <c r="AV581" s="24"/>
      <c r="AX581" s="29"/>
    </row>
    <row r="582" spans="2:50">
      <c r="B582" s="19"/>
      <c r="K582" s="21"/>
      <c r="T582" s="28"/>
      <c r="AS582" s="24"/>
      <c r="AT582" s="24"/>
      <c r="AU582" s="24"/>
      <c r="AV582" s="24"/>
      <c r="AX582" s="29"/>
    </row>
    <row r="583" spans="2:50">
      <c r="B583" s="19"/>
      <c r="K583" s="21"/>
      <c r="T583" s="28"/>
      <c r="AS583" s="24"/>
      <c r="AT583" s="24"/>
      <c r="AU583" s="24"/>
      <c r="AV583" s="24"/>
      <c r="AX583" s="29"/>
    </row>
    <row r="584" spans="2:50">
      <c r="B584" s="19"/>
      <c r="K584" s="21"/>
      <c r="T584" s="28"/>
      <c r="AS584" s="24"/>
      <c r="AT584" s="24"/>
      <c r="AU584" s="24"/>
      <c r="AV584" s="24"/>
      <c r="AX584" s="29"/>
    </row>
    <row r="585" spans="2:50">
      <c r="B585" s="19"/>
      <c r="K585" s="21"/>
      <c r="T585" s="28"/>
      <c r="AS585" s="24"/>
      <c r="AT585" s="24"/>
      <c r="AU585" s="24"/>
      <c r="AV585" s="24"/>
      <c r="AX585" s="29"/>
    </row>
    <row r="586" spans="2:50">
      <c r="B586" s="19"/>
      <c r="K586" s="21"/>
      <c r="T586" s="28"/>
      <c r="AS586" s="24"/>
      <c r="AT586" s="24"/>
      <c r="AU586" s="24"/>
      <c r="AV586" s="24"/>
      <c r="AX586" s="29"/>
    </row>
    <row r="587" spans="2:50">
      <c r="B587" s="19"/>
      <c r="K587" s="21"/>
      <c r="T587" s="28"/>
      <c r="AS587" s="24"/>
      <c r="AT587" s="24"/>
      <c r="AU587" s="24"/>
      <c r="AV587" s="24"/>
      <c r="AX587" s="29"/>
    </row>
    <row r="588" spans="2:50">
      <c r="B588" s="19"/>
      <c r="K588" s="21"/>
      <c r="T588" s="28"/>
      <c r="AS588" s="24"/>
      <c r="AT588" s="24"/>
      <c r="AU588" s="24"/>
      <c r="AV588" s="24"/>
      <c r="AX588" s="29"/>
    </row>
    <row r="589" spans="2:50">
      <c r="B589" s="19"/>
      <c r="K589" s="21"/>
      <c r="T589" s="28"/>
      <c r="AS589" s="24"/>
      <c r="AT589" s="24"/>
      <c r="AU589" s="24"/>
      <c r="AV589" s="24"/>
      <c r="AX589" s="29"/>
    </row>
    <row r="590" spans="2:50">
      <c r="B590" s="19"/>
      <c r="K590" s="21"/>
      <c r="T590" s="28"/>
      <c r="AS590" s="24"/>
      <c r="AT590" s="24"/>
      <c r="AU590" s="24"/>
      <c r="AV590" s="24"/>
      <c r="AX590" s="29"/>
    </row>
    <row r="591" spans="2:50">
      <c r="B591" s="19"/>
      <c r="K591" s="21"/>
      <c r="T591" s="28"/>
      <c r="AS591" s="24"/>
      <c r="AT591" s="24"/>
      <c r="AU591" s="24"/>
      <c r="AV591" s="24"/>
      <c r="AX591" s="29"/>
    </row>
    <row r="592" spans="2:50">
      <c r="B592" s="19"/>
      <c r="K592" s="21"/>
      <c r="T592" s="28"/>
      <c r="AS592" s="24"/>
      <c r="AT592" s="24"/>
      <c r="AU592" s="24"/>
      <c r="AV592" s="24"/>
      <c r="AX592" s="29"/>
    </row>
    <row r="593" spans="2:50">
      <c r="B593" s="19"/>
      <c r="K593" s="21"/>
      <c r="T593" s="28"/>
      <c r="AS593" s="24"/>
      <c r="AT593" s="24"/>
      <c r="AU593" s="24"/>
      <c r="AV593" s="24"/>
      <c r="AX593" s="29"/>
    </row>
    <row r="594" spans="2:50">
      <c r="B594" s="19"/>
      <c r="K594" s="21"/>
      <c r="T594" s="28"/>
      <c r="AS594" s="24"/>
      <c r="AT594" s="24"/>
      <c r="AU594" s="24"/>
      <c r="AV594" s="24"/>
      <c r="AX594" s="29"/>
    </row>
    <row r="595" spans="2:50">
      <c r="B595" s="19"/>
      <c r="K595" s="21"/>
      <c r="T595" s="28"/>
      <c r="AS595" s="24"/>
      <c r="AT595" s="24"/>
      <c r="AU595" s="24"/>
      <c r="AV595" s="24"/>
      <c r="AX595" s="29"/>
    </row>
    <row r="596" spans="2:50">
      <c r="B596" s="19"/>
      <c r="K596" s="21"/>
      <c r="T596" s="28"/>
      <c r="AS596" s="24"/>
      <c r="AT596" s="24"/>
      <c r="AU596" s="24"/>
      <c r="AV596" s="24"/>
      <c r="AX596" s="29"/>
    </row>
    <row r="597" spans="2:50">
      <c r="B597" s="19"/>
      <c r="K597" s="21"/>
      <c r="T597" s="28"/>
      <c r="AS597" s="24"/>
      <c r="AT597" s="24"/>
      <c r="AU597" s="24"/>
      <c r="AV597" s="24"/>
      <c r="AX597" s="29"/>
    </row>
    <row r="598" spans="2:50">
      <c r="B598" s="19"/>
      <c r="K598" s="21"/>
      <c r="T598" s="28"/>
      <c r="AS598" s="24"/>
      <c r="AT598" s="24"/>
      <c r="AU598" s="24"/>
      <c r="AV598" s="24"/>
      <c r="AX598" s="29"/>
    </row>
    <row r="599" spans="2:50">
      <c r="B599" s="19"/>
      <c r="K599" s="21"/>
      <c r="T599" s="28"/>
      <c r="AS599" s="24"/>
      <c r="AT599" s="24"/>
      <c r="AU599" s="24"/>
      <c r="AV599" s="24"/>
      <c r="AX599" s="29"/>
    </row>
    <row r="600" spans="2:50">
      <c r="B600" s="19"/>
      <c r="K600" s="21"/>
      <c r="T600" s="28"/>
      <c r="AS600" s="24"/>
      <c r="AT600" s="24"/>
      <c r="AU600" s="24"/>
      <c r="AV600" s="24"/>
      <c r="AX600" s="29"/>
    </row>
    <row r="601" spans="2:50">
      <c r="B601" s="19"/>
      <c r="K601" s="21"/>
      <c r="T601" s="28"/>
      <c r="AS601" s="24"/>
      <c r="AT601" s="24"/>
      <c r="AU601" s="24"/>
      <c r="AV601" s="24"/>
      <c r="AX601" s="29"/>
    </row>
    <row r="602" spans="2:50">
      <c r="B602" s="19"/>
      <c r="K602" s="21"/>
      <c r="T602" s="28"/>
      <c r="AS602" s="24"/>
      <c r="AT602" s="24"/>
      <c r="AU602" s="24"/>
      <c r="AV602" s="24"/>
      <c r="AX602" s="29"/>
    </row>
    <row r="603" spans="2:50">
      <c r="B603" s="19"/>
      <c r="K603" s="21"/>
      <c r="T603" s="28"/>
      <c r="AS603" s="24"/>
      <c r="AT603" s="24"/>
      <c r="AU603" s="24"/>
      <c r="AV603" s="24"/>
      <c r="AX603" s="29"/>
    </row>
    <row r="604" spans="2:50">
      <c r="B604" s="19"/>
      <c r="K604" s="21"/>
      <c r="T604" s="28"/>
      <c r="AS604" s="24"/>
      <c r="AT604" s="24"/>
      <c r="AU604" s="24"/>
      <c r="AV604" s="24"/>
      <c r="AX604" s="29"/>
    </row>
    <row r="605" spans="2:50">
      <c r="B605" s="19"/>
      <c r="K605" s="21"/>
      <c r="T605" s="28"/>
      <c r="AS605" s="24"/>
      <c r="AT605" s="24"/>
      <c r="AU605" s="24"/>
      <c r="AV605" s="24"/>
      <c r="AX605" s="29"/>
    </row>
    <row r="606" spans="2:50">
      <c r="B606" s="19"/>
      <c r="K606" s="21"/>
      <c r="T606" s="28"/>
      <c r="AS606" s="24"/>
      <c r="AT606" s="24"/>
      <c r="AU606" s="24"/>
      <c r="AV606" s="24"/>
      <c r="AX606" s="29"/>
    </row>
    <row r="607" spans="2:50">
      <c r="B607" s="19"/>
      <c r="K607" s="21"/>
      <c r="T607" s="28"/>
      <c r="AS607" s="24"/>
      <c r="AT607" s="24"/>
      <c r="AU607" s="24"/>
      <c r="AV607" s="24"/>
      <c r="AX607" s="29"/>
    </row>
    <row r="608" spans="2:50">
      <c r="B608" s="19"/>
      <c r="K608" s="21"/>
      <c r="T608" s="28"/>
      <c r="AS608" s="24"/>
      <c r="AT608" s="24"/>
      <c r="AU608" s="24"/>
      <c r="AV608" s="24"/>
      <c r="AX608" s="29"/>
    </row>
    <row r="609" spans="2:50">
      <c r="B609" s="19"/>
      <c r="K609" s="21"/>
      <c r="T609" s="28"/>
      <c r="AS609" s="24"/>
      <c r="AT609" s="24"/>
      <c r="AU609" s="24"/>
      <c r="AV609" s="24"/>
      <c r="AX609" s="29"/>
    </row>
    <row r="610" spans="2:50">
      <c r="B610" s="19"/>
      <c r="K610" s="21"/>
      <c r="T610" s="28"/>
      <c r="AS610" s="24"/>
      <c r="AT610" s="24"/>
      <c r="AU610" s="24"/>
      <c r="AV610" s="24"/>
      <c r="AX610" s="29"/>
    </row>
    <row r="611" spans="2:50">
      <c r="B611" s="19"/>
      <c r="K611" s="21"/>
      <c r="T611" s="28"/>
      <c r="AS611" s="24"/>
      <c r="AT611" s="24"/>
      <c r="AU611" s="24"/>
      <c r="AV611" s="24"/>
      <c r="AX611" s="29"/>
    </row>
    <row r="612" spans="2:50">
      <c r="B612" s="19"/>
      <c r="K612" s="21"/>
      <c r="T612" s="28"/>
      <c r="AS612" s="24"/>
      <c r="AT612" s="24"/>
      <c r="AU612" s="24"/>
      <c r="AV612" s="24"/>
      <c r="AX612" s="29"/>
    </row>
    <row r="613" spans="2:50">
      <c r="B613" s="19"/>
      <c r="K613" s="21"/>
      <c r="T613" s="28"/>
      <c r="AS613" s="24"/>
      <c r="AT613" s="24"/>
      <c r="AU613" s="24"/>
      <c r="AV613" s="24"/>
      <c r="AX613" s="29"/>
    </row>
    <row r="614" spans="2:50">
      <c r="B614" s="19"/>
      <c r="K614" s="21"/>
      <c r="T614" s="28"/>
      <c r="AS614" s="24"/>
      <c r="AT614" s="24"/>
      <c r="AU614" s="24"/>
      <c r="AV614" s="24"/>
      <c r="AX614" s="29"/>
    </row>
    <row r="615" spans="2:50">
      <c r="B615" s="19"/>
      <c r="K615" s="21"/>
      <c r="T615" s="28"/>
      <c r="AS615" s="24"/>
      <c r="AT615" s="24"/>
      <c r="AU615" s="24"/>
      <c r="AV615" s="24"/>
      <c r="AX615" s="29"/>
    </row>
    <row r="616" spans="2:50">
      <c r="B616" s="19"/>
      <c r="K616" s="21"/>
      <c r="T616" s="28"/>
      <c r="AS616" s="24"/>
      <c r="AT616" s="24"/>
      <c r="AU616" s="24"/>
      <c r="AV616" s="24"/>
      <c r="AX616" s="29"/>
    </row>
    <row r="617" spans="2:50">
      <c r="B617" s="19"/>
      <c r="K617" s="21"/>
      <c r="T617" s="28"/>
      <c r="AS617" s="24"/>
      <c r="AT617" s="24"/>
      <c r="AU617" s="24"/>
      <c r="AV617" s="24"/>
      <c r="AX617" s="29"/>
    </row>
    <row r="618" spans="2:50">
      <c r="B618" s="19"/>
      <c r="K618" s="21"/>
      <c r="T618" s="28"/>
      <c r="AS618" s="24"/>
      <c r="AT618" s="24"/>
      <c r="AU618" s="24"/>
      <c r="AV618" s="24"/>
      <c r="AX618" s="29"/>
    </row>
    <row r="619" spans="2:50">
      <c r="B619" s="19"/>
      <c r="K619" s="21"/>
      <c r="T619" s="28"/>
      <c r="AS619" s="24"/>
      <c r="AT619" s="24"/>
      <c r="AU619" s="24"/>
      <c r="AV619" s="24"/>
      <c r="AX619" s="29"/>
    </row>
    <row r="620" spans="2:50">
      <c r="B620" s="19"/>
      <c r="K620" s="21"/>
      <c r="T620" s="28"/>
      <c r="AS620" s="24"/>
      <c r="AT620" s="24"/>
      <c r="AU620" s="24"/>
      <c r="AV620" s="24"/>
      <c r="AX620" s="29"/>
    </row>
    <row r="621" spans="2:50">
      <c r="B621" s="19"/>
      <c r="K621" s="21"/>
      <c r="T621" s="28"/>
      <c r="AS621" s="24"/>
      <c r="AT621" s="24"/>
      <c r="AU621" s="24"/>
      <c r="AV621" s="24"/>
      <c r="AX621" s="29"/>
    </row>
    <row r="622" spans="2:50">
      <c r="B622" s="19"/>
      <c r="K622" s="21"/>
      <c r="T622" s="28"/>
      <c r="AS622" s="24"/>
      <c r="AT622" s="24"/>
      <c r="AU622" s="24"/>
      <c r="AV622" s="24"/>
      <c r="AX622" s="29"/>
    </row>
    <row r="623" spans="2:50">
      <c r="B623" s="19"/>
      <c r="K623" s="21"/>
      <c r="T623" s="28"/>
      <c r="AS623" s="24"/>
      <c r="AT623" s="24"/>
      <c r="AU623" s="24"/>
      <c r="AV623" s="24"/>
      <c r="AX623" s="29"/>
    </row>
    <row r="624" spans="2:50">
      <c r="B624" s="19"/>
      <c r="K624" s="21"/>
      <c r="T624" s="28"/>
      <c r="AS624" s="24"/>
      <c r="AT624" s="24"/>
      <c r="AU624" s="24"/>
      <c r="AV624" s="24"/>
      <c r="AX624" s="29"/>
    </row>
    <row r="625" spans="2:50">
      <c r="B625" s="19"/>
      <c r="K625" s="21"/>
      <c r="T625" s="28"/>
      <c r="AS625" s="24"/>
      <c r="AT625" s="24"/>
      <c r="AU625" s="24"/>
      <c r="AV625" s="24"/>
      <c r="AX625" s="29"/>
    </row>
    <row r="626" spans="2:50">
      <c r="B626" s="19"/>
      <c r="K626" s="21"/>
      <c r="T626" s="28"/>
      <c r="AS626" s="24"/>
      <c r="AT626" s="24"/>
      <c r="AU626" s="24"/>
      <c r="AV626" s="24"/>
      <c r="AX626" s="29"/>
    </row>
    <row r="627" spans="2:50">
      <c r="B627" s="19"/>
      <c r="K627" s="21"/>
      <c r="T627" s="28"/>
      <c r="AS627" s="24"/>
      <c r="AT627" s="24"/>
      <c r="AU627" s="24"/>
      <c r="AV627" s="24"/>
      <c r="AX627" s="29"/>
    </row>
    <row r="628" spans="2:50">
      <c r="B628" s="19"/>
      <c r="K628" s="21"/>
      <c r="T628" s="28"/>
      <c r="AS628" s="24"/>
      <c r="AT628" s="24"/>
      <c r="AU628" s="24"/>
      <c r="AV628" s="24"/>
      <c r="AX628" s="29"/>
    </row>
    <row r="629" spans="2:50">
      <c r="B629" s="19"/>
      <c r="K629" s="21"/>
      <c r="T629" s="28"/>
      <c r="AS629" s="24"/>
      <c r="AT629" s="24"/>
      <c r="AU629" s="24"/>
      <c r="AV629" s="24"/>
      <c r="AX629" s="29"/>
    </row>
    <row r="630" spans="2:50">
      <c r="B630" s="19"/>
      <c r="K630" s="21"/>
      <c r="T630" s="28"/>
      <c r="AS630" s="24"/>
      <c r="AT630" s="24"/>
      <c r="AU630" s="24"/>
      <c r="AV630" s="24"/>
      <c r="AX630" s="29"/>
    </row>
    <row r="631" spans="2:50">
      <c r="B631" s="19"/>
      <c r="K631" s="21"/>
      <c r="T631" s="28"/>
      <c r="AS631" s="24"/>
      <c r="AT631" s="24"/>
      <c r="AU631" s="24"/>
      <c r="AV631" s="24"/>
      <c r="AX631" s="29"/>
    </row>
    <row r="632" spans="2:50">
      <c r="B632" s="19"/>
      <c r="K632" s="21"/>
      <c r="T632" s="28"/>
      <c r="AS632" s="24"/>
      <c r="AT632" s="24"/>
      <c r="AU632" s="24"/>
      <c r="AV632" s="24"/>
      <c r="AX632" s="29"/>
    </row>
    <row r="633" spans="2:50">
      <c r="B633" s="19"/>
      <c r="K633" s="21"/>
      <c r="T633" s="28"/>
      <c r="AS633" s="24"/>
      <c r="AT633" s="24"/>
      <c r="AU633" s="24"/>
      <c r="AV633" s="24"/>
      <c r="AX633" s="29"/>
    </row>
    <row r="634" spans="2:50">
      <c r="B634" s="19"/>
      <c r="K634" s="21"/>
      <c r="T634" s="28"/>
      <c r="AS634" s="24"/>
      <c r="AT634" s="24"/>
      <c r="AU634" s="24"/>
      <c r="AV634" s="24"/>
      <c r="AX634" s="29"/>
    </row>
    <row r="635" spans="2:50">
      <c r="B635" s="19"/>
      <c r="K635" s="21"/>
      <c r="T635" s="28"/>
      <c r="AS635" s="24"/>
      <c r="AT635" s="24"/>
      <c r="AU635" s="24"/>
      <c r="AV635" s="24"/>
      <c r="AX635" s="29"/>
    </row>
    <row r="636" spans="2:50">
      <c r="B636" s="19"/>
      <c r="K636" s="21"/>
      <c r="T636" s="28"/>
      <c r="AS636" s="24"/>
      <c r="AT636" s="24"/>
      <c r="AU636" s="24"/>
      <c r="AV636" s="24"/>
      <c r="AX636" s="29"/>
    </row>
    <row r="637" spans="2:50">
      <c r="B637" s="19"/>
      <c r="K637" s="21"/>
      <c r="T637" s="28"/>
      <c r="AS637" s="24"/>
      <c r="AT637" s="24"/>
      <c r="AU637" s="24"/>
      <c r="AV637" s="24"/>
      <c r="AX637" s="29"/>
    </row>
    <row r="638" spans="2:50">
      <c r="B638" s="19"/>
      <c r="K638" s="21"/>
      <c r="T638" s="28"/>
      <c r="AS638" s="24"/>
      <c r="AT638" s="24"/>
      <c r="AU638" s="24"/>
      <c r="AV638" s="24"/>
      <c r="AX638" s="29"/>
    </row>
    <row r="639" spans="2:50">
      <c r="B639" s="19"/>
      <c r="K639" s="21"/>
      <c r="T639" s="28"/>
      <c r="AS639" s="24"/>
      <c r="AT639" s="24"/>
      <c r="AU639" s="24"/>
      <c r="AV639" s="24"/>
      <c r="AX639" s="29"/>
    </row>
    <row r="640" spans="2:50">
      <c r="B640" s="19"/>
      <c r="K640" s="21"/>
      <c r="T640" s="28"/>
      <c r="AS640" s="24"/>
      <c r="AT640" s="24"/>
      <c r="AU640" s="24"/>
      <c r="AV640" s="24"/>
      <c r="AX640" s="29"/>
    </row>
    <row r="641" spans="2:50">
      <c r="B641" s="19"/>
      <c r="K641" s="21"/>
      <c r="T641" s="28"/>
      <c r="AS641" s="24"/>
      <c r="AT641" s="24"/>
      <c r="AU641" s="24"/>
      <c r="AV641" s="24"/>
      <c r="AX641" s="29"/>
    </row>
    <row r="642" spans="2:50">
      <c r="B642" s="19"/>
      <c r="K642" s="21"/>
      <c r="T642" s="28"/>
      <c r="AS642" s="24"/>
      <c r="AT642" s="24"/>
      <c r="AU642" s="24"/>
      <c r="AV642" s="24"/>
      <c r="AX642" s="29"/>
    </row>
    <row r="643" spans="2:50">
      <c r="B643" s="19"/>
      <c r="K643" s="21"/>
      <c r="T643" s="28"/>
      <c r="AS643" s="24"/>
      <c r="AT643" s="24"/>
      <c r="AU643" s="24"/>
      <c r="AV643" s="24"/>
      <c r="AX643" s="29"/>
    </row>
    <row r="644" spans="2:50">
      <c r="B644" s="19"/>
      <c r="K644" s="21"/>
      <c r="T644" s="28"/>
      <c r="AS644" s="24"/>
      <c r="AT644" s="24"/>
      <c r="AU644" s="24"/>
      <c r="AV644" s="24"/>
      <c r="AX644" s="29"/>
    </row>
    <row r="645" spans="2:50">
      <c r="B645" s="19"/>
      <c r="K645" s="21"/>
      <c r="T645" s="28"/>
      <c r="AS645" s="24"/>
      <c r="AT645" s="24"/>
      <c r="AU645" s="24"/>
      <c r="AV645" s="24"/>
      <c r="AX645" s="29"/>
    </row>
    <row r="646" spans="2:50">
      <c r="B646" s="19"/>
      <c r="K646" s="21"/>
      <c r="T646" s="28"/>
      <c r="AS646" s="24"/>
      <c r="AT646" s="24"/>
      <c r="AU646" s="24"/>
      <c r="AV646" s="24"/>
      <c r="AX646" s="29"/>
    </row>
    <row r="647" spans="2:50">
      <c r="B647" s="19"/>
      <c r="K647" s="21"/>
      <c r="T647" s="28"/>
      <c r="AS647" s="24"/>
      <c r="AT647" s="24"/>
      <c r="AU647" s="24"/>
      <c r="AV647" s="24"/>
      <c r="AX647" s="29"/>
    </row>
    <row r="648" spans="2:50">
      <c r="B648" s="19"/>
      <c r="K648" s="21"/>
      <c r="T648" s="28"/>
      <c r="AS648" s="24"/>
      <c r="AT648" s="24"/>
      <c r="AU648" s="24"/>
      <c r="AV648" s="24"/>
      <c r="AX648" s="29"/>
    </row>
    <row r="649" spans="2:50">
      <c r="B649" s="19"/>
      <c r="K649" s="21"/>
      <c r="T649" s="28"/>
      <c r="AS649" s="24"/>
      <c r="AT649" s="24"/>
      <c r="AU649" s="24"/>
      <c r="AV649" s="24"/>
      <c r="AX649" s="29"/>
    </row>
    <row r="650" spans="2:50">
      <c r="B650" s="19"/>
      <c r="K650" s="21"/>
      <c r="T650" s="28"/>
      <c r="AS650" s="24"/>
      <c r="AT650" s="24"/>
      <c r="AU650" s="24"/>
      <c r="AV650" s="24"/>
      <c r="AX650" s="29"/>
    </row>
    <row r="651" spans="2:50">
      <c r="B651" s="19"/>
      <c r="K651" s="21"/>
      <c r="T651" s="28"/>
      <c r="AS651" s="24"/>
      <c r="AT651" s="24"/>
      <c r="AU651" s="24"/>
      <c r="AV651" s="24"/>
      <c r="AX651" s="29"/>
    </row>
    <row r="652" spans="2:50">
      <c r="B652" s="19"/>
      <c r="K652" s="21"/>
      <c r="T652" s="28"/>
      <c r="AS652" s="24"/>
      <c r="AT652" s="24"/>
      <c r="AU652" s="24"/>
      <c r="AV652" s="24"/>
      <c r="AX652" s="29"/>
    </row>
    <row r="653" spans="2:50">
      <c r="B653" s="19"/>
      <c r="K653" s="21"/>
      <c r="T653" s="28"/>
      <c r="AS653" s="24"/>
      <c r="AT653" s="24"/>
      <c r="AU653" s="24"/>
      <c r="AV653" s="24"/>
      <c r="AX653" s="29"/>
    </row>
    <row r="654" spans="2:50">
      <c r="B654" s="19"/>
      <c r="K654" s="21"/>
      <c r="T654" s="28"/>
      <c r="AS654" s="24"/>
      <c r="AT654" s="24"/>
      <c r="AU654" s="24"/>
      <c r="AV654" s="24"/>
      <c r="AX654" s="29"/>
    </row>
    <row r="655" spans="2:50">
      <c r="B655" s="19"/>
      <c r="K655" s="21"/>
      <c r="T655" s="28"/>
      <c r="AS655" s="24"/>
      <c r="AT655" s="24"/>
      <c r="AU655" s="24"/>
      <c r="AV655" s="24"/>
      <c r="AX655" s="29"/>
    </row>
    <row r="656" spans="2:50">
      <c r="B656" s="19"/>
      <c r="K656" s="21"/>
      <c r="T656" s="28"/>
      <c r="AS656" s="24"/>
      <c r="AT656" s="24"/>
      <c r="AU656" s="24"/>
      <c r="AV656" s="24"/>
      <c r="AX656" s="29"/>
    </row>
    <row r="657" spans="2:50">
      <c r="B657" s="19"/>
      <c r="K657" s="21"/>
      <c r="T657" s="28"/>
      <c r="AS657" s="24"/>
      <c r="AT657" s="24"/>
      <c r="AU657" s="24"/>
      <c r="AV657" s="24"/>
      <c r="AX657" s="29"/>
    </row>
    <row r="658" spans="2:50">
      <c r="B658" s="19"/>
      <c r="K658" s="21"/>
      <c r="T658" s="28"/>
      <c r="AS658" s="24"/>
      <c r="AT658" s="24"/>
      <c r="AU658" s="24"/>
      <c r="AV658" s="24"/>
      <c r="AX658" s="29"/>
    </row>
    <row r="659" spans="2:50">
      <c r="B659" s="19"/>
      <c r="K659" s="21"/>
      <c r="T659" s="28"/>
      <c r="AS659" s="24"/>
      <c r="AT659" s="24"/>
      <c r="AU659" s="24"/>
      <c r="AV659" s="24"/>
      <c r="AX659" s="29"/>
    </row>
    <row r="660" spans="2:50">
      <c r="B660" s="19"/>
      <c r="K660" s="21"/>
      <c r="T660" s="28"/>
      <c r="AS660" s="24"/>
      <c r="AT660" s="24"/>
      <c r="AU660" s="24"/>
      <c r="AV660" s="24"/>
      <c r="AX660" s="29"/>
    </row>
    <row r="661" spans="2:50">
      <c r="B661" s="19"/>
      <c r="K661" s="21"/>
      <c r="T661" s="28"/>
      <c r="AS661" s="24"/>
      <c r="AT661" s="24"/>
      <c r="AU661" s="24"/>
      <c r="AV661" s="24"/>
      <c r="AX661" s="29"/>
    </row>
    <row r="662" spans="2:50">
      <c r="B662" s="19"/>
      <c r="K662" s="21"/>
      <c r="S662" s="28"/>
      <c r="T662" s="28"/>
      <c r="AS662" s="24"/>
      <c r="AT662" s="24"/>
      <c r="AU662" s="24"/>
      <c r="AV662" s="24"/>
      <c r="AX662" s="29"/>
    </row>
    <row r="663" spans="2:50">
      <c r="B663" s="19"/>
      <c r="K663" s="21"/>
      <c r="T663" s="28"/>
      <c r="AS663" s="24"/>
      <c r="AT663" s="24"/>
      <c r="AU663" s="24"/>
      <c r="AV663" s="24"/>
      <c r="AX663" s="29"/>
    </row>
    <row r="664" spans="2:50">
      <c r="B664" s="19"/>
      <c r="K664" s="21"/>
      <c r="T664" s="28"/>
      <c r="AS664" s="24"/>
      <c r="AT664" s="24"/>
      <c r="AU664" s="24"/>
      <c r="AV664" s="24"/>
      <c r="AX664" s="29"/>
    </row>
    <row r="665" spans="2:50">
      <c r="B665" s="19"/>
      <c r="K665" s="21"/>
      <c r="T665" s="28"/>
      <c r="AS665" s="24"/>
      <c r="AT665" s="24"/>
      <c r="AU665" s="24"/>
      <c r="AV665" s="24"/>
      <c r="AX665" s="29"/>
    </row>
    <row r="666" spans="2:50">
      <c r="B666" s="19"/>
      <c r="K666" s="21"/>
      <c r="T666" s="28"/>
      <c r="AS666" s="24"/>
      <c r="AT666" s="24"/>
      <c r="AU666" s="24"/>
      <c r="AV666" s="24"/>
      <c r="AX666" s="29"/>
    </row>
    <row r="667" spans="2:50">
      <c r="B667" s="19"/>
      <c r="K667" s="21"/>
      <c r="T667" s="28"/>
      <c r="AS667" s="24"/>
      <c r="AT667" s="24"/>
      <c r="AU667" s="24"/>
      <c r="AV667" s="24"/>
      <c r="AX667" s="29"/>
    </row>
    <row r="668" spans="2:50">
      <c r="B668" s="19"/>
      <c r="K668" s="21"/>
      <c r="T668" s="28"/>
      <c r="AS668" s="24"/>
      <c r="AT668" s="24"/>
      <c r="AU668" s="24"/>
      <c r="AV668" s="24"/>
      <c r="AX668" s="29"/>
    </row>
    <row r="669" spans="2:50">
      <c r="B669" s="19"/>
      <c r="K669" s="21"/>
      <c r="T669" s="28"/>
      <c r="AS669" s="24"/>
      <c r="AT669" s="24"/>
      <c r="AU669" s="24"/>
      <c r="AV669" s="24"/>
      <c r="AX669" s="29"/>
    </row>
    <row r="670" spans="2:50">
      <c r="B670" s="19"/>
      <c r="K670" s="21"/>
      <c r="T670" s="28"/>
      <c r="AS670" s="24"/>
      <c r="AT670" s="24"/>
      <c r="AU670" s="24"/>
      <c r="AV670" s="24"/>
      <c r="AX670" s="29"/>
    </row>
    <row r="671" spans="2:50">
      <c r="B671" s="19"/>
      <c r="K671" s="21"/>
      <c r="T671" s="28"/>
      <c r="AS671" s="24"/>
      <c r="AT671" s="24"/>
      <c r="AU671" s="24"/>
      <c r="AV671" s="24"/>
      <c r="AX671" s="29"/>
    </row>
    <row r="672" spans="2:50">
      <c r="B672" s="19"/>
      <c r="K672" s="21"/>
      <c r="T672" s="28"/>
      <c r="AS672" s="24"/>
      <c r="AT672" s="24"/>
      <c r="AU672" s="24"/>
      <c r="AV672" s="24"/>
      <c r="AX672" s="29"/>
    </row>
    <row r="673" spans="2:50">
      <c r="B673" s="19"/>
      <c r="K673" s="21"/>
      <c r="T673" s="28"/>
      <c r="AS673" s="24"/>
      <c r="AT673" s="24"/>
      <c r="AU673" s="24"/>
      <c r="AV673" s="24"/>
      <c r="AX673" s="29"/>
    </row>
    <row r="674" spans="2:50">
      <c r="B674" s="19"/>
      <c r="K674" s="21"/>
      <c r="T674" s="28"/>
      <c r="AS674" s="24"/>
      <c r="AT674" s="24"/>
      <c r="AU674" s="24"/>
      <c r="AV674" s="24"/>
      <c r="AX674" s="29"/>
    </row>
    <row r="675" spans="2:50">
      <c r="B675" s="19"/>
      <c r="K675" s="21"/>
      <c r="T675" s="28"/>
      <c r="AS675" s="24"/>
      <c r="AT675" s="24"/>
      <c r="AU675" s="24"/>
      <c r="AV675" s="24"/>
      <c r="AX675" s="29"/>
    </row>
    <row r="676" spans="2:50">
      <c r="B676" s="19"/>
      <c r="K676" s="21"/>
      <c r="T676" s="28"/>
      <c r="AS676" s="24"/>
      <c r="AT676" s="24"/>
      <c r="AU676" s="24"/>
      <c r="AV676" s="24"/>
      <c r="AX676" s="29"/>
    </row>
    <row r="677" spans="2:50">
      <c r="B677" s="19"/>
      <c r="K677" s="21"/>
      <c r="T677" s="28"/>
      <c r="AS677" s="24"/>
      <c r="AT677" s="24"/>
      <c r="AU677" s="24"/>
      <c r="AV677" s="24"/>
      <c r="AX677" s="29"/>
    </row>
    <row r="678" spans="2:50">
      <c r="B678" s="19"/>
      <c r="K678" s="21"/>
      <c r="T678" s="28"/>
      <c r="AS678" s="24"/>
      <c r="AT678" s="24"/>
      <c r="AU678" s="24"/>
      <c r="AV678" s="24"/>
      <c r="AX678" s="29"/>
    </row>
    <row r="679" spans="2:50">
      <c r="B679" s="19"/>
      <c r="K679" s="21"/>
      <c r="T679" s="28"/>
      <c r="AS679" s="24"/>
      <c r="AT679" s="24"/>
      <c r="AU679" s="24"/>
      <c r="AV679" s="24"/>
      <c r="AX679" s="29"/>
    </row>
    <row r="680" spans="2:50">
      <c r="B680" s="19"/>
      <c r="K680" s="21"/>
      <c r="T680" s="28"/>
      <c r="AS680" s="24"/>
      <c r="AT680" s="24"/>
      <c r="AU680" s="24"/>
      <c r="AV680" s="24"/>
      <c r="AX680" s="29"/>
    </row>
    <row r="681" spans="2:50">
      <c r="B681" s="19"/>
      <c r="K681" s="21"/>
      <c r="T681" s="28"/>
      <c r="AS681" s="24"/>
      <c r="AT681" s="24"/>
      <c r="AU681" s="24"/>
      <c r="AV681" s="24"/>
      <c r="AX681" s="29"/>
    </row>
    <row r="682" spans="2:50">
      <c r="B682" s="19"/>
      <c r="K682" s="21"/>
      <c r="T682" s="28"/>
      <c r="AS682" s="24"/>
      <c r="AT682" s="24"/>
      <c r="AU682" s="24"/>
      <c r="AV682" s="24"/>
      <c r="AX682" s="29"/>
    </row>
    <row r="683" spans="2:50">
      <c r="B683" s="19"/>
      <c r="K683" s="21"/>
      <c r="T683" s="28"/>
      <c r="AS683" s="24"/>
      <c r="AT683" s="24"/>
      <c r="AU683" s="24"/>
      <c r="AV683" s="24"/>
      <c r="AX683" s="29"/>
    </row>
    <row r="684" spans="2:50">
      <c r="B684" s="19"/>
      <c r="K684" s="21"/>
      <c r="T684" s="28"/>
      <c r="AS684" s="24"/>
      <c r="AT684" s="24"/>
      <c r="AU684" s="24"/>
      <c r="AV684" s="24"/>
      <c r="AX684" s="29"/>
    </row>
    <row r="685" spans="2:50">
      <c r="B685" s="19"/>
      <c r="K685" s="21"/>
      <c r="T685" s="28"/>
      <c r="AS685" s="24"/>
      <c r="AT685" s="24"/>
      <c r="AU685" s="24"/>
      <c r="AV685" s="24"/>
      <c r="AX685" s="29"/>
    </row>
    <row r="686" spans="2:50">
      <c r="B686" s="19"/>
      <c r="K686" s="21"/>
      <c r="T686" s="28"/>
      <c r="AS686" s="24"/>
      <c r="AT686" s="24"/>
      <c r="AU686" s="24"/>
      <c r="AV686" s="24"/>
      <c r="AX686" s="29"/>
    </row>
    <row r="687" spans="2:50">
      <c r="B687" s="19"/>
      <c r="K687" s="21"/>
      <c r="T687" s="28"/>
      <c r="AS687" s="24"/>
      <c r="AT687" s="24"/>
      <c r="AU687" s="24"/>
      <c r="AV687" s="24"/>
      <c r="AX687" s="29"/>
    </row>
    <row r="688" spans="2:50">
      <c r="B688" s="19"/>
      <c r="K688" s="21"/>
      <c r="T688" s="28"/>
      <c r="AS688" s="24"/>
      <c r="AT688" s="24"/>
      <c r="AU688" s="24"/>
      <c r="AV688" s="24"/>
      <c r="AX688" s="29"/>
    </row>
    <row r="689" spans="2:50">
      <c r="B689" s="19"/>
      <c r="K689" s="21"/>
      <c r="T689" s="28"/>
      <c r="AS689" s="24"/>
      <c r="AT689" s="24"/>
      <c r="AU689" s="24"/>
      <c r="AV689" s="24"/>
      <c r="AX689" s="29"/>
    </row>
    <row r="690" spans="2:50">
      <c r="B690" s="19"/>
      <c r="K690" s="21"/>
      <c r="T690" s="28"/>
      <c r="AS690" s="24"/>
      <c r="AT690" s="24"/>
      <c r="AU690" s="24"/>
      <c r="AV690" s="24"/>
      <c r="AX690" s="29"/>
    </row>
    <row r="691" spans="2:50">
      <c r="B691" s="19"/>
      <c r="K691" s="21"/>
      <c r="T691" s="28"/>
      <c r="AS691" s="24"/>
      <c r="AT691" s="24"/>
      <c r="AU691" s="24"/>
      <c r="AV691" s="24"/>
      <c r="AX691" s="29"/>
    </row>
    <row r="692" spans="2:50">
      <c r="B692" s="19"/>
      <c r="K692" s="21"/>
      <c r="T692" s="28"/>
      <c r="AS692" s="24"/>
      <c r="AT692" s="24"/>
      <c r="AU692" s="24"/>
      <c r="AV692" s="24"/>
      <c r="AX692" s="29"/>
    </row>
    <row r="693" spans="2:50">
      <c r="B693" s="19"/>
      <c r="K693" s="21"/>
      <c r="T693" s="28"/>
      <c r="AS693" s="24"/>
      <c r="AT693" s="24"/>
      <c r="AU693" s="24"/>
      <c r="AV693" s="24"/>
      <c r="AX693" s="29"/>
    </row>
    <row r="694" spans="2:50">
      <c r="B694" s="19"/>
      <c r="K694" s="21"/>
      <c r="T694" s="28"/>
      <c r="AS694" s="24"/>
      <c r="AT694" s="24"/>
      <c r="AU694" s="24"/>
      <c r="AV694" s="24"/>
      <c r="AX694" s="29"/>
    </row>
    <row r="695" spans="2:50">
      <c r="B695" s="19"/>
      <c r="K695" s="21"/>
      <c r="T695" s="28"/>
      <c r="AS695" s="24"/>
      <c r="AT695" s="24"/>
      <c r="AU695" s="24"/>
      <c r="AV695" s="24"/>
      <c r="AX695" s="29"/>
    </row>
    <row r="696" spans="2:50">
      <c r="B696" s="19"/>
      <c r="K696" s="21"/>
      <c r="T696" s="28"/>
      <c r="AS696" s="24"/>
      <c r="AT696" s="24"/>
      <c r="AU696" s="24"/>
      <c r="AV696" s="24"/>
      <c r="AX696" s="29"/>
    </row>
    <row r="697" spans="2:50">
      <c r="B697" s="19"/>
      <c r="K697" s="21"/>
      <c r="T697" s="28"/>
      <c r="AS697" s="24"/>
      <c r="AT697" s="24"/>
      <c r="AU697" s="24"/>
      <c r="AV697" s="24"/>
      <c r="AX697" s="29"/>
    </row>
    <row r="698" spans="2:50">
      <c r="B698" s="19"/>
      <c r="K698" s="21"/>
      <c r="T698" s="28"/>
      <c r="AS698" s="24"/>
      <c r="AT698" s="24"/>
      <c r="AU698" s="24"/>
      <c r="AV698" s="24"/>
      <c r="AX698" s="29"/>
    </row>
    <row r="699" spans="2:50">
      <c r="B699" s="19"/>
      <c r="K699" s="21"/>
      <c r="T699" s="28"/>
      <c r="AS699" s="24"/>
      <c r="AT699" s="24"/>
      <c r="AU699" s="24"/>
      <c r="AV699" s="24"/>
      <c r="AX699" s="29"/>
    </row>
    <row r="700" spans="2:50">
      <c r="B700" s="19"/>
      <c r="K700" s="21"/>
      <c r="T700" s="28"/>
      <c r="AS700" s="24"/>
      <c r="AT700" s="24"/>
      <c r="AU700" s="24"/>
      <c r="AV700" s="24"/>
      <c r="AX700" s="29"/>
    </row>
    <row r="701" spans="2:50">
      <c r="B701" s="19"/>
      <c r="K701" s="21"/>
      <c r="T701" s="28"/>
      <c r="AS701" s="24"/>
      <c r="AT701" s="24"/>
      <c r="AU701" s="24"/>
      <c r="AV701" s="24"/>
      <c r="AX701" s="29"/>
    </row>
    <row r="702" spans="2:50">
      <c r="B702" s="19"/>
      <c r="K702" s="21"/>
      <c r="T702" s="28"/>
      <c r="AS702" s="24"/>
      <c r="AT702" s="24"/>
      <c r="AU702" s="24"/>
      <c r="AV702" s="24"/>
      <c r="AX702" s="29"/>
    </row>
    <row r="703" spans="2:50">
      <c r="B703" s="19"/>
      <c r="K703" s="21"/>
      <c r="T703" s="28"/>
      <c r="AS703" s="24"/>
      <c r="AT703" s="24"/>
      <c r="AU703" s="24"/>
      <c r="AV703" s="24"/>
      <c r="AX703" s="29"/>
    </row>
    <row r="704" spans="2:50">
      <c r="B704" s="19"/>
      <c r="K704" s="21"/>
      <c r="T704" s="28"/>
      <c r="AS704" s="24"/>
      <c r="AT704" s="24"/>
      <c r="AU704" s="24"/>
      <c r="AV704" s="24"/>
      <c r="AX704" s="29"/>
    </row>
    <row r="705" spans="2:50">
      <c r="B705" s="19"/>
      <c r="K705" s="21"/>
      <c r="T705" s="28"/>
      <c r="AS705" s="24"/>
      <c r="AT705" s="24"/>
      <c r="AU705" s="24"/>
      <c r="AV705" s="24"/>
      <c r="AX705" s="29"/>
    </row>
    <row r="706" spans="2:50">
      <c r="B706" s="19"/>
      <c r="K706" s="21"/>
      <c r="T706" s="28"/>
      <c r="AS706" s="24"/>
      <c r="AT706" s="24"/>
      <c r="AU706" s="24"/>
      <c r="AV706" s="24"/>
      <c r="AX706" s="29"/>
    </row>
    <row r="707" spans="2:50">
      <c r="B707" s="19"/>
      <c r="K707" s="21"/>
      <c r="T707" s="28"/>
      <c r="AS707" s="24"/>
      <c r="AT707" s="24"/>
      <c r="AU707" s="24"/>
      <c r="AV707" s="24"/>
      <c r="AX707" s="29"/>
    </row>
    <row r="708" spans="2:50">
      <c r="B708" s="19"/>
      <c r="K708" s="21"/>
      <c r="T708" s="28"/>
      <c r="AS708" s="24"/>
      <c r="AT708" s="24"/>
      <c r="AU708" s="24"/>
      <c r="AV708" s="24"/>
      <c r="AX708" s="29"/>
    </row>
    <row r="709" spans="2:50">
      <c r="B709" s="19"/>
      <c r="K709" s="21"/>
      <c r="T709" s="28"/>
      <c r="AS709" s="24"/>
      <c r="AT709" s="24"/>
      <c r="AU709" s="24"/>
      <c r="AV709" s="24"/>
      <c r="AX709" s="29"/>
    </row>
    <row r="710" spans="2:50">
      <c r="B710" s="19"/>
      <c r="K710" s="21"/>
      <c r="T710" s="28"/>
      <c r="AS710" s="24"/>
      <c r="AT710" s="24"/>
      <c r="AU710" s="24"/>
      <c r="AV710" s="24"/>
      <c r="AX710" s="29"/>
    </row>
    <row r="711" spans="2:50">
      <c r="B711" s="19"/>
      <c r="K711" s="21"/>
      <c r="T711" s="28"/>
      <c r="AS711" s="24"/>
      <c r="AT711" s="24"/>
      <c r="AU711" s="24"/>
      <c r="AV711" s="24"/>
      <c r="AX711" s="29"/>
    </row>
    <row r="712" spans="2:50">
      <c r="B712" s="19"/>
      <c r="K712" s="21"/>
      <c r="T712" s="28"/>
      <c r="AS712" s="24"/>
      <c r="AT712" s="24"/>
      <c r="AU712" s="24"/>
      <c r="AV712" s="24"/>
      <c r="AX712" s="29"/>
    </row>
    <row r="713" spans="2:50">
      <c r="B713" s="19"/>
      <c r="K713" s="21"/>
      <c r="T713" s="28"/>
      <c r="AS713" s="24"/>
      <c r="AT713" s="24"/>
      <c r="AU713" s="24"/>
      <c r="AV713" s="24"/>
      <c r="AX713" s="29"/>
    </row>
    <row r="714" spans="2:50">
      <c r="B714" s="19"/>
      <c r="K714" s="21"/>
      <c r="T714" s="28"/>
      <c r="AS714" s="24"/>
      <c r="AT714" s="24"/>
      <c r="AU714" s="24"/>
      <c r="AV714" s="24"/>
      <c r="AX714" s="29"/>
    </row>
    <row r="715" spans="2:50">
      <c r="B715" s="19"/>
      <c r="K715" s="21"/>
      <c r="T715" s="28"/>
      <c r="AS715" s="24"/>
      <c r="AT715" s="24"/>
      <c r="AU715" s="24"/>
      <c r="AV715" s="24"/>
      <c r="AX715" s="29"/>
    </row>
    <row r="716" spans="2:50">
      <c r="B716" s="19"/>
      <c r="K716" s="21"/>
      <c r="T716" s="28"/>
      <c r="AS716" s="24"/>
      <c r="AT716" s="24"/>
      <c r="AU716" s="24"/>
      <c r="AV716" s="24"/>
      <c r="AX716" s="29"/>
    </row>
    <row r="717" spans="2:50">
      <c r="B717" s="19"/>
      <c r="K717" s="21"/>
      <c r="T717" s="28"/>
      <c r="AS717" s="24"/>
      <c r="AT717" s="24"/>
      <c r="AU717" s="24"/>
      <c r="AV717" s="24"/>
      <c r="AX717" s="29"/>
    </row>
    <row r="718" spans="2:50">
      <c r="B718" s="19"/>
      <c r="K718" s="21"/>
      <c r="T718" s="28"/>
      <c r="AS718" s="24"/>
      <c r="AT718" s="24"/>
      <c r="AU718" s="24"/>
      <c r="AV718" s="24"/>
      <c r="AX718" s="29"/>
    </row>
    <row r="719" spans="2:50">
      <c r="B719" s="19"/>
      <c r="K719" s="21"/>
      <c r="T719" s="28"/>
      <c r="AS719" s="24"/>
      <c r="AT719" s="24"/>
      <c r="AU719" s="24"/>
      <c r="AV719" s="24"/>
      <c r="AX719" s="29"/>
    </row>
    <row r="720" spans="2:50">
      <c r="B720" s="19"/>
      <c r="K720" s="21"/>
      <c r="T720" s="28"/>
      <c r="AS720" s="24"/>
      <c r="AT720" s="24"/>
      <c r="AU720" s="24"/>
      <c r="AV720" s="24"/>
      <c r="AX720" s="29"/>
    </row>
    <row r="721" spans="2:50">
      <c r="B721" s="19"/>
      <c r="K721" s="21"/>
      <c r="T721" s="28"/>
      <c r="AS721" s="24"/>
      <c r="AT721" s="24"/>
      <c r="AU721" s="24"/>
      <c r="AV721" s="24"/>
      <c r="AX721" s="29"/>
    </row>
    <row r="722" spans="2:50">
      <c r="B722" s="19"/>
      <c r="K722" s="21"/>
      <c r="T722" s="28"/>
      <c r="AS722" s="24"/>
      <c r="AT722" s="24"/>
      <c r="AU722" s="24"/>
      <c r="AV722" s="24"/>
      <c r="AX722" s="29"/>
    </row>
    <row r="723" spans="2:50">
      <c r="B723" s="19"/>
      <c r="K723" s="21"/>
      <c r="T723" s="28"/>
      <c r="AS723" s="24"/>
      <c r="AT723" s="24"/>
      <c r="AU723" s="24"/>
      <c r="AV723" s="24"/>
      <c r="AX723" s="29"/>
    </row>
    <row r="724" spans="2:50">
      <c r="B724" s="19"/>
      <c r="K724" s="21"/>
      <c r="T724" s="28"/>
      <c r="AS724" s="24"/>
      <c r="AT724" s="24"/>
      <c r="AU724" s="24"/>
      <c r="AV724" s="24"/>
      <c r="AX724" s="29"/>
    </row>
    <row r="725" spans="2:50">
      <c r="B725" s="19"/>
      <c r="K725" s="21"/>
      <c r="T725" s="28"/>
      <c r="AS725" s="24"/>
      <c r="AT725" s="24"/>
      <c r="AU725" s="24"/>
      <c r="AV725" s="24"/>
      <c r="AX725" s="29"/>
    </row>
    <row r="726" spans="2:50">
      <c r="B726" s="19"/>
      <c r="K726" s="21"/>
      <c r="T726" s="28"/>
      <c r="AS726" s="24"/>
      <c r="AT726" s="24"/>
      <c r="AU726" s="24"/>
      <c r="AV726" s="24"/>
      <c r="AX726" s="29"/>
    </row>
    <row r="727" spans="2:50">
      <c r="B727" s="19"/>
      <c r="K727" s="21"/>
      <c r="T727" s="28"/>
      <c r="AS727" s="24"/>
      <c r="AT727" s="24"/>
      <c r="AU727" s="24"/>
      <c r="AV727" s="24"/>
      <c r="AX727" s="29"/>
    </row>
    <row r="728" spans="2:50">
      <c r="B728" s="19"/>
      <c r="K728" s="21"/>
      <c r="T728" s="28"/>
      <c r="AS728" s="24"/>
      <c r="AT728" s="24"/>
      <c r="AU728" s="24"/>
      <c r="AV728" s="24"/>
      <c r="AX728" s="29"/>
    </row>
    <row r="729" spans="2:50">
      <c r="B729" s="19"/>
      <c r="K729" s="21"/>
      <c r="T729" s="28"/>
      <c r="AS729" s="24"/>
      <c r="AT729" s="24"/>
      <c r="AU729" s="24"/>
      <c r="AV729" s="24"/>
      <c r="AX729" s="29"/>
    </row>
    <row r="730" spans="2:50">
      <c r="B730" s="33"/>
      <c r="K730" s="21"/>
      <c r="T730" s="28"/>
      <c r="AS730" s="24"/>
      <c r="AT730" s="24"/>
      <c r="AU730" s="24"/>
      <c r="AV730" s="24"/>
      <c r="AX730" s="29"/>
    </row>
    <row r="731" spans="2:50">
      <c r="B731" s="19"/>
      <c r="K731" s="21"/>
      <c r="T731" s="28"/>
      <c r="AS731" s="24"/>
      <c r="AT731" s="24"/>
      <c r="AU731" s="24"/>
      <c r="AV731" s="24"/>
      <c r="AX731" s="29"/>
    </row>
    <row r="732" spans="2:50">
      <c r="B732" s="19"/>
      <c r="K732" s="21"/>
      <c r="T732" s="28"/>
      <c r="AS732" s="24"/>
      <c r="AT732" s="24"/>
      <c r="AU732" s="24"/>
      <c r="AV732" s="24"/>
      <c r="AX732" s="29"/>
    </row>
    <row r="733" spans="2:50">
      <c r="B733" s="19"/>
      <c r="K733" s="21"/>
      <c r="T733" s="28"/>
      <c r="AS733" s="24"/>
      <c r="AT733" s="24"/>
      <c r="AU733" s="24"/>
      <c r="AV733" s="24"/>
      <c r="AX733" s="29"/>
    </row>
    <row r="734" spans="2:50">
      <c r="B734" s="19"/>
      <c r="K734" s="21"/>
      <c r="T734" s="28"/>
      <c r="AS734" s="24"/>
      <c r="AT734" s="24"/>
      <c r="AU734" s="24"/>
      <c r="AV734" s="24"/>
      <c r="AX734" s="29"/>
    </row>
    <row r="735" spans="2:50">
      <c r="B735" s="19"/>
      <c r="K735" s="21"/>
      <c r="T735" s="28"/>
      <c r="AS735" s="24"/>
      <c r="AT735" s="24"/>
      <c r="AU735" s="24"/>
      <c r="AV735" s="24"/>
      <c r="AX735" s="29"/>
    </row>
    <row r="736" spans="2:50">
      <c r="B736" s="19"/>
      <c r="K736" s="21"/>
      <c r="T736" s="28"/>
      <c r="AS736" s="24"/>
      <c r="AT736" s="24"/>
      <c r="AU736" s="24"/>
      <c r="AV736" s="24"/>
      <c r="AX736" s="29"/>
    </row>
    <row r="737" spans="2:50">
      <c r="B737" s="19"/>
      <c r="K737" s="21"/>
      <c r="T737" s="28"/>
      <c r="AS737" s="24"/>
      <c r="AT737" s="24"/>
      <c r="AU737" s="24"/>
      <c r="AV737" s="24"/>
      <c r="AX737" s="29"/>
    </row>
    <row r="738" spans="2:50">
      <c r="B738" s="19"/>
      <c r="K738" s="21"/>
      <c r="T738" s="28"/>
      <c r="AS738" s="24"/>
      <c r="AT738" s="24"/>
      <c r="AU738" s="24"/>
      <c r="AV738" s="24"/>
      <c r="AX738" s="29"/>
    </row>
    <row r="739" spans="2:50">
      <c r="B739" s="19"/>
      <c r="K739" s="21"/>
      <c r="T739" s="28"/>
      <c r="AS739" s="24"/>
      <c r="AT739" s="24"/>
      <c r="AU739" s="24"/>
      <c r="AV739" s="24"/>
      <c r="AX739" s="29"/>
    </row>
    <row r="740" spans="2:50">
      <c r="B740" s="19"/>
      <c r="K740" s="21"/>
      <c r="T740" s="28"/>
      <c r="AS740" s="24"/>
      <c r="AT740" s="24"/>
      <c r="AU740" s="24"/>
      <c r="AV740" s="24"/>
      <c r="AX740" s="29"/>
    </row>
    <row r="741" spans="2:50">
      <c r="B741" s="19"/>
      <c r="K741" s="21"/>
      <c r="T741" s="28"/>
      <c r="AS741" s="24"/>
      <c r="AT741" s="24"/>
      <c r="AU741" s="24"/>
      <c r="AV741" s="24"/>
      <c r="AX741" s="29"/>
    </row>
    <row r="742" spans="2:50">
      <c r="B742" s="19"/>
      <c r="K742" s="21"/>
      <c r="T742" s="28"/>
      <c r="AS742" s="24"/>
      <c r="AT742" s="24"/>
      <c r="AU742" s="24"/>
      <c r="AV742" s="24"/>
      <c r="AX742" s="29"/>
    </row>
    <row r="743" spans="2:50">
      <c r="B743" s="19"/>
      <c r="K743" s="21"/>
      <c r="T743" s="28"/>
      <c r="AS743" s="24"/>
      <c r="AT743" s="24"/>
      <c r="AU743" s="24"/>
      <c r="AV743" s="24"/>
      <c r="AX743" s="29"/>
    </row>
    <row r="744" spans="2:50">
      <c r="B744" s="19"/>
      <c r="K744" s="21"/>
      <c r="T744" s="28"/>
      <c r="AS744" s="24"/>
      <c r="AT744" s="24"/>
      <c r="AU744" s="24"/>
      <c r="AV744" s="24"/>
      <c r="AX744" s="29"/>
    </row>
    <row r="745" spans="2:50">
      <c r="B745" s="19"/>
      <c r="K745" s="21"/>
      <c r="T745" s="28"/>
      <c r="AS745" s="24"/>
      <c r="AT745" s="24"/>
      <c r="AU745" s="24"/>
      <c r="AV745" s="24"/>
      <c r="AX745" s="29"/>
    </row>
    <row r="746" spans="2:50">
      <c r="B746" s="19"/>
      <c r="K746" s="21"/>
      <c r="T746" s="28"/>
      <c r="AS746" s="24"/>
      <c r="AT746" s="24"/>
      <c r="AU746" s="24"/>
      <c r="AV746" s="24"/>
      <c r="AX746" s="29"/>
    </row>
    <row r="747" spans="2:50">
      <c r="B747" s="19"/>
      <c r="K747" s="21"/>
      <c r="T747" s="28"/>
      <c r="AS747" s="24"/>
      <c r="AT747" s="24"/>
      <c r="AU747" s="24"/>
      <c r="AV747" s="24"/>
      <c r="AX747" s="29"/>
    </row>
    <row r="748" spans="2:50">
      <c r="B748" s="19"/>
      <c r="K748" s="21"/>
      <c r="T748" s="28"/>
      <c r="AS748" s="24"/>
      <c r="AT748" s="24"/>
      <c r="AU748" s="24"/>
      <c r="AV748" s="24"/>
      <c r="AX748" s="29"/>
    </row>
    <row r="749" spans="2:50">
      <c r="B749" s="19"/>
      <c r="K749" s="21"/>
      <c r="T749" s="28"/>
      <c r="AS749" s="24"/>
      <c r="AT749" s="24"/>
      <c r="AU749" s="24"/>
      <c r="AV749" s="24"/>
      <c r="AX749" s="29"/>
    </row>
    <row r="750" spans="2:50">
      <c r="B750" s="19"/>
      <c r="K750" s="21"/>
      <c r="T750" s="28"/>
      <c r="AS750" s="24"/>
      <c r="AT750" s="24"/>
      <c r="AU750" s="24"/>
      <c r="AV750" s="24"/>
      <c r="AX750" s="29"/>
    </row>
    <row r="751" spans="2:50">
      <c r="B751" s="19"/>
      <c r="K751" s="21"/>
      <c r="T751" s="28"/>
      <c r="AS751" s="24"/>
      <c r="AT751" s="24"/>
      <c r="AU751" s="24"/>
      <c r="AV751" s="24"/>
      <c r="AX751" s="29"/>
    </row>
    <row r="752" spans="2:50">
      <c r="B752" s="19"/>
      <c r="K752" s="21"/>
      <c r="T752" s="28"/>
      <c r="AS752" s="24"/>
      <c r="AT752" s="24"/>
      <c r="AU752" s="24"/>
      <c r="AV752" s="24"/>
      <c r="AX752" s="29"/>
    </row>
    <row r="753" spans="2:50">
      <c r="B753" s="19"/>
      <c r="K753" s="21"/>
      <c r="T753" s="28"/>
      <c r="AS753" s="24"/>
      <c r="AT753" s="24"/>
      <c r="AU753" s="24"/>
      <c r="AV753" s="24"/>
      <c r="AX753" s="29"/>
    </row>
    <row r="754" spans="2:50">
      <c r="B754" s="19"/>
      <c r="K754" s="21"/>
      <c r="T754" s="28"/>
      <c r="AS754" s="24"/>
      <c r="AT754" s="24"/>
      <c r="AU754" s="24"/>
      <c r="AV754" s="24"/>
      <c r="AX754" s="29"/>
    </row>
    <row r="755" spans="2:50">
      <c r="B755" s="19"/>
      <c r="K755" s="21"/>
      <c r="T755" s="28"/>
      <c r="AS755" s="24"/>
      <c r="AT755" s="24"/>
      <c r="AU755" s="24"/>
      <c r="AV755" s="24"/>
      <c r="AX755" s="29"/>
    </row>
    <row r="756" spans="2:50">
      <c r="B756" s="19"/>
      <c r="K756" s="21"/>
      <c r="T756" s="28"/>
      <c r="AS756" s="24"/>
      <c r="AT756" s="24"/>
      <c r="AU756" s="24"/>
      <c r="AV756" s="24"/>
      <c r="AX756" s="29"/>
    </row>
    <row r="757" spans="2:50">
      <c r="B757" s="19"/>
      <c r="K757" s="21"/>
      <c r="T757" s="28"/>
      <c r="AS757" s="24"/>
      <c r="AT757" s="24"/>
      <c r="AU757" s="24"/>
      <c r="AV757" s="24"/>
      <c r="AX757" s="29"/>
    </row>
    <row r="758" spans="2:50">
      <c r="B758" s="19"/>
      <c r="K758" s="21"/>
      <c r="T758" s="28"/>
      <c r="AS758" s="24"/>
      <c r="AT758" s="24"/>
      <c r="AU758" s="24"/>
      <c r="AV758" s="24"/>
      <c r="AX758" s="29"/>
    </row>
    <row r="759" spans="2:50">
      <c r="B759" s="19"/>
      <c r="K759" s="21"/>
      <c r="T759" s="28"/>
      <c r="AS759" s="24"/>
      <c r="AT759" s="24"/>
      <c r="AU759" s="24"/>
      <c r="AV759" s="24"/>
      <c r="AX759" s="29"/>
    </row>
    <row r="760" spans="2:50">
      <c r="B760" s="19"/>
      <c r="K760" s="21"/>
      <c r="T760" s="28"/>
      <c r="AS760" s="24"/>
      <c r="AT760" s="24"/>
      <c r="AU760" s="24"/>
      <c r="AV760" s="24"/>
      <c r="AX760" s="29"/>
    </row>
    <row r="761" spans="2:50">
      <c r="B761" s="19"/>
      <c r="K761" s="21"/>
      <c r="T761" s="28"/>
      <c r="AS761" s="24"/>
      <c r="AT761" s="24"/>
      <c r="AU761" s="24"/>
      <c r="AV761" s="24"/>
      <c r="AX761" s="29"/>
    </row>
    <row r="762" spans="2:50">
      <c r="B762" s="19"/>
      <c r="K762" s="21"/>
      <c r="T762" s="28"/>
      <c r="AS762" s="24"/>
      <c r="AT762" s="24"/>
      <c r="AU762" s="24"/>
      <c r="AV762" s="24"/>
      <c r="AX762" s="29"/>
    </row>
    <row r="763" spans="2:50">
      <c r="B763" s="19"/>
      <c r="K763" s="21"/>
      <c r="T763" s="28"/>
      <c r="AS763" s="24"/>
      <c r="AT763" s="24"/>
      <c r="AU763" s="24"/>
      <c r="AV763" s="24"/>
      <c r="AX763" s="29"/>
    </row>
    <row r="764" spans="2:50">
      <c r="B764" s="19"/>
      <c r="K764" s="21"/>
      <c r="T764" s="28"/>
      <c r="AS764" s="24"/>
      <c r="AT764" s="24"/>
      <c r="AU764" s="24"/>
      <c r="AV764" s="24"/>
      <c r="AX764" s="29"/>
    </row>
    <row r="765" spans="2:50">
      <c r="B765" s="19"/>
      <c r="K765" s="21"/>
      <c r="T765" s="28"/>
      <c r="AS765" s="24"/>
      <c r="AT765" s="24"/>
      <c r="AU765" s="24"/>
      <c r="AV765" s="24"/>
      <c r="AX765" s="29"/>
    </row>
    <row r="766" spans="2:50">
      <c r="B766" s="19"/>
      <c r="K766" s="21"/>
      <c r="T766" s="28"/>
      <c r="AS766" s="24"/>
      <c r="AT766" s="24"/>
      <c r="AU766" s="24"/>
      <c r="AV766" s="24"/>
      <c r="AX766" s="29"/>
    </row>
    <row r="767" spans="2:50">
      <c r="B767" s="19"/>
      <c r="K767" s="21"/>
      <c r="T767" s="28"/>
      <c r="AS767" s="24"/>
      <c r="AT767" s="24"/>
      <c r="AU767" s="24"/>
      <c r="AV767" s="24"/>
      <c r="AX767" s="29"/>
    </row>
    <row r="768" spans="2:50">
      <c r="B768" s="19"/>
      <c r="K768" s="21"/>
      <c r="T768" s="28"/>
      <c r="AS768" s="24"/>
      <c r="AT768" s="24"/>
      <c r="AU768" s="24"/>
      <c r="AV768" s="24"/>
      <c r="AX768" s="29"/>
    </row>
    <row r="769" spans="2:50">
      <c r="B769" s="19"/>
      <c r="K769" s="21"/>
      <c r="T769" s="28"/>
      <c r="AS769" s="24"/>
      <c r="AT769" s="24"/>
      <c r="AU769" s="24"/>
      <c r="AV769" s="24"/>
      <c r="AX769" s="29"/>
    </row>
    <row r="770" spans="2:50">
      <c r="B770" s="19"/>
      <c r="K770" s="21"/>
      <c r="T770" s="28"/>
      <c r="AS770" s="24"/>
      <c r="AT770" s="24"/>
      <c r="AU770" s="24"/>
      <c r="AV770" s="24"/>
      <c r="AX770" s="29"/>
    </row>
    <row r="771" spans="2:50">
      <c r="B771" s="19"/>
      <c r="K771" s="21"/>
      <c r="T771" s="28"/>
      <c r="AS771" s="24"/>
      <c r="AT771" s="24"/>
      <c r="AU771" s="24"/>
      <c r="AV771" s="24"/>
      <c r="AX771" s="29"/>
    </row>
    <row r="772" spans="2:50">
      <c r="B772" s="19"/>
      <c r="K772" s="21"/>
      <c r="T772" s="28"/>
      <c r="AS772" s="24"/>
      <c r="AT772" s="24"/>
      <c r="AU772" s="24"/>
      <c r="AV772" s="24"/>
      <c r="AX772" s="29"/>
    </row>
    <row r="773" spans="2:50">
      <c r="B773" s="19"/>
      <c r="K773" s="21"/>
      <c r="T773" s="28"/>
      <c r="AS773" s="24"/>
      <c r="AT773" s="24"/>
      <c r="AU773" s="24"/>
      <c r="AV773" s="24"/>
      <c r="AX773" s="29"/>
    </row>
    <row r="774" spans="2:50">
      <c r="B774" s="19"/>
      <c r="K774" s="21"/>
      <c r="T774" s="28"/>
      <c r="AS774" s="24"/>
      <c r="AT774" s="24"/>
      <c r="AU774" s="24"/>
      <c r="AV774" s="24"/>
      <c r="AX774" s="29"/>
    </row>
    <row r="775" spans="2:50">
      <c r="B775" s="19"/>
      <c r="K775" s="21"/>
      <c r="T775" s="28"/>
      <c r="AS775" s="24"/>
      <c r="AT775" s="24"/>
      <c r="AU775" s="24"/>
      <c r="AV775" s="24"/>
      <c r="AX775" s="29"/>
    </row>
    <row r="776" spans="2:50">
      <c r="B776" s="19"/>
      <c r="K776" s="21"/>
      <c r="T776" s="28"/>
      <c r="AS776" s="24"/>
      <c r="AT776" s="24"/>
      <c r="AU776" s="24"/>
      <c r="AV776" s="24"/>
      <c r="AX776" s="29"/>
    </row>
    <row r="777" spans="2:50">
      <c r="B777" s="19"/>
      <c r="K777" s="21"/>
      <c r="T777" s="28"/>
      <c r="AS777" s="24"/>
      <c r="AT777" s="24"/>
      <c r="AU777" s="24"/>
      <c r="AV777" s="24"/>
      <c r="AX777" s="29"/>
    </row>
    <row r="778" spans="2:50">
      <c r="B778" s="19"/>
      <c r="K778" s="21"/>
      <c r="T778" s="28"/>
      <c r="AS778" s="24"/>
      <c r="AT778" s="24"/>
      <c r="AU778" s="24"/>
      <c r="AV778" s="24"/>
      <c r="AX778" s="29"/>
    </row>
    <row r="779" spans="2:50">
      <c r="B779" s="19"/>
      <c r="K779" s="21"/>
      <c r="T779" s="28"/>
      <c r="AS779" s="24"/>
      <c r="AT779" s="24"/>
      <c r="AU779" s="24"/>
      <c r="AV779" s="24"/>
      <c r="AX779" s="29"/>
    </row>
    <row r="780" spans="2:50">
      <c r="B780" s="19"/>
      <c r="K780" s="21"/>
      <c r="T780" s="28"/>
      <c r="AS780" s="24"/>
      <c r="AT780" s="24"/>
      <c r="AU780" s="24"/>
      <c r="AV780" s="24"/>
      <c r="AX780" s="29"/>
    </row>
    <row r="781" spans="2:50">
      <c r="B781" s="19"/>
      <c r="K781" s="21"/>
      <c r="T781" s="28"/>
      <c r="AS781" s="24"/>
      <c r="AT781" s="24"/>
      <c r="AU781" s="24"/>
      <c r="AV781" s="24"/>
      <c r="AX781" s="29"/>
    </row>
    <row r="782" spans="2:50">
      <c r="B782" s="19"/>
      <c r="K782" s="21"/>
      <c r="T782" s="28"/>
      <c r="AS782" s="24"/>
      <c r="AT782" s="24"/>
      <c r="AU782" s="24"/>
      <c r="AV782" s="24"/>
      <c r="AX782" s="29"/>
    </row>
    <row r="783" spans="2:50">
      <c r="B783" s="19"/>
      <c r="K783" s="21"/>
      <c r="T783" s="28"/>
      <c r="AS783" s="24"/>
      <c r="AT783" s="24"/>
      <c r="AU783" s="24"/>
      <c r="AV783" s="24"/>
      <c r="AX783" s="29"/>
    </row>
    <row r="784" spans="2:50">
      <c r="B784" s="19"/>
      <c r="K784" s="21"/>
      <c r="T784" s="28"/>
      <c r="AS784" s="24"/>
      <c r="AT784" s="24"/>
      <c r="AU784" s="24"/>
      <c r="AV784" s="24"/>
      <c r="AX784" s="29"/>
    </row>
    <row r="785" spans="2:50">
      <c r="B785" s="19"/>
      <c r="K785" s="21"/>
      <c r="T785" s="28"/>
      <c r="AS785" s="24"/>
      <c r="AT785" s="24"/>
      <c r="AU785" s="24"/>
      <c r="AV785" s="24"/>
      <c r="AX785" s="29"/>
    </row>
    <row r="786" spans="2:50">
      <c r="B786" s="19"/>
      <c r="K786" s="21"/>
      <c r="T786" s="28"/>
      <c r="AS786" s="24"/>
      <c r="AT786" s="24"/>
      <c r="AU786" s="24"/>
      <c r="AV786" s="24"/>
      <c r="AX786" s="29"/>
    </row>
    <row r="787" spans="2:50">
      <c r="B787" s="19"/>
      <c r="K787" s="21"/>
      <c r="T787" s="28"/>
      <c r="AS787" s="24"/>
      <c r="AT787" s="24"/>
      <c r="AU787" s="24"/>
      <c r="AV787" s="24"/>
      <c r="AX787" s="29"/>
    </row>
    <row r="788" spans="2:50">
      <c r="B788" s="19"/>
      <c r="K788" s="21"/>
      <c r="T788" s="28"/>
      <c r="AS788" s="24"/>
      <c r="AT788" s="24"/>
      <c r="AU788" s="24"/>
      <c r="AV788" s="24"/>
      <c r="AX788" s="29"/>
    </row>
    <row r="789" spans="2:50">
      <c r="B789" s="19"/>
      <c r="K789" s="21"/>
      <c r="T789" s="28"/>
      <c r="AS789" s="24"/>
      <c r="AT789" s="24"/>
      <c r="AU789" s="24"/>
      <c r="AV789" s="24"/>
      <c r="AX789" s="29"/>
    </row>
    <row r="790" spans="2:50">
      <c r="B790" s="19"/>
      <c r="K790" s="21"/>
      <c r="T790" s="28"/>
      <c r="AS790" s="24"/>
      <c r="AT790" s="24"/>
      <c r="AU790" s="24"/>
      <c r="AV790" s="24"/>
      <c r="AX790" s="29"/>
    </row>
    <row r="791" spans="2:50">
      <c r="B791" s="33"/>
      <c r="K791" s="21"/>
      <c r="T791" s="28"/>
      <c r="AS791" s="24"/>
      <c r="AT791" s="24"/>
      <c r="AU791" s="24"/>
      <c r="AV791" s="24"/>
      <c r="AX791" s="29"/>
    </row>
    <row r="792" spans="2:50">
      <c r="B792" s="19"/>
      <c r="K792" s="21"/>
      <c r="T792" s="28"/>
      <c r="AS792" s="24"/>
      <c r="AT792" s="24"/>
      <c r="AU792" s="24"/>
      <c r="AV792" s="24"/>
      <c r="AX792" s="29"/>
    </row>
    <row r="793" spans="2:50">
      <c r="B793" s="19"/>
      <c r="K793" s="21"/>
      <c r="T793" s="28"/>
      <c r="AS793" s="24"/>
      <c r="AT793" s="24"/>
      <c r="AU793" s="24"/>
      <c r="AV793" s="24"/>
      <c r="AX793" s="29"/>
    </row>
    <row r="794" spans="2:50">
      <c r="B794" s="19"/>
      <c r="K794" s="21"/>
      <c r="T794" s="28"/>
      <c r="AS794" s="24"/>
      <c r="AT794" s="24"/>
      <c r="AU794" s="24"/>
      <c r="AV794" s="24"/>
      <c r="AX794" s="29"/>
    </row>
    <row r="795" spans="2:50">
      <c r="B795" s="19"/>
      <c r="K795" s="21"/>
      <c r="T795" s="28"/>
      <c r="AS795" s="24"/>
      <c r="AT795" s="24"/>
      <c r="AU795" s="24"/>
      <c r="AV795" s="24"/>
      <c r="AX795" s="29"/>
    </row>
    <row r="796" spans="2:50">
      <c r="B796" s="19"/>
      <c r="K796" s="21"/>
      <c r="T796" s="28"/>
      <c r="AS796" s="24"/>
      <c r="AT796" s="24"/>
      <c r="AU796" s="24"/>
      <c r="AV796" s="24"/>
      <c r="AX796" s="29"/>
    </row>
    <row r="797" spans="2:50">
      <c r="B797" s="19"/>
      <c r="K797" s="21"/>
      <c r="T797" s="28"/>
      <c r="AS797" s="24"/>
      <c r="AT797" s="24"/>
      <c r="AU797" s="24"/>
      <c r="AV797" s="24"/>
      <c r="AX797" s="29"/>
    </row>
    <row r="798" spans="2:50">
      <c r="B798" s="19"/>
      <c r="K798" s="21"/>
      <c r="T798" s="28"/>
      <c r="AS798" s="24"/>
      <c r="AT798" s="24"/>
      <c r="AU798" s="24"/>
      <c r="AV798" s="24"/>
      <c r="AX798" s="29"/>
    </row>
    <row r="799" spans="2:50">
      <c r="B799" s="19"/>
      <c r="K799" s="21"/>
      <c r="T799" s="28"/>
      <c r="AS799" s="24"/>
      <c r="AT799" s="24"/>
      <c r="AU799" s="24"/>
      <c r="AV799" s="24"/>
      <c r="AX799" s="29"/>
    </row>
    <row r="800" spans="2:50">
      <c r="B800" s="19"/>
      <c r="K800" s="21"/>
      <c r="T800" s="28"/>
      <c r="AS800" s="24"/>
      <c r="AT800" s="24"/>
      <c r="AU800" s="24"/>
      <c r="AV800" s="24"/>
      <c r="AX800" s="29"/>
    </row>
    <row r="801" spans="2:50">
      <c r="B801" s="19"/>
      <c r="K801" s="21"/>
      <c r="T801" s="28"/>
      <c r="AS801" s="24"/>
      <c r="AT801" s="24"/>
      <c r="AU801" s="24"/>
      <c r="AV801" s="24"/>
      <c r="AX801" s="29"/>
    </row>
    <row r="802" spans="2:50">
      <c r="B802" s="19"/>
      <c r="K802" s="21"/>
      <c r="T802" s="28"/>
      <c r="AS802" s="24"/>
      <c r="AT802" s="24"/>
      <c r="AU802" s="24"/>
      <c r="AV802" s="24"/>
      <c r="AX802" s="29"/>
    </row>
    <row r="803" spans="2:50">
      <c r="B803" s="19"/>
      <c r="K803" s="21"/>
      <c r="T803" s="28"/>
      <c r="AS803" s="24"/>
      <c r="AT803" s="24"/>
      <c r="AU803" s="24"/>
      <c r="AV803" s="24"/>
      <c r="AX803" s="29"/>
    </row>
    <row r="804" spans="2:50">
      <c r="B804" s="19"/>
      <c r="K804" s="21"/>
      <c r="T804" s="28"/>
      <c r="AS804" s="24"/>
      <c r="AT804" s="24"/>
      <c r="AU804" s="24"/>
      <c r="AV804" s="24"/>
      <c r="AX804" s="29"/>
    </row>
    <row r="805" spans="2:50">
      <c r="B805" s="19"/>
      <c r="K805" s="21"/>
      <c r="T805" s="28"/>
      <c r="AS805" s="24"/>
      <c r="AT805" s="24"/>
      <c r="AU805" s="24"/>
      <c r="AV805" s="24"/>
      <c r="AX805" s="29"/>
    </row>
    <row r="806" spans="2:50">
      <c r="B806" s="19"/>
      <c r="K806" s="21"/>
      <c r="T806" s="28"/>
      <c r="AS806" s="24"/>
      <c r="AT806" s="24"/>
      <c r="AU806" s="24"/>
      <c r="AV806" s="24"/>
      <c r="AX806" s="29"/>
    </row>
    <row r="807" spans="2:50">
      <c r="B807" s="19"/>
      <c r="K807" s="21"/>
      <c r="T807" s="28"/>
      <c r="AS807" s="24"/>
      <c r="AT807" s="24"/>
      <c r="AU807" s="24"/>
      <c r="AV807" s="24"/>
      <c r="AX807" s="29"/>
    </row>
    <row r="808" spans="2:50">
      <c r="B808" s="19"/>
      <c r="K808" s="21"/>
      <c r="T808" s="28"/>
      <c r="AS808" s="24"/>
      <c r="AT808" s="24"/>
      <c r="AU808" s="24"/>
      <c r="AV808" s="24"/>
      <c r="AX808" s="29"/>
    </row>
    <row r="809" spans="2:50">
      <c r="B809" s="19"/>
      <c r="K809" s="21"/>
      <c r="T809" s="28"/>
      <c r="AS809" s="24"/>
      <c r="AT809" s="24"/>
      <c r="AU809" s="24"/>
      <c r="AV809" s="24"/>
      <c r="AX809" s="29"/>
    </row>
    <row r="810" spans="2:50">
      <c r="B810" s="19"/>
      <c r="K810" s="21"/>
      <c r="T810" s="28"/>
      <c r="AS810" s="24"/>
      <c r="AT810" s="24"/>
      <c r="AU810" s="24"/>
      <c r="AV810" s="24"/>
      <c r="AX810" s="29"/>
    </row>
    <row r="811" spans="2:50">
      <c r="B811" s="19"/>
      <c r="K811" s="21"/>
      <c r="T811" s="28"/>
      <c r="AS811" s="24"/>
      <c r="AT811" s="24"/>
      <c r="AU811" s="24"/>
      <c r="AV811" s="24"/>
      <c r="AX811" s="29"/>
    </row>
    <row r="812" spans="2:50">
      <c r="B812" s="19"/>
      <c r="K812" s="21"/>
      <c r="T812" s="28"/>
      <c r="AS812" s="24"/>
      <c r="AT812" s="24"/>
      <c r="AU812" s="24"/>
      <c r="AV812" s="24"/>
      <c r="AX812" s="29"/>
    </row>
    <row r="813" spans="2:50">
      <c r="B813" s="19"/>
      <c r="K813" s="21"/>
      <c r="T813" s="28"/>
      <c r="AS813" s="24"/>
      <c r="AT813" s="24"/>
      <c r="AU813" s="24"/>
      <c r="AV813" s="24"/>
      <c r="AX813" s="29"/>
    </row>
    <row r="814" spans="2:50">
      <c r="B814" s="19"/>
      <c r="K814" s="21"/>
      <c r="T814" s="28"/>
      <c r="AS814" s="24"/>
      <c r="AT814" s="24"/>
      <c r="AU814" s="24"/>
      <c r="AV814" s="24"/>
      <c r="AX814" s="29"/>
    </row>
    <row r="815" spans="2:50">
      <c r="B815" s="19"/>
      <c r="K815" s="21"/>
      <c r="T815" s="28"/>
      <c r="AS815" s="24"/>
      <c r="AT815" s="24"/>
      <c r="AU815" s="24"/>
      <c r="AV815" s="24"/>
      <c r="AX815" s="29"/>
    </row>
    <row r="816" spans="2:50">
      <c r="B816" s="19"/>
      <c r="K816" s="21"/>
      <c r="T816" s="28"/>
      <c r="AS816" s="24"/>
      <c r="AT816" s="24"/>
      <c r="AU816" s="24"/>
      <c r="AV816" s="24"/>
      <c r="AX816" s="29"/>
    </row>
    <row r="817" spans="2:50">
      <c r="B817" s="19"/>
      <c r="K817" s="21"/>
      <c r="T817" s="28"/>
      <c r="AS817" s="24"/>
      <c r="AT817" s="24"/>
      <c r="AU817" s="24"/>
      <c r="AV817" s="24"/>
      <c r="AX817" s="29"/>
    </row>
    <row r="818" spans="2:50">
      <c r="B818" s="19"/>
      <c r="K818" s="21"/>
      <c r="T818" s="28"/>
      <c r="AS818" s="24"/>
      <c r="AT818" s="24"/>
      <c r="AU818" s="24"/>
      <c r="AV818" s="24"/>
      <c r="AX818" s="29"/>
    </row>
    <row r="819" spans="2:50">
      <c r="B819" s="19"/>
      <c r="K819" s="21"/>
      <c r="T819" s="28"/>
      <c r="AS819" s="24"/>
      <c r="AT819" s="24"/>
      <c r="AU819" s="24"/>
      <c r="AV819" s="24"/>
      <c r="AX819" s="29"/>
    </row>
    <row r="820" spans="2:50">
      <c r="B820" s="19"/>
      <c r="K820" s="21"/>
      <c r="T820" s="28"/>
      <c r="AS820" s="24"/>
      <c r="AT820" s="24"/>
      <c r="AU820" s="24"/>
      <c r="AV820" s="24"/>
      <c r="AX820" s="29"/>
    </row>
    <row r="821" spans="2:50">
      <c r="B821" s="19"/>
      <c r="K821" s="21"/>
      <c r="T821" s="28"/>
      <c r="AS821" s="24"/>
      <c r="AT821" s="24"/>
      <c r="AU821" s="24"/>
      <c r="AV821" s="24"/>
      <c r="AX821" s="29"/>
    </row>
    <row r="822" spans="2:50">
      <c r="B822" s="19"/>
      <c r="K822" s="21"/>
      <c r="T822" s="28"/>
      <c r="AS822" s="24"/>
      <c r="AT822" s="24"/>
      <c r="AU822" s="24"/>
      <c r="AV822" s="24"/>
      <c r="AX822" s="29"/>
    </row>
    <row r="823" spans="2:50">
      <c r="B823" s="19"/>
      <c r="K823" s="21"/>
      <c r="T823" s="28"/>
      <c r="AS823" s="24"/>
      <c r="AT823" s="24"/>
      <c r="AU823" s="24"/>
      <c r="AV823" s="24"/>
      <c r="AX823" s="29"/>
    </row>
    <row r="824" spans="2:50">
      <c r="B824" s="19"/>
      <c r="K824" s="21"/>
      <c r="T824" s="28"/>
      <c r="AS824" s="24"/>
      <c r="AT824" s="24"/>
      <c r="AU824" s="24"/>
      <c r="AV824" s="24"/>
      <c r="AX824" s="29"/>
    </row>
    <row r="825" spans="2:50">
      <c r="B825" s="19"/>
      <c r="K825" s="21"/>
      <c r="T825" s="28"/>
      <c r="AS825" s="24"/>
      <c r="AT825" s="24"/>
      <c r="AU825" s="24"/>
      <c r="AV825" s="24"/>
      <c r="AX825" s="29"/>
    </row>
    <row r="826" spans="2:50">
      <c r="B826" s="19"/>
      <c r="K826" s="21"/>
      <c r="T826" s="28"/>
      <c r="AS826" s="24"/>
      <c r="AT826" s="24"/>
      <c r="AU826" s="24"/>
      <c r="AV826" s="24"/>
      <c r="AX826" s="29"/>
    </row>
    <row r="827" spans="2:50">
      <c r="B827" s="19"/>
      <c r="K827" s="21"/>
      <c r="T827" s="28"/>
      <c r="AS827" s="24"/>
      <c r="AT827" s="24"/>
      <c r="AU827" s="24"/>
      <c r="AV827" s="24"/>
      <c r="AX827" s="29"/>
    </row>
    <row r="828" spans="2:50">
      <c r="B828" s="19"/>
      <c r="K828" s="21"/>
      <c r="T828" s="28"/>
      <c r="AS828" s="24"/>
      <c r="AT828" s="24"/>
      <c r="AU828" s="24"/>
      <c r="AV828" s="24"/>
      <c r="AX828" s="29"/>
    </row>
    <row r="829" spans="2:50">
      <c r="B829" s="19"/>
      <c r="K829" s="21"/>
      <c r="T829" s="28"/>
      <c r="AS829" s="24"/>
      <c r="AT829" s="24"/>
      <c r="AU829" s="24"/>
      <c r="AV829" s="24"/>
      <c r="AX829" s="29"/>
    </row>
    <row r="830" spans="2:50">
      <c r="B830" s="19"/>
      <c r="K830" s="21"/>
      <c r="T830" s="28"/>
      <c r="AS830" s="24"/>
      <c r="AT830" s="24"/>
      <c r="AU830" s="24"/>
      <c r="AV830" s="24"/>
      <c r="AX830" s="29"/>
    </row>
    <row r="831" spans="2:50">
      <c r="B831" s="19"/>
      <c r="K831" s="21"/>
      <c r="T831" s="28"/>
      <c r="AS831" s="24"/>
      <c r="AT831" s="24"/>
      <c r="AU831" s="24"/>
      <c r="AV831" s="24"/>
      <c r="AX831" s="29"/>
    </row>
    <row r="832" spans="2:50">
      <c r="B832" s="19"/>
      <c r="K832" s="21"/>
      <c r="T832" s="28"/>
      <c r="AS832" s="24"/>
      <c r="AT832" s="24"/>
      <c r="AU832" s="24"/>
      <c r="AV832" s="24"/>
      <c r="AX832" s="29"/>
    </row>
    <row r="833" spans="2:50">
      <c r="B833" s="19"/>
      <c r="K833" s="21"/>
      <c r="T833" s="28"/>
      <c r="AS833" s="24"/>
      <c r="AT833" s="24"/>
      <c r="AU833" s="24"/>
      <c r="AV833" s="24"/>
      <c r="AX833" s="29"/>
    </row>
    <row r="834" spans="2:50">
      <c r="B834" s="19"/>
      <c r="K834" s="21"/>
      <c r="T834" s="28"/>
      <c r="AS834" s="24"/>
      <c r="AT834" s="24"/>
      <c r="AU834" s="24"/>
      <c r="AV834" s="24"/>
      <c r="AX834" s="29"/>
    </row>
    <row r="835" spans="2:50">
      <c r="B835" s="19"/>
      <c r="K835" s="21"/>
      <c r="T835" s="28"/>
      <c r="AS835" s="24"/>
      <c r="AT835" s="24"/>
      <c r="AU835" s="24"/>
      <c r="AV835" s="24"/>
      <c r="AX835" s="29"/>
    </row>
    <row r="836" spans="2:50">
      <c r="B836" s="19"/>
      <c r="K836" s="21"/>
      <c r="T836" s="28"/>
      <c r="AS836" s="24"/>
      <c r="AT836" s="24"/>
      <c r="AU836" s="24"/>
      <c r="AV836" s="24"/>
      <c r="AX836" s="29"/>
    </row>
    <row r="837" spans="2:50">
      <c r="B837" s="19"/>
      <c r="K837" s="21"/>
      <c r="T837" s="28"/>
      <c r="AS837" s="24"/>
      <c r="AT837" s="24"/>
      <c r="AU837" s="24"/>
      <c r="AV837" s="24"/>
      <c r="AX837" s="29"/>
    </row>
    <row r="838" spans="2:50">
      <c r="B838" s="19"/>
      <c r="K838" s="21"/>
      <c r="T838" s="28"/>
      <c r="AS838" s="24"/>
      <c r="AT838" s="24"/>
      <c r="AU838" s="24"/>
      <c r="AV838" s="24"/>
      <c r="AX838" s="29"/>
    </row>
    <row r="839" spans="2:50">
      <c r="B839" s="19"/>
      <c r="K839" s="21"/>
      <c r="T839" s="28"/>
      <c r="AS839" s="24"/>
      <c r="AT839" s="24"/>
      <c r="AU839" s="24"/>
      <c r="AV839" s="24"/>
      <c r="AX839" s="29"/>
    </row>
    <row r="840" spans="2:50">
      <c r="B840" s="19"/>
      <c r="K840" s="21"/>
      <c r="T840" s="28"/>
      <c r="AS840" s="24"/>
      <c r="AT840" s="24"/>
      <c r="AU840" s="24"/>
      <c r="AV840" s="24"/>
      <c r="AX840" s="29"/>
    </row>
    <row r="841" spans="2:50">
      <c r="B841" s="19"/>
      <c r="K841" s="21"/>
      <c r="T841" s="28"/>
      <c r="AS841" s="24"/>
      <c r="AT841" s="24"/>
      <c r="AU841" s="24"/>
      <c r="AV841" s="24"/>
      <c r="AX841" s="29"/>
    </row>
    <row r="842" spans="2:50">
      <c r="B842" s="19"/>
      <c r="K842" s="21"/>
      <c r="T842" s="28"/>
      <c r="AS842" s="24"/>
      <c r="AT842" s="24"/>
      <c r="AU842" s="24"/>
      <c r="AV842" s="24"/>
      <c r="AX842" s="29"/>
    </row>
    <row r="843" spans="2:50">
      <c r="B843" s="19"/>
      <c r="K843" s="21"/>
      <c r="T843" s="28"/>
      <c r="AS843" s="24"/>
      <c r="AT843" s="24"/>
      <c r="AU843" s="24"/>
      <c r="AV843" s="24"/>
      <c r="AX843" s="29"/>
    </row>
    <row r="844" spans="2:50">
      <c r="B844" s="19"/>
      <c r="K844" s="21"/>
      <c r="T844" s="28"/>
      <c r="AS844" s="24"/>
      <c r="AT844" s="24"/>
      <c r="AU844" s="24"/>
      <c r="AV844" s="24"/>
      <c r="AX844" s="29"/>
    </row>
    <row r="845" spans="2:50">
      <c r="B845" s="19"/>
      <c r="K845" s="21"/>
      <c r="T845" s="28"/>
      <c r="AS845" s="24"/>
      <c r="AT845" s="24"/>
      <c r="AU845" s="24"/>
      <c r="AV845" s="24"/>
      <c r="AX845" s="29"/>
    </row>
    <row r="846" spans="2:50">
      <c r="B846" s="19"/>
      <c r="K846" s="21"/>
      <c r="T846" s="28"/>
      <c r="AS846" s="24"/>
      <c r="AT846" s="24"/>
      <c r="AU846" s="24"/>
      <c r="AV846" s="24"/>
      <c r="AX846" s="29"/>
    </row>
    <row r="847" spans="2:50">
      <c r="B847" s="19"/>
      <c r="K847" s="21"/>
      <c r="T847" s="28"/>
      <c r="AS847" s="24"/>
      <c r="AT847" s="24"/>
      <c r="AU847" s="24"/>
      <c r="AV847" s="24"/>
      <c r="AX847" s="29"/>
    </row>
    <row r="848" spans="2:50">
      <c r="B848" s="19"/>
      <c r="K848" s="21"/>
      <c r="T848" s="28"/>
      <c r="AS848" s="24"/>
      <c r="AT848" s="24"/>
      <c r="AU848" s="24"/>
      <c r="AV848" s="24"/>
      <c r="AX848" s="29"/>
    </row>
    <row r="849" spans="2:50">
      <c r="B849" s="19"/>
      <c r="K849" s="21"/>
      <c r="T849" s="28"/>
      <c r="AS849" s="24"/>
      <c r="AT849" s="24"/>
      <c r="AU849" s="24"/>
      <c r="AV849" s="24"/>
      <c r="AX849" s="29"/>
    </row>
    <row r="850" spans="2:50">
      <c r="B850" s="19"/>
      <c r="K850" s="21"/>
      <c r="T850" s="28"/>
      <c r="AS850" s="24"/>
      <c r="AT850" s="24"/>
      <c r="AU850" s="24"/>
      <c r="AV850" s="24"/>
      <c r="AX850" s="29"/>
    </row>
    <row r="851" spans="2:50">
      <c r="B851" s="19"/>
      <c r="K851" s="21"/>
      <c r="T851" s="28"/>
      <c r="AS851" s="24"/>
      <c r="AT851" s="24"/>
      <c r="AU851" s="24"/>
      <c r="AV851" s="24"/>
      <c r="AX851" s="29"/>
    </row>
    <row r="852" spans="2:50">
      <c r="B852" s="19"/>
      <c r="K852" s="21"/>
      <c r="T852" s="28"/>
      <c r="AS852" s="24"/>
      <c r="AT852" s="24"/>
      <c r="AU852" s="24"/>
      <c r="AV852" s="24"/>
      <c r="AX852" s="29"/>
    </row>
    <row r="853" spans="2:50">
      <c r="B853" s="19"/>
      <c r="K853" s="21"/>
      <c r="T853" s="28"/>
      <c r="AS853" s="24"/>
      <c r="AT853" s="24"/>
      <c r="AU853" s="24"/>
      <c r="AV853" s="24"/>
      <c r="AX853" s="29"/>
    </row>
    <row r="854" spans="2:50">
      <c r="B854" s="19"/>
      <c r="K854" s="21"/>
      <c r="T854" s="28"/>
      <c r="AS854" s="24"/>
      <c r="AT854" s="24"/>
      <c r="AU854" s="24"/>
      <c r="AV854" s="24"/>
      <c r="AX854" s="29"/>
    </row>
    <row r="855" spans="2:50">
      <c r="B855" s="19"/>
      <c r="K855" s="21"/>
      <c r="T855" s="28"/>
      <c r="AS855" s="24"/>
      <c r="AT855" s="24"/>
      <c r="AU855" s="24"/>
      <c r="AV855" s="24"/>
      <c r="AX855" s="29"/>
    </row>
    <row r="856" spans="2:50">
      <c r="B856" s="19"/>
      <c r="K856" s="21"/>
      <c r="T856" s="28"/>
      <c r="AS856" s="24"/>
      <c r="AT856" s="24"/>
      <c r="AU856" s="24"/>
      <c r="AV856" s="24"/>
      <c r="AX856" s="29"/>
    </row>
    <row r="857" spans="2:50">
      <c r="B857" s="19"/>
      <c r="K857" s="21"/>
      <c r="T857" s="28"/>
      <c r="AS857" s="24"/>
      <c r="AT857" s="24"/>
      <c r="AU857" s="24"/>
      <c r="AV857" s="24"/>
      <c r="AX857" s="29"/>
    </row>
    <row r="858" spans="2:50">
      <c r="B858" s="19"/>
      <c r="K858" s="21"/>
      <c r="T858" s="28"/>
      <c r="AS858" s="24"/>
      <c r="AT858" s="24"/>
      <c r="AU858" s="24"/>
      <c r="AV858" s="24"/>
      <c r="AX858" s="29"/>
    </row>
    <row r="859" spans="2:50">
      <c r="B859" s="19"/>
      <c r="K859" s="21"/>
      <c r="T859" s="28"/>
      <c r="AS859" s="24"/>
      <c r="AT859" s="24"/>
      <c r="AU859" s="24"/>
      <c r="AV859" s="24"/>
      <c r="AX859" s="29"/>
    </row>
    <row r="860" spans="2:50">
      <c r="B860" s="19"/>
      <c r="K860" s="21"/>
      <c r="T860" s="28"/>
      <c r="AS860" s="24"/>
      <c r="AT860" s="24"/>
      <c r="AU860" s="24"/>
      <c r="AV860" s="24"/>
      <c r="AX860" s="29"/>
    </row>
    <row r="861" spans="2:50">
      <c r="B861" s="19"/>
      <c r="K861" s="21"/>
      <c r="T861" s="28"/>
      <c r="AS861" s="24"/>
      <c r="AT861" s="24"/>
      <c r="AU861" s="24"/>
      <c r="AV861" s="24"/>
      <c r="AX861" s="29"/>
    </row>
    <row r="862" spans="2:50">
      <c r="B862" s="19"/>
      <c r="K862" s="21"/>
      <c r="T862" s="28"/>
      <c r="AS862" s="24"/>
      <c r="AT862" s="24"/>
      <c r="AU862" s="24"/>
      <c r="AV862" s="24"/>
      <c r="AX862" s="29"/>
    </row>
    <row r="863" spans="2:50">
      <c r="B863" s="19"/>
      <c r="K863" s="21"/>
      <c r="T863" s="28"/>
      <c r="AS863" s="24"/>
      <c r="AT863" s="24"/>
      <c r="AU863" s="24"/>
      <c r="AV863" s="24"/>
      <c r="AX863" s="29"/>
    </row>
    <row r="864" spans="2:50">
      <c r="B864" s="19"/>
      <c r="K864" s="21"/>
      <c r="T864" s="28"/>
      <c r="AS864" s="24"/>
      <c r="AT864" s="24"/>
      <c r="AU864" s="24"/>
      <c r="AV864" s="24"/>
      <c r="AX864" s="29"/>
    </row>
    <row r="865" spans="2:50">
      <c r="B865" s="19"/>
      <c r="K865" s="21"/>
      <c r="T865" s="28"/>
      <c r="AS865" s="24"/>
      <c r="AT865" s="24"/>
      <c r="AU865" s="24"/>
      <c r="AV865" s="24"/>
      <c r="AX865" s="29"/>
    </row>
    <row r="866" spans="2:50">
      <c r="B866" s="19"/>
      <c r="K866" s="21"/>
      <c r="T866" s="28"/>
      <c r="AS866" s="24"/>
      <c r="AT866" s="24"/>
      <c r="AU866" s="24"/>
      <c r="AV866" s="24"/>
      <c r="AX866" s="29"/>
    </row>
    <row r="867" spans="2:50">
      <c r="B867" s="19"/>
      <c r="K867" s="21"/>
      <c r="T867" s="28"/>
      <c r="AS867" s="24"/>
      <c r="AT867" s="24"/>
      <c r="AU867" s="24"/>
      <c r="AV867" s="24"/>
      <c r="AX867" s="29"/>
    </row>
    <row r="868" spans="2:50">
      <c r="B868" s="19"/>
      <c r="K868" s="21"/>
      <c r="T868" s="28"/>
      <c r="AS868" s="24"/>
      <c r="AT868" s="24"/>
      <c r="AU868" s="24"/>
      <c r="AV868" s="24"/>
      <c r="AX868" s="29"/>
    </row>
    <row r="869" spans="2:50">
      <c r="B869" s="19"/>
      <c r="K869" s="21"/>
      <c r="T869" s="28"/>
      <c r="AS869" s="24"/>
      <c r="AT869" s="24"/>
      <c r="AU869" s="24"/>
      <c r="AV869" s="24"/>
      <c r="AX869" s="29"/>
    </row>
    <row r="870" spans="2:50">
      <c r="B870" s="19"/>
      <c r="K870" s="21"/>
      <c r="T870" s="28"/>
      <c r="AS870" s="24"/>
      <c r="AT870" s="24"/>
      <c r="AU870" s="24"/>
      <c r="AV870" s="24"/>
      <c r="AX870" s="29"/>
    </row>
    <row r="871" spans="2:50">
      <c r="B871" s="19"/>
      <c r="K871" s="21"/>
      <c r="T871" s="28"/>
      <c r="AS871" s="24"/>
      <c r="AT871" s="24"/>
      <c r="AU871" s="24"/>
      <c r="AV871" s="24"/>
      <c r="AX871" s="29"/>
    </row>
    <row r="872" spans="2:50">
      <c r="B872" s="19"/>
      <c r="K872" s="21"/>
      <c r="T872" s="28"/>
      <c r="AS872" s="24"/>
      <c r="AT872" s="24"/>
      <c r="AU872" s="24"/>
      <c r="AV872" s="24"/>
      <c r="AX872" s="29"/>
    </row>
    <row r="873" spans="2:50">
      <c r="B873" s="19"/>
      <c r="K873" s="21"/>
      <c r="T873" s="28"/>
      <c r="AS873" s="24"/>
      <c r="AT873" s="24"/>
      <c r="AU873" s="24"/>
      <c r="AV873" s="24"/>
      <c r="AX873" s="29"/>
    </row>
    <row r="874" spans="2:50">
      <c r="B874" s="19"/>
      <c r="K874" s="21"/>
      <c r="T874" s="28"/>
      <c r="AS874" s="24"/>
      <c r="AT874" s="24"/>
      <c r="AU874" s="24"/>
      <c r="AV874" s="24"/>
      <c r="AX874" s="29"/>
    </row>
    <row r="875" spans="2:50">
      <c r="B875" s="19"/>
      <c r="K875" s="21"/>
      <c r="T875" s="28"/>
      <c r="AS875" s="24"/>
      <c r="AT875" s="24"/>
      <c r="AU875" s="24"/>
      <c r="AV875" s="24"/>
      <c r="AX875" s="29"/>
    </row>
    <row r="876" spans="2:50">
      <c r="B876" s="19"/>
      <c r="K876" s="21"/>
      <c r="T876" s="28"/>
      <c r="AS876" s="24"/>
      <c r="AT876" s="24"/>
      <c r="AU876" s="24"/>
      <c r="AV876" s="24"/>
      <c r="AX876" s="29"/>
    </row>
    <row r="877" spans="2:50">
      <c r="B877" s="19"/>
      <c r="K877" s="21"/>
      <c r="T877" s="28"/>
      <c r="AS877" s="24"/>
      <c r="AT877" s="24"/>
      <c r="AU877" s="24"/>
      <c r="AV877" s="24"/>
      <c r="AX877" s="29"/>
    </row>
    <row r="878" spans="2:50">
      <c r="B878" s="19"/>
      <c r="K878" s="21"/>
      <c r="T878" s="28"/>
      <c r="AS878" s="24"/>
      <c r="AT878" s="24"/>
      <c r="AU878" s="24"/>
      <c r="AV878" s="24"/>
      <c r="AX878" s="29"/>
    </row>
    <row r="879" spans="2:50">
      <c r="B879" s="19"/>
      <c r="K879" s="21"/>
      <c r="T879" s="28"/>
      <c r="AS879" s="24"/>
      <c r="AT879" s="24"/>
      <c r="AU879" s="24"/>
      <c r="AV879" s="24"/>
      <c r="AX879" s="29"/>
    </row>
    <row r="880" spans="2:50">
      <c r="B880" s="19"/>
      <c r="K880" s="21"/>
      <c r="T880" s="28"/>
      <c r="AS880" s="24"/>
      <c r="AT880" s="24"/>
      <c r="AU880" s="24"/>
      <c r="AV880" s="24"/>
      <c r="AX880" s="29"/>
    </row>
    <row r="881" spans="2:50">
      <c r="B881" s="19"/>
      <c r="K881" s="21"/>
      <c r="T881" s="28"/>
      <c r="AS881" s="24"/>
      <c r="AT881" s="24"/>
      <c r="AU881" s="24"/>
      <c r="AV881" s="24"/>
      <c r="AX881" s="29"/>
    </row>
    <row r="882" spans="2:50">
      <c r="B882" s="19"/>
      <c r="K882" s="21"/>
      <c r="T882" s="28"/>
      <c r="AS882" s="24"/>
      <c r="AT882" s="24"/>
      <c r="AU882" s="24"/>
      <c r="AV882" s="24"/>
      <c r="AX882" s="29"/>
    </row>
    <row r="883" spans="2:50">
      <c r="B883" s="19"/>
      <c r="K883" s="21"/>
      <c r="T883" s="28"/>
      <c r="AS883" s="24"/>
      <c r="AT883" s="24"/>
      <c r="AU883" s="24"/>
      <c r="AV883" s="24"/>
      <c r="AX883" s="29"/>
    </row>
    <row r="884" spans="2:50">
      <c r="B884" s="19"/>
      <c r="K884" s="21"/>
      <c r="T884" s="28"/>
      <c r="AS884" s="24"/>
      <c r="AT884" s="24"/>
      <c r="AU884" s="24"/>
      <c r="AV884" s="24"/>
      <c r="AX884" s="29"/>
    </row>
    <row r="885" spans="2:50">
      <c r="B885" s="19"/>
      <c r="K885" s="21"/>
      <c r="T885" s="28"/>
      <c r="AS885" s="24"/>
      <c r="AT885" s="24"/>
      <c r="AU885" s="24"/>
      <c r="AV885" s="24"/>
      <c r="AX885" s="29"/>
    </row>
    <row r="886" spans="2:50">
      <c r="B886" s="19"/>
      <c r="K886" s="21"/>
      <c r="T886" s="28"/>
      <c r="AS886" s="24"/>
      <c r="AT886" s="24"/>
      <c r="AU886" s="24"/>
      <c r="AV886" s="24"/>
      <c r="AX886" s="29"/>
    </row>
    <row r="887" spans="2:50">
      <c r="B887" s="19"/>
      <c r="K887" s="21"/>
      <c r="T887" s="28"/>
      <c r="AS887" s="24"/>
      <c r="AT887" s="24"/>
      <c r="AU887" s="24"/>
      <c r="AV887" s="24"/>
      <c r="AX887" s="29"/>
    </row>
    <row r="888" spans="2:50">
      <c r="B888" s="19"/>
      <c r="K888" s="21"/>
      <c r="T888" s="28"/>
      <c r="AS888" s="24"/>
      <c r="AT888" s="24"/>
      <c r="AU888" s="24"/>
      <c r="AV888" s="24"/>
      <c r="AX888" s="29"/>
    </row>
    <row r="889" spans="2:50">
      <c r="B889" s="19"/>
      <c r="K889" s="21"/>
      <c r="T889" s="28"/>
      <c r="AS889" s="24"/>
      <c r="AT889" s="24"/>
      <c r="AU889" s="24"/>
      <c r="AV889" s="24"/>
      <c r="AX889" s="29"/>
    </row>
    <row r="890" spans="2:50">
      <c r="B890" s="19"/>
      <c r="K890" s="21"/>
      <c r="T890" s="28"/>
      <c r="AS890" s="24"/>
      <c r="AT890" s="24"/>
      <c r="AU890" s="24"/>
      <c r="AV890" s="24"/>
      <c r="AX890" s="29"/>
    </row>
    <row r="891" spans="2:50">
      <c r="B891" s="19"/>
      <c r="K891" s="21"/>
      <c r="T891" s="28"/>
      <c r="AS891" s="24"/>
      <c r="AT891" s="24"/>
      <c r="AU891" s="24"/>
      <c r="AV891" s="24"/>
      <c r="AX891" s="29"/>
    </row>
    <row r="892" spans="2:50">
      <c r="B892" s="19"/>
      <c r="K892" s="21"/>
      <c r="T892" s="28"/>
      <c r="AS892" s="24"/>
      <c r="AT892" s="24"/>
      <c r="AU892" s="24"/>
      <c r="AV892" s="24"/>
      <c r="AX892" s="29"/>
    </row>
    <row r="893" spans="2:50">
      <c r="B893" s="19"/>
      <c r="K893" s="21"/>
      <c r="T893" s="28"/>
      <c r="AS893" s="24"/>
      <c r="AT893" s="24"/>
      <c r="AU893" s="24"/>
      <c r="AV893" s="24"/>
      <c r="AX893" s="29"/>
    </row>
    <row r="894" spans="2:50">
      <c r="B894" s="19"/>
      <c r="K894" s="21"/>
      <c r="T894" s="28"/>
      <c r="AS894" s="24"/>
      <c r="AT894" s="24"/>
      <c r="AU894" s="24"/>
      <c r="AV894" s="24"/>
      <c r="AX894" s="29"/>
    </row>
    <row r="895" spans="2:50">
      <c r="B895" s="19"/>
      <c r="K895" s="21"/>
      <c r="T895" s="28"/>
      <c r="AS895" s="24"/>
      <c r="AT895" s="24"/>
      <c r="AU895" s="24"/>
      <c r="AV895" s="24"/>
      <c r="AX895" s="29"/>
    </row>
    <row r="896" spans="2:50">
      <c r="B896" s="19"/>
      <c r="K896" s="21"/>
      <c r="T896" s="28"/>
      <c r="AS896" s="24"/>
      <c r="AT896" s="24"/>
      <c r="AU896" s="24"/>
      <c r="AV896" s="24"/>
      <c r="AX896" s="29"/>
    </row>
    <row r="897" spans="2:50">
      <c r="B897" s="19"/>
      <c r="K897" s="21"/>
      <c r="T897" s="28"/>
      <c r="AS897" s="24"/>
      <c r="AT897" s="24"/>
      <c r="AU897" s="24"/>
      <c r="AV897" s="24"/>
      <c r="AX897" s="29"/>
    </row>
    <row r="898" spans="2:50">
      <c r="B898" s="19"/>
      <c r="K898" s="21"/>
      <c r="T898" s="28"/>
      <c r="AS898" s="24"/>
      <c r="AT898" s="24"/>
      <c r="AU898" s="24"/>
      <c r="AV898" s="24"/>
      <c r="AX898" s="29"/>
    </row>
    <row r="899" spans="2:50">
      <c r="B899" s="19"/>
      <c r="K899" s="21"/>
      <c r="T899" s="28"/>
      <c r="AS899" s="24"/>
      <c r="AT899" s="24"/>
      <c r="AU899" s="24"/>
      <c r="AV899" s="24"/>
      <c r="AX899" s="29"/>
    </row>
    <row r="900" spans="2:50">
      <c r="B900" s="19"/>
      <c r="K900" s="21"/>
      <c r="T900" s="28"/>
      <c r="AS900" s="24"/>
      <c r="AT900" s="24"/>
      <c r="AU900" s="24"/>
      <c r="AV900" s="24"/>
      <c r="AX900" s="29"/>
    </row>
    <row r="901" spans="2:50">
      <c r="B901" s="19"/>
      <c r="K901" s="21"/>
      <c r="T901" s="28"/>
      <c r="AS901" s="24"/>
      <c r="AT901" s="24"/>
      <c r="AU901" s="24"/>
      <c r="AV901" s="24"/>
      <c r="AX901" s="29"/>
    </row>
    <row r="902" spans="2:50">
      <c r="B902" s="19"/>
      <c r="K902" s="21"/>
      <c r="T902" s="28"/>
      <c r="AS902" s="24"/>
      <c r="AT902" s="24"/>
      <c r="AU902" s="24"/>
      <c r="AV902" s="24"/>
      <c r="AX902" s="29"/>
    </row>
    <row r="903" spans="2:50">
      <c r="B903" s="19"/>
      <c r="K903" s="21"/>
      <c r="T903" s="28"/>
      <c r="AS903" s="24"/>
      <c r="AT903" s="24"/>
      <c r="AU903" s="24"/>
      <c r="AV903" s="24"/>
      <c r="AX903" s="29"/>
    </row>
    <row r="904" spans="2:50">
      <c r="B904" s="19"/>
      <c r="K904" s="21"/>
      <c r="T904" s="28"/>
      <c r="AS904" s="24"/>
      <c r="AT904" s="24"/>
      <c r="AU904" s="24"/>
      <c r="AV904" s="24"/>
      <c r="AX904" s="29"/>
    </row>
    <row r="905" spans="2:50">
      <c r="B905" s="19"/>
      <c r="K905" s="21"/>
      <c r="T905" s="28"/>
      <c r="AS905" s="24"/>
      <c r="AT905" s="24"/>
      <c r="AU905" s="24"/>
      <c r="AV905" s="24"/>
      <c r="AX905" s="29"/>
    </row>
    <row r="906" spans="2:50">
      <c r="B906" s="19"/>
      <c r="K906" s="21"/>
      <c r="T906" s="28"/>
      <c r="AS906" s="24"/>
      <c r="AT906" s="24"/>
      <c r="AU906" s="24"/>
      <c r="AV906" s="24"/>
      <c r="AX906" s="29"/>
    </row>
    <row r="907" spans="2:50">
      <c r="B907" s="19"/>
      <c r="K907" s="21"/>
      <c r="T907" s="28"/>
      <c r="AS907" s="24"/>
      <c r="AT907" s="24"/>
      <c r="AU907" s="24"/>
      <c r="AV907" s="24"/>
      <c r="AX907" s="29"/>
    </row>
    <row r="908" spans="2:50">
      <c r="B908" s="19"/>
      <c r="K908" s="21"/>
      <c r="T908" s="28"/>
      <c r="AS908" s="24"/>
      <c r="AT908" s="24"/>
      <c r="AU908" s="24"/>
      <c r="AV908" s="24"/>
      <c r="AX908" s="29"/>
    </row>
    <row r="909" spans="2:50">
      <c r="B909" s="19"/>
      <c r="K909" s="21"/>
      <c r="T909" s="28"/>
      <c r="AS909" s="24"/>
      <c r="AT909" s="24"/>
      <c r="AU909" s="24"/>
      <c r="AV909" s="24"/>
      <c r="AX909" s="29"/>
    </row>
    <row r="910" spans="2:50">
      <c r="B910" s="19"/>
      <c r="K910" s="21"/>
      <c r="T910" s="28"/>
      <c r="AS910" s="24"/>
      <c r="AT910" s="24"/>
      <c r="AU910" s="24"/>
      <c r="AV910" s="24"/>
      <c r="AX910" s="29"/>
    </row>
    <row r="911" spans="2:50">
      <c r="B911" s="19"/>
      <c r="K911" s="21"/>
      <c r="T911" s="28"/>
      <c r="AS911" s="24"/>
      <c r="AT911" s="24"/>
      <c r="AU911" s="24"/>
      <c r="AV911" s="24"/>
      <c r="AX911" s="29"/>
    </row>
    <row r="912" spans="2:50">
      <c r="B912" s="19"/>
      <c r="K912" s="21"/>
      <c r="T912" s="28"/>
      <c r="AS912" s="24"/>
      <c r="AT912" s="24"/>
      <c r="AU912" s="24"/>
      <c r="AV912" s="24"/>
      <c r="AX912" s="29"/>
    </row>
    <row r="913" spans="2:50">
      <c r="B913" s="19"/>
      <c r="K913" s="21"/>
      <c r="T913" s="28"/>
      <c r="AS913" s="24"/>
      <c r="AT913" s="24"/>
      <c r="AU913" s="24"/>
      <c r="AV913" s="24"/>
      <c r="AX913" s="29"/>
    </row>
    <row r="914" spans="2:50">
      <c r="B914" s="19"/>
      <c r="K914" s="21"/>
      <c r="T914" s="28"/>
      <c r="AS914" s="24"/>
      <c r="AT914" s="24"/>
      <c r="AU914" s="24"/>
      <c r="AV914" s="24"/>
      <c r="AX914" s="29"/>
    </row>
    <row r="915" spans="2:50">
      <c r="B915" s="19"/>
      <c r="K915" s="21"/>
      <c r="T915" s="28"/>
      <c r="AS915" s="24"/>
      <c r="AT915" s="24"/>
      <c r="AU915" s="24"/>
      <c r="AV915" s="24"/>
      <c r="AX915" s="29"/>
    </row>
    <row r="916" spans="2:50">
      <c r="B916" s="19"/>
      <c r="K916" s="21"/>
      <c r="T916" s="28"/>
      <c r="AS916" s="24"/>
      <c r="AT916" s="24"/>
      <c r="AU916" s="24"/>
      <c r="AV916" s="24"/>
      <c r="AX916" s="29"/>
    </row>
    <row r="917" spans="2:50">
      <c r="B917" s="19"/>
      <c r="K917" s="21"/>
      <c r="T917" s="28"/>
      <c r="AS917" s="24"/>
      <c r="AT917" s="24"/>
      <c r="AU917" s="24"/>
      <c r="AV917" s="24"/>
      <c r="AX917" s="29"/>
    </row>
    <row r="918" spans="2:50">
      <c r="B918" s="19"/>
      <c r="K918" s="21"/>
      <c r="T918" s="28"/>
      <c r="AS918" s="24"/>
      <c r="AT918" s="24"/>
      <c r="AU918" s="24"/>
      <c r="AV918" s="24"/>
      <c r="AX918" s="29"/>
    </row>
    <row r="919" spans="2:50">
      <c r="B919" s="19"/>
      <c r="K919" s="21"/>
      <c r="T919" s="28"/>
      <c r="AS919" s="24"/>
      <c r="AT919" s="24"/>
      <c r="AU919" s="24"/>
      <c r="AV919" s="24"/>
      <c r="AX919" s="29"/>
    </row>
    <row r="920" spans="2:50">
      <c r="B920" s="19"/>
      <c r="K920" s="21"/>
      <c r="T920" s="28"/>
      <c r="AS920" s="24"/>
      <c r="AT920" s="24"/>
      <c r="AU920" s="24"/>
      <c r="AV920" s="24"/>
      <c r="AX920" s="29"/>
    </row>
    <row r="921" spans="2:50">
      <c r="B921" s="19"/>
      <c r="K921" s="21"/>
      <c r="T921" s="28"/>
      <c r="AS921" s="24"/>
      <c r="AT921" s="24"/>
      <c r="AU921" s="24"/>
      <c r="AV921" s="24"/>
      <c r="AX921" s="29"/>
    </row>
    <row r="922" spans="2:50">
      <c r="B922" s="19"/>
      <c r="K922" s="21"/>
      <c r="T922" s="28"/>
      <c r="AS922" s="24"/>
      <c r="AT922" s="24"/>
      <c r="AU922" s="24"/>
      <c r="AV922" s="24"/>
      <c r="AX922" s="29"/>
    </row>
    <row r="923" spans="2:50">
      <c r="B923" s="19"/>
      <c r="K923" s="21"/>
      <c r="T923" s="28"/>
      <c r="AS923" s="24"/>
      <c r="AT923" s="24"/>
      <c r="AU923" s="24"/>
      <c r="AV923" s="24"/>
      <c r="AX923" s="29"/>
    </row>
    <row r="924" spans="2:50">
      <c r="B924" s="19"/>
      <c r="K924" s="21"/>
      <c r="T924" s="28"/>
      <c r="AS924" s="24"/>
      <c r="AT924" s="24"/>
      <c r="AU924" s="24"/>
      <c r="AV924" s="24"/>
      <c r="AX924" s="29"/>
    </row>
    <row r="925" spans="2:50">
      <c r="B925" s="19"/>
      <c r="K925" s="21"/>
      <c r="T925" s="28"/>
      <c r="AS925" s="24"/>
      <c r="AT925" s="24"/>
      <c r="AU925" s="24"/>
      <c r="AV925" s="24"/>
      <c r="AX925" s="29"/>
    </row>
    <row r="926" spans="2:50">
      <c r="B926" s="19"/>
      <c r="K926" s="21"/>
      <c r="T926" s="28"/>
      <c r="AS926" s="24"/>
      <c r="AT926" s="24"/>
      <c r="AU926" s="24"/>
      <c r="AV926" s="24"/>
      <c r="AX926" s="29"/>
    </row>
    <row r="927" spans="2:50">
      <c r="B927" s="19"/>
      <c r="K927" s="21"/>
      <c r="T927" s="28"/>
      <c r="AS927" s="24"/>
      <c r="AT927" s="24"/>
      <c r="AU927" s="24"/>
      <c r="AV927" s="24"/>
      <c r="AX927" s="29"/>
    </row>
    <row r="928" spans="2:50">
      <c r="B928" s="19"/>
      <c r="K928" s="21"/>
      <c r="T928" s="28"/>
      <c r="AS928" s="24"/>
      <c r="AT928" s="24"/>
      <c r="AU928" s="24"/>
      <c r="AV928" s="24"/>
      <c r="AX928" s="29"/>
    </row>
    <row r="929" spans="2:50">
      <c r="B929" s="19"/>
      <c r="K929" s="21"/>
      <c r="T929" s="28"/>
      <c r="AS929" s="24"/>
      <c r="AT929" s="24"/>
      <c r="AU929" s="24"/>
      <c r="AV929" s="24"/>
      <c r="AX929" s="29"/>
    </row>
    <row r="930" spans="2:50">
      <c r="B930" s="19"/>
      <c r="K930" s="21"/>
      <c r="T930" s="28"/>
      <c r="AS930" s="24"/>
      <c r="AT930" s="24"/>
      <c r="AU930" s="24"/>
      <c r="AV930" s="24"/>
      <c r="AX930" s="29"/>
    </row>
    <row r="931" spans="2:50">
      <c r="B931" s="19"/>
      <c r="K931" s="21"/>
      <c r="T931" s="28"/>
      <c r="AS931" s="24"/>
      <c r="AT931" s="24"/>
      <c r="AU931" s="24"/>
      <c r="AV931" s="24"/>
      <c r="AX931" s="29"/>
    </row>
    <row r="932" spans="2:50">
      <c r="B932" s="19"/>
      <c r="K932" s="21"/>
      <c r="T932" s="28"/>
      <c r="AS932" s="24"/>
      <c r="AT932" s="24"/>
      <c r="AU932" s="24"/>
      <c r="AV932" s="24"/>
      <c r="AX932" s="29"/>
    </row>
    <row r="933" spans="2:50">
      <c r="B933" s="19"/>
      <c r="K933" s="21"/>
      <c r="T933" s="28"/>
      <c r="AS933" s="24"/>
      <c r="AT933" s="24"/>
      <c r="AU933" s="24"/>
      <c r="AV933" s="24"/>
      <c r="AX933" s="29"/>
    </row>
    <row r="934" spans="2:50">
      <c r="B934" s="19"/>
      <c r="K934" s="21"/>
      <c r="T934" s="28"/>
      <c r="AS934" s="24"/>
      <c r="AT934" s="24"/>
      <c r="AU934" s="24"/>
      <c r="AV934" s="24"/>
      <c r="AX934" s="29"/>
    </row>
    <row r="935" spans="2:50">
      <c r="B935" s="19"/>
      <c r="K935" s="21"/>
      <c r="T935" s="28"/>
      <c r="AS935" s="24"/>
      <c r="AT935" s="24"/>
      <c r="AU935" s="24"/>
      <c r="AV935" s="24"/>
      <c r="AX935" s="29"/>
    </row>
    <row r="936" spans="2:50">
      <c r="B936" s="19"/>
      <c r="K936" s="21"/>
      <c r="T936" s="28"/>
      <c r="AS936" s="24"/>
      <c r="AT936" s="24"/>
      <c r="AU936" s="24"/>
      <c r="AV936" s="24"/>
      <c r="AX936" s="29"/>
    </row>
    <row r="937" spans="2:50">
      <c r="B937" s="19"/>
      <c r="K937" s="21"/>
      <c r="T937" s="28"/>
      <c r="AS937" s="24"/>
      <c r="AT937" s="24"/>
      <c r="AU937" s="24"/>
      <c r="AV937" s="24"/>
      <c r="AX937" s="29"/>
    </row>
    <row r="938" spans="2:50">
      <c r="B938" s="19"/>
      <c r="K938" s="21"/>
      <c r="T938" s="28"/>
      <c r="AS938" s="24"/>
      <c r="AT938" s="24"/>
      <c r="AU938" s="24"/>
      <c r="AV938" s="24"/>
      <c r="AX938" s="29"/>
    </row>
    <row r="939" spans="2:50">
      <c r="B939" s="19"/>
      <c r="K939" s="21"/>
      <c r="T939" s="28"/>
      <c r="AS939" s="24"/>
      <c r="AT939" s="24"/>
      <c r="AU939" s="24"/>
      <c r="AV939" s="24"/>
      <c r="AX939" s="29"/>
    </row>
    <row r="940" spans="2:50">
      <c r="B940" s="19"/>
      <c r="K940" s="21"/>
      <c r="T940" s="28"/>
      <c r="AS940" s="24"/>
      <c r="AT940" s="24"/>
      <c r="AU940" s="24"/>
      <c r="AV940" s="24"/>
      <c r="AX940" s="29"/>
    </row>
    <row r="941" spans="2:50">
      <c r="B941" s="19"/>
      <c r="K941" s="21"/>
      <c r="T941" s="28"/>
      <c r="AS941" s="24"/>
      <c r="AT941" s="24"/>
      <c r="AU941" s="24"/>
      <c r="AV941" s="24"/>
      <c r="AX941" s="29"/>
    </row>
    <row r="942" spans="2:50">
      <c r="B942" s="19"/>
      <c r="K942" s="21"/>
      <c r="T942" s="28"/>
      <c r="AS942" s="24"/>
      <c r="AT942" s="24"/>
      <c r="AU942" s="24"/>
      <c r="AV942" s="24"/>
      <c r="AX942" s="29"/>
    </row>
    <row r="943" spans="2:50">
      <c r="B943" s="19"/>
      <c r="K943" s="21"/>
      <c r="T943" s="28"/>
      <c r="AS943" s="24"/>
      <c r="AT943" s="24"/>
      <c r="AU943" s="24"/>
      <c r="AV943" s="24"/>
      <c r="AX943" s="29"/>
    </row>
    <row r="944" spans="2:50">
      <c r="B944" s="19"/>
      <c r="K944" s="21"/>
      <c r="T944" s="28"/>
      <c r="AS944" s="24"/>
      <c r="AT944" s="24"/>
      <c r="AU944" s="24"/>
      <c r="AV944" s="24"/>
      <c r="AX944" s="29"/>
    </row>
    <row r="945" spans="2:50">
      <c r="B945" s="19"/>
      <c r="K945" s="21"/>
      <c r="T945" s="28"/>
      <c r="AS945" s="24"/>
      <c r="AT945" s="24"/>
      <c r="AU945" s="24"/>
      <c r="AV945" s="24"/>
      <c r="AX945" s="29"/>
    </row>
    <row r="946" spans="2:50">
      <c r="B946" s="19"/>
      <c r="K946" s="21"/>
      <c r="T946" s="28"/>
      <c r="AS946" s="24"/>
      <c r="AT946" s="24"/>
      <c r="AU946" s="24"/>
      <c r="AV946" s="24"/>
      <c r="AX946" s="29"/>
    </row>
    <row r="947" spans="2:50">
      <c r="B947" s="19"/>
      <c r="K947" s="21"/>
      <c r="T947" s="28"/>
      <c r="AS947" s="24"/>
      <c r="AT947" s="24"/>
      <c r="AU947" s="24"/>
      <c r="AV947" s="24"/>
      <c r="AX947" s="29"/>
    </row>
    <row r="948" spans="2:50">
      <c r="B948" s="19"/>
      <c r="K948" s="21"/>
      <c r="T948" s="28"/>
      <c r="AS948" s="24"/>
      <c r="AT948" s="24"/>
      <c r="AU948" s="24"/>
      <c r="AV948" s="24"/>
      <c r="AX948" s="29"/>
    </row>
    <row r="949" spans="2:50">
      <c r="B949" s="19"/>
      <c r="K949" s="21"/>
      <c r="T949" s="28"/>
      <c r="AS949" s="24"/>
      <c r="AT949" s="24"/>
      <c r="AU949" s="24"/>
      <c r="AV949" s="24"/>
      <c r="AX949" s="29"/>
    </row>
    <row r="950" spans="2:50">
      <c r="B950" s="19"/>
      <c r="K950" s="21"/>
      <c r="T950" s="28"/>
      <c r="AS950" s="24"/>
      <c r="AT950" s="24"/>
      <c r="AU950" s="24"/>
      <c r="AV950" s="24"/>
      <c r="AX950" s="29"/>
    </row>
    <row r="951" spans="2:50">
      <c r="B951" s="19"/>
      <c r="K951" s="21"/>
      <c r="T951" s="28"/>
      <c r="AS951" s="24"/>
      <c r="AT951" s="24"/>
      <c r="AU951" s="24"/>
      <c r="AV951" s="24"/>
      <c r="AX951" s="29"/>
    </row>
    <row r="952" spans="2:50">
      <c r="B952" s="19"/>
      <c r="K952" s="21"/>
      <c r="T952" s="28"/>
      <c r="AS952" s="24"/>
      <c r="AT952" s="24"/>
      <c r="AU952" s="24"/>
      <c r="AV952" s="24"/>
      <c r="AX952" s="29"/>
    </row>
    <row r="953" spans="2:50">
      <c r="B953" s="19"/>
      <c r="K953" s="21"/>
      <c r="T953" s="28"/>
      <c r="AS953" s="24"/>
      <c r="AT953" s="24"/>
      <c r="AU953" s="24"/>
      <c r="AV953" s="24"/>
      <c r="AX953" s="29"/>
    </row>
    <row r="954" spans="2:50">
      <c r="B954" s="19"/>
      <c r="K954" s="21"/>
      <c r="T954" s="28"/>
      <c r="AS954" s="24"/>
      <c r="AT954" s="24"/>
      <c r="AU954" s="24"/>
      <c r="AV954" s="24"/>
      <c r="AX954" s="29"/>
    </row>
    <row r="955" spans="2:50">
      <c r="B955" s="19"/>
      <c r="K955" s="21"/>
      <c r="T955" s="28"/>
      <c r="AS955" s="24"/>
      <c r="AT955" s="24"/>
      <c r="AU955" s="24"/>
      <c r="AV955" s="24"/>
      <c r="AX955" s="29"/>
    </row>
    <row r="956" spans="2:50">
      <c r="B956" s="19"/>
      <c r="K956" s="21"/>
      <c r="T956" s="28"/>
      <c r="AS956" s="24"/>
      <c r="AT956" s="24"/>
      <c r="AU956" s="24"/>
      <c r="AV956" s="24"/>
      <c r="AX956" s="29"/>
    </row>
    <row r="957" spans="2:50">
      <c r="B957" s="19"/>
      <c r="K957" s="21"/>
      <c r="T957" s="28"/>
      <c r="AS957" s="24"/>
      <c r="AT957" s="24"/>
      <c r="AU957" s="24"/>
      <c r="AV957" s="24"/>
      <c r="AX957" s="29"/>
    </row>
    <row r="958" spans="2:50">
      <c r="B958" s="19"/>
      <c r="K958" s="21"/>
      <c r="T958" s="28"/>
      <c r="AS958" s="24"/>
      <c r="AT958" s="24"/>
      <c r="AU958" s="24"/>
      <c r="AV958" s="24"/>
      <c r="AX958" s="29"/>
    </row>
    <row r="959" spans="2:50">
      <c r="B959" s="19"/>
      <c r="K959" s="21"/>
      <c r="T959" s="28"/>
      <c r="AS959" s="24"/>
      <c r="AT959" s="24"/>
      <c r="AU959" s="24"/>
      <c r="AV959" s="24"/>
      <c r="AX959" s="29"/>
    </row>
    <row r="960" spans="2:50">
      <c r="B960" s="19"/>
      <c r="K960" s="21"/>
      <c r="T960" s="28"/>
      <c r="AS960" s="24"/>
      <c r="AT960" s="24"/>
      <c r="AU960" s="24"/>
      <c r="AV960" s="24"/>
      <c r="AX960" s="29"/>
    </row>
    <row r="961" spans="2:50">
      <c r="B961" s="19"/>
      <c r="K961" s="21"/>
      <c r="T961" s="28"/>
      <c r="AS961" s="24"/>
      <c r="AT961" s="24"/>
      <c r="AU961" s="24"/>
      <c r="AV961" s="24"/>
      <c r="AX961" s="29"/>
    </row>
    <row r="962" spans="2:50">
      <c r="B962" s="19"/>
      <c r="K962" s="21"/>
      <c r="T962" s="28"/>
      <c r="AS962" s="24"/>
      <c r="AT962" s="24"/>
      <c r="AU962" s="24"/>
      <c r="AV962" s="24"/>
      <c r="AX962" s="29"/>
    </row>
    <row r="963" spans="2:50">
      <c r="B963" s="19"/>
      <c r="K963" s="21"/>
      <c r="T963" s="28"/>
      <c r="AS963" s="24"/>
      <c r="AT963" s="24"/>
      <c r="AU963" s="24"/>
      <c r="AV963" s="24"/>
      <c r="AX963" s="29"/>
    </row>
    <row r="964" spans="2:50">
      <c r="B964" s="19"/>
      <c r="K964" s="21"/>
      <c r="T964" s="28"/>
      <c r="AS964" s="24"/>
      <c r="AT964" s="24"/>
      <c r="AU964" s="24"/>
      <c r="AV964" s="24"/>
      <c r="AX964" s="29"/>
    </row>
    <row r="965" spans="2:50">
      <c r="B965" s="19"/>
      <c r="K965" s="21"/>
      <c r="T965" s="28"/>
      <c r="AS965" s="24"/>
      <c r="AT965" s="24"/>
      <c r="AU965" s="24"/>
      <c r="AV965" s="24"/>
      <c r="AX965" s="29"/>
    </row>
    <row r="966" spans="2:50">
      <c r="B966" s="19"/>
      <c r="K966" s="21"/>
      <c r="T966" s="28"/>
      <c r="AS966" s="24"/>
      <c r="AT966" s="24"/>
      <c r="AU966" s="24"/>
      <c r="AV966" s="24"/>
      <c r="AX966" s="29"/>
    </row>
    <row r="967" spans="2:50">
      <c r="B967" s="19"/>
      <c r="K967" s="21"/>
      <c r="T967" s="28"/>
      <c r="AS967" s="24"/>
      <c r="AT967" s="24"/>
      <c r="AU967" s="24"/>
      <c r="AV967" s="24"/>
      <c r="AX967" s="29"/>
    </row>
    <row r="968" spans="2:50">
      <c r="B968" s="19"/>
      <c r="K968" s="21"/>
      <c r="T968" s="28"/>
      <c r="AS968" s="24"/>
      <c r="AT968" s="24"/>
      <c r="AU968" s="24"/>
      <c r="AV968" s="24"/>
      <c r="AX968" s="29"/>
    </row>
    <row r="969" spans="2:50">
      <c r="B969" s="19"/>
      <c r="K969" s="21"/>
      <c r="T969" s="28"/>
      <c r="AS969" s="24"/>
      <c r="AT969" s="24"/>
      <c r="AU969" s="24"/>
      <c r="AV969" s="24"/>
      <c r="AX969" s="29"/>
    </row>
    <row r="970" spans="2:50">
      <c r="B970" s="19"/>
      <c r="K970" s="21"/>
      <c r="T970" s="28"/>
      <c r="AS970" s="24"/>
      <c r="AT970" s="24"/>
      <c r="AU970" s="24"/>
      <c r="AV970" s="24"/>
      <c r="AX970" s="29"/>
    </row>
    <row r="971" spans="2:50">
      <c r="B971" s="19"/>
      <c r="K971" s="21"/>
      <c r="T971" s="28"/>
      <c r="AS971" s="24"/>
      <c r="AT971" s="24"/>
      <c r="AU971" s="24"/>
      <c r="AV971" s="24"/>
      <c r="AX971" s="29"/>
    </row>
    <row r="972" spans="2:50">
      <c r="B972" s="19"/>
      <c r="K972" s="21"/>
      <c r="T972" s="28"/>
      <c r="AS972" s="24"/>
      <c r="AT972" s="24"/>
      <c r="AU972" s="24"/>
      <c r="AV972" s="24"/>
      <c r="AX972" s="29"/>
    </row>
    <row r="973" spans="2:50">
      <c r="B973" s="19"/>
      <c r="K973" s="21"/>
      <c r="T973" s="28"/>
      <c r="AS973" s="24"/>
      <c r="AT973" s="24"/>
      <c r="AU973" s="24"/>
      <c r="AV973" s="24"/>
      <c r="AX973" s="29"/>
    </row>
    <row r="974" spans="2:50">
      <c r="B974" s="19"/>
      <c r="K974" s="21"/>
      <c r="T974" s="28"/>
      <c r="AS974" s="24"/>
      <c r="AT974" s="24"/>
      <c r="AU974" s="24"/>
      <c r="AV974" s="24"/>
      <c r="AX974" s="29"/>
    </row>
    <row r="975" spans="2:50">
      <c r="B975" s="19"/>
      <c r="K975" s="21"/>
      <c r="T975" s="28"/>
      <c r="AS975" s="24"/>
      <c r="AT975" s="24"/>
      <c r="AU975" s="24"/>
      <c r="AV975" s="24"/>
      <c r="AX975" s="29"/>
    </row>
    <row r="976" spans="2:50">
      <c r="B976" s="19"/>
      <c r="K976" s="21"/>
      <c r="T976" s="28"/>
      <c r="AS976" s="24"/>
      <c r="AT976" s="24"/>
      <c r="AU976" s="24"/>
      <c r="AV976" s="24"/>
      <c r="AX976" s="29"/>
    </row>
    <row r="977" spans="2:50">
      <c r="B977" s="19"/>
      <c r="K977" s="21"/>
      <c r="T977" s="28"/>
      <c r="AS977" s="24"/>
      <c r="AT977" s="24"/>
      <c r="AU977" s="24"/>
      <c r="AV977" s="24"/>
      <c r="AX977" s="29"/>
    </row>
    <row r="978" spans="2:50">
      <c r="B978" s="19"/>
      <c r="K978" s="21"/>
      <c r="T978" s="28"/>
      <c r="AS978" s="24"/>
      <c r="AT978" s="24"/>
      <c r="AU978" s="24"/>
      <c r="AV978" s="24"/>
      <c r="AX978" s="29"/>
    </row>
    <row r="979" spans="2:50">
      <c r="B979" s="19"/>
      <c r="K979" s="21"/>
      <c r="T979" s="28"/>
      <c r="AS979" s="24"/>
      <c r="AT979" s="24"/>
      <c r="AU979" s="24"/>
      <c r="AV979" s="24"/>
      <c r="AX979" s="29"/>
    </row>
    <row r="980" spans="2:50">
      <c r="B980" s="19"/>
      <c r="K980" s="21"/>
      <c r="T980" s="28"/>
      <c r="AS980" s="24"/>
      <c r="AT980" s="24"/>
      <c r="AU980" s="24"/>
      <c r="AV980" s="24"/>
      <c r="AX980" s="29"/>
    </row>
    <row r="981" spans="2:50">
      <c r="B981" s="19"/>
      <c r="K981" s="21"/>
      <c r="T981" s="28"/>
      <c r="AS981" s="24"/>
      <c r="AT981" s="24"/>
      <c r="AU981" s="24"/>
      <c r="AV981" s="24"/>
      <c r="AX981" s="29"/>
    </row>
    <row r="982" spans="2:50">
      <c r="B982" s="19"/>
      <c r="K982" s="21"/>
      <c r="T982" s="28"/>
      <c r="AS982" s="24"/>
      <c r="AT982" s="24"/>
      <c r="AU982" s="24"/>
      <c r="AV982" s="24"/>
      <c r="AX982" s="29"/>
    </row>
    <row r="983" spans="2:50">
      <c r="B983" s="19"/>
      <c r="K983" s="21"/>
      <c r="T983" s="28"/>
      <c r="AS983" s="24"/>
      <c r="AT983" s="24"/>
      <c r="AU983" s="24"/>
      <c r="AV983" s="24"/>
      <c r="AX983" s="29"/>
    </row>
    <row r="984" spans="2:50">
      <c r="B984" s="19"/>
      <c r="K984" s="21"/>
      <c r="T984" s="28"/>
      <c r="AS984" s="24"/>
      <c r="AT984" s="24"/>
      <c r="AU984" s="24"/>
      <c r="AV984" s="24"/>
      <c r="AX984" s="29"/>
    </row>
    <row r="985" spans="2:50">
      <c r="B985" s="19"/>
      <c r="K985" s="21"/>
      <c r="T985" s="28"/>
      <c r="AS985" s="24"/>
      <c r="AT985" s="24"/>
      <c r="AU985" s="24"/>
      <c r="AV985" s="24"/>
      <c r="AX985" s="29"/>
    </row>
    <row r="986" spans="2:50">
      <c r="B986" s="19"/>
      <c r="K986" s="21"/>
      <c r="T986" s="28"/>
      <c r="AS986" s="24"/>
      <c r="AT986" s="24"/>
      <c r="AU986" s="24"/>
      <c r="AV986" s="24"/>
      <c r="AX986" s="29"/>
    </row>
    <row r="987" spans="2:50">
      <c r="B987" s="19"/>
      <c r="K987" s="21"/>
      <c r="T987" s="28"/>
      <c r="AS987" s="24"/>
      <c r="AT987" s="24"/>
      <c r="AU987" s="24"/>
      <c r="AV987" s="24"/>
      <c r="AX987" s="29"/>
    </row>
    <row r="988" spans="2:50">
      <c r="B988" s="19"/>
      <c r="K988" s="21"/>
      <c r="T988" s="28"/>
      <c r="AS988" s="24"/>
      <c r="AT988" s="24"/>
      <c r="AU988" s="24"/>
      <c r="AV988" s="24"/>
      <c r="AX988" s="29"/>
    </row>
    <row r="989" spans="2:50">
      <c r="B989" s="19"/>
      <c r="K989" s="21"/>
      <c r="T989" s="28"/>
      <c r="AS989" s="24"/>
      <c r="AT989" s="24"/>
      <c r="AU989" s="24"/>
      <c r="AV989" s="24"/>
      <c r="AX989" s="29"/>
    </row>
    <row r="990" spans="2:50">
      <c r="B990" s="19"/>
      <c r="K990" s="21"/>
      <c r="T990" s="28"/>
      <c r="AS990" s="24"/>
      <c r="AT990" s="24"/>
      <c r="AU990" s="24"/>
      <c r="AV990" s="24"/>
      <c r="AX990" s="29"/>
    </row>
    <row r="991" spans="2:50">
      <c r="B991" s="19"/>
      <c r="K991" s="21"/>
      <c r="T991" s="28"/>
      <c r="AS991" s="24"/>
      <c r="AT991" s="24"/>
      <c r="AU991" s="24"/>
      <c r="AV991" s="24"/>
      <c r="AX991" s="29"/>
    </row>
    <row r="992" spans="2:50">
      <c r="B992" s="19"/>
      <c r="K992" s="21"/>
      <c r="T992" s="28"/>
      <c r="AS992" s="24"/>
      <c r="AT992" s="24"/>
      <c r="AU992" s="24"/>
      <c r="AV992" s="24"/>
      <c r="AX992" s="29"/>
    </row>
    <row r="993" spans="2:50">
      <c r="B993" s="19"/>
      <c r="K993" s="21"/>
      <c r="T993" s="28"/>
      <c r="AS993" s="24"/>
      <c r="AT993" s="24"/>
      <c r="AU993" s="24"/>
      <c r="AV993" s="24"/>
      <c r="AX993" s="29"/>
    </row>
    <row r="994" spans="2:50">
      <c r="B994" s="19"/>
      <c r="K994" s="21"/>
      <c r="T994" s="28"/>
      <c r="AS994" s="24"/>
      <c r="AT994" s="24"/>
      <c r="AU994" s="24"/>
      <c r="AV994" s="24"/>
      <c r="AX994" s="29"/>
    </row>
    <row r="995" spans="2:50">
      <c r="B995" s="19"/>
      <c r="K995" s="21"/>
      <c r="T995" s="28"/>
      <c r="AS995" s="24"/>
      <c r="AT995" s="24"/>
      <c r="AU995" s="24"/>
      <c r="AV995" s="24"/>
      <c r="AX995" s="29"/>
    </row>
    <row r="996" spans="2:50">
      <c r="B996" s="19"/>
      <c r="K996" s="21"/>
      <c r="T996" s="28"/>
      <c r="AS996" s="24"/>
      <c r="AT996" s="24"/>
      <c r="AU996" s="24"/>
      <c r="AV996" s="24"/>
      <c r="AX996" s="29"/>
    </row>
    <row r="997" spans="2:50">
      <c r="B997" s="19"/>
      <c r="K997" s="21"/>
      <c r="T997" s="28"/>
      <c r="AS997" s="24"/>
      <c r="AT997" s="24"/>
      <c r="AU997" s="24"/>
      <c r="AV997" s="24"/>
      <c r="AX997" s="29"/>
    </row>
    <row r="998" spans="2:50">
      <c r="B998" s="19"/>
      <c r="K998" s="21"/>
      <c r="T998" s="28"/>
      <c r="AS998" s="24"/>
      <c r="AT998" s="24"/>
      <c r="AU998" s="24"/>
      <c r="AV998" s="24"/>
      <c r="AX998" s="29"/>
    </row>
    <row r="999" spans="2:50">
      <c r="B999" s="19"/>
      <c r="K999" s="21"/>
      <c r="T999" s="28"/>
      <c r="AS999" s="24"/>
      <c r="AT999" s="24"/>
      <c r="AU999" s="24"/>
      <c r="AV999" s="24"/>
      <c r="AX999" s="29"/>
    </row>
    <row r="1000" spans="2:50">
      <c r="B1000" s="19"/>
      <c r="K1000" s="21"/>
      <c r="T1000" s="28"/>
      <c r="AS1000" s="24"/>
      <c r="AT1000" s="24"/>
      <c r="AU1000" s="24"/>
      <c r="AV1000" s="24"/>
      <c r="AX1000" s="29"/>
    </row>
    <row r="1001" spans="2:50">
      <c r="B1001" s="19"/>
      <c r="K1001" s="21"/>
      <c r="T1001" s="28"/>
      <c r="AS1001" s="24"/>
      <c r="AT1001" s="24"/>
      <c r="AU1001" s="24"/>
      <c r="AV1001" s="24"/>
      <c r="AX1001" s="29"/>
    </row>
    <row r="1002" spans="2:50">
      <c r="B1002" s="19"/>
      <c r="K1002" s="21"/>
      <c r="T1002" s="28"/>
      <c r="AS1002" s="24"/>
      <c r="AT1002" s="24"/>
      <c r="AU1002" s="24"/>
      <c r="AV1002" s="24"/>
      <c r="AX1002" s="29"/>
    </row>
    <row r="1003" spans="2:50">
      <c r="B1003" s="19"/>
      <c r="K1003" s="21"/>
      <c r="T1003" s="28"/>
      <c r="AS1003" s="24"/>
      <c r="AT1003" s="24"/>
      <c r="AU1003" s="24"/>
      <c r="AV1003" s="24"/>
      <c r="AX1003" s="29"/>
    </row>
    <row r="1004" spans="2:50">
      <c r="B1004" s="19"/>
      <c r="K1004" s="21"/>
      <c r="T1004" s="28"/>
      <c r="AS1004" s="24"/>
      <c r="AT1004" s="24"/>
      <c r="AU1004" s="24"/>
      <c r="AV1004" s="24"/>
      <c r="AX1004" s="29"/>
    </row>
    <row r="1005" spans="2:50">
      <c r="B1005" s="19"/>
      <c r="K1005" s="21"/>
      <c r="T1005" s="28"/>
      <c r="AS1005" s="24"/>
      <c r="AT1005" s="24"/>
      <c r="AU1005" s="24"/>
      <c r="AV1005" s="24"/>
      <c r="AX1005" s="29"/>
    </row>
    <row r="1006" spans="2:50">
      <c r="B1006" s="19"/>
      <c r="K1006" s="21"/>
      <c r="T1006" s="28"/>
      <c r="AS1006" s="24"/>
      <c r="AT1006" s="24"/>
      <c r="AU1006" s="24"/>
      <c r="AV1006" s="24"/>
      <c r="AX1006" s="29"/>
    </row>
    <row r="1007" spans="2:50">
      <c r="B1007" s="19"/>
      <c r="K1007" s="21"/>
      <c r="T1007" s="28"/>
      <c r="AS1007" s="24"/>
      <c r="AT1007" s="24"/>
      <c r="AU1007" s="24"/>
      <c r="AV1007" s="24"/>
      <c r="AX1007" s="29"/>
    </row>
    <row r="1008" spans="2:50">
      <c r="B1008" s="19"/>
      <c r="K1008" s="21"/>
      <c r="T1008" s="28"/>
      <c r="AS1008" s="24"/>
      <c r="AT1008" s="24"/>
      <c r="AU1008" s="24"/>
      <c r="AV1008" s="24"/>
      <c r="AX1008" s="29"/>
    </row>
    <row r="1009" spans="2:50">
      <c r="B1009" s="19"/>
      <c r="K1009" s="21"/>
      <c r="T1009" s="28"/>
      <c r="AS1009" s="24"/>
      <c r="AT1009" s="24"/>
      <c r="AU1009" s="24"/>
      <c r="AV1009" s="24"/>
      <c r="AX1009" s="29"/>
    </row>
    <row r="1010" spans="2:50">
      <c r="B1010" s="19"/>
      <c r="K1010" s="21"/>
      <c r="T1010" s="28"/>
      <c r="AS1010" s="24"/>
      <c r="AT1010" s="24"/>
      <c r="AU1010" s="24"/>
      <c r="AV1010" s="24"/>
      <c r="AX1010" s="29"/>
    </row>
    <row r="1011" spans="2:50">
      <c r="B1011" s="19"/>
      <c r="K1011" s="21"/>
      <c r="T1011" s="28"/>
      <c r="AS1011" s="24"/>
      <c r="AT1011" s="24"/>
      <c r="AU1011" s="24"/>
      <c r="AV1011" s="24"/>
      <c r="AX1011" s="29"/>
    </row>
    <row r="1012" spans="2:50">
      <c r="B1012" s="19"/>
      <c r="K1012" s="21"/>
      <c r="T1012" s="28"/>
      <c r="AS1012" s="24"/>
      <c r="AT1012" s="24"/>
      <c r="AU1012" s="24"/>
      <c r="AV1012" s="24"/>
      <c r="AX1012" s="29"/>
    </row>
    <row r="1013" spans="2:50">
      <c r="B1013" s="19"/>
      <c r="K1013" s="21"/>
      <c r="T1013" s="28"/>
      <c r="AS1013" s="24"/>
      <c r="AT1013" s="24"/>
      <c r="AU1013" s="24"/>
      <c r="AV1013" s="24"/>
      <c r="AX1013" s="29"/>
    </row>
    <row r="1014" spans="2:50">
      <c r="B1014" s="19"/>
      <c r="K1014" s="21"/>
      <c r="T1014" s="28"/>
      <c r="AS1014" s="24"/>
      <c r="AT1014" s="24"/>
      <c r="AU1014" s="24"/>
      <c r="AV1014" s="24"/>
      <c r="AX1014" s="29"/>
    </row>
    <row r="1015" spans="2:50">
      <c r="B1015" s="19"/>
      <c r="K1015" s="21"/>
      <c r="T1015" s="28"/>
      <c r="AS1015" s="24"/>
      <c r="AT1015" s="24"/>
      <c r="AU1015" s="24"/>
      <c r="AV1015" s="24"/>
      <c r="AX1015" s="29"/>
    </row>
    <row r="1016" spans="2:50">
      <c r="B1016" s="19"/>
      <c r="K1016" s="21"/>
      <c r="T1016" s="28"/>
      <c r="AS1016" s="24"/>
      <c r="AT1016" s="24"/>
      <c r="AU1016" s="24"/>
      <c r="AV1016" s="24"/>
      <c r="AX1016" s="29"/>
    </row>
    <row r="1017" spans="2:50">
      <c r="B1017" s="19"/>
      <c r="K1017" s="21"/>
      <c r="T1017" s="28"/>
      <c r="AS1017" s="24"/>
      <c r="AT1017" s="24"/>
      <c r="AU1017" s="24"/>
      <c r="AV1017" s="24"/>
      <c r="AX1017" s="29"/>
    </row>
    <row r="1018" spans="2:50">
      <c r="B1018" s="19"/>
      <c r="K1018" s="21"/>
      <c r="T1018" s="28"/>
      <c r="AS1018" s="24"/>
      <c r="AT1018" s="24"/>
      <c r="AU1018" s="24"/>
      <c r="AV1018" s="24"/>
      <c r="AX1018" s="29"/>
    </row>
    <row r="1019" spans="2:50">
      <c r="B1019" s="19"/>
      <c r="K1019" s="21"/>
      <c r="T1019" s="28"/>
      <c r="AS1019" s="24"/>
      <c r="AT1019" s="24"/>
      <c r="AU1019" s="24"/>
      <c r="AV1019" s="24"/>
      <c r="AX1019" s="29"/>
    </row>
    <row r="1020" spans="2:50">
      <c r="B1020" s="19"/>
      <c r="K1020" s="21"/>
      <c r="T1020" s="28"/>
      <c r="AS1020" s="24"/>
      <c r="AT1020" s="24"/>
      <c r="AU1020" s="24"/>
      <c r="AV1020" s="24"/>
      <c r="AX1020" s="29"/>
    </row>
    <row r="1021" spans="2:50">
      <c r="B1021" s="19"/>
      <c r="K1021" s="21"/>
      <c r="T1021" s="28"/>
      <c r="AS1021" s="24"/>
      <c r="AT1021" s="24"/>
      <c r="AU1021" s="24"/>
      <c r="AV1021" s="24"/>
      <c r="AX1021" s="29"/>
    </row>
    <row r="1022" spans="2:50">
      <c r="B1022" s="19"/>
      <c r="K1022" s="21"/>
      <c r="T1022" s="28"/>
      <c r="AS1022" s="24"/>
      <c r="AT1022" s="24"/>
      <c r="AU1022" s="24"/>
      <c r="AV1022" s="24"/>
      <c r="AX1022" s="29"/>
    </row>
    <row r="1023" spans="2:50">
      <c r="B1023" s="19"/>
      <c r="K1023" s="21"/>
      <c r="T1023" s="28"/>
      <c r="AS1023" s="24"/>
      <c r="AT1023" s="24"/>
      <c r="AU1023" s="24"/>
      <c r="AV1023" s="24"/>
      <c r="AX1023" s="29"/>
    </row>
    <row r="1024" spans="2:50">
      <c r="B1024" s="19"/>
      <c r="K1024" s="21"/>
      <c r="T1024" s="28"/>
      <c r="AS1024" s="24"/>
      <c r="AT1024" s="24"/>
      <c r="AU1024" s="24"/>
      <c r="AV1024" s="24"/>
      <c r="AX1024" s="29"/>
    </row>
    <row r="1025" spans="2:50">
      <c r="B1025" s="19"/>
      <c r="K1025" s="21"/>
      <c r="T1025" s="28"/>
      <c r="AS1025" s="24"/>
      <c r="AT1025" s="24"/>
      <c r="AU1025" s="24"/>
      <c r="AV1025" s="24"/>
      <c r="AX1025" s="29"/>
    </row>
    <row r="1026" spans="2:50">
      <c r="B1026" s="19"/>
      <c r="K1026" s="21"/>
      <c r="T1026" s="28"/>
      <c r="AS1026" s="24"/>
      <c r="AT1026" s="24"/>
      <c r="AU1026" s="24"/>
      <c r="AV1026" s="24"/>
      <c r="AX1026" s="29"/>
    </row>
    <row r="1027" spans="2:50">
      <c r="B1027" s="19"/>
      <c r="K1027" s="21"/>
      <c r="T1027" s="28"/>
      <c r="AS1027" s="24"/>
      <c r="AT1027" s="24"/>
      <c r="AU1027" s="24"/>
      <c r="AV1027" s="24"/>
      <c r="AX1027" s="29"/>
    </row>
    <row r="1028" spans="2:50">
      <c r="B1028" s="19"/>
      <c r="K1028" s="21"/>
      <c r="T1028" s="28"/>
      <c r="AS1028" s="24"/>
      <c r="AT1028" s="24"/>
      <c r="AU1028" s="24"/>
      <c r="AV1028" s="24"/>
      <c r="AX1028" s="29"/>
    </row>
    <row r="1029" spans="2:50">
      <c r="B1029" s="19"/>
      <c r="K1029" s="21"/>
      <c r="T1029" s="28"/>
      <c r="AS1029" s="24"/>
      <c r="AT1029" s="24"/>
      <c r="AU1029" s="24"/>
      <c r="AV1029" s="24"/>
      <c r="AX1029" s="29"/>
    </row>
    <row r="1030" spans="2:50">
      <c r="B1030" s="19"/>
      <c r="K1030" s="21"/>
      <c r="T1030" s="28"/>
      <c r="AS1030" s="24"/>
      <c r="AT1030" s="24"/>
      <c r="AU1030" s="24"/>
      <c r="AV1030" s="24"/>
      <c r="AX1030" s="29"/>
    </row>
    <row r="1031" spans="2:50">
      <c r="B1031" s="19"/>
      <c r="K1031" s="21"/>
      <c r="T1031" s="28"/>
      <c r="AS1031" s="24"/>
      <c r="AT1031" s="24"/>
      <c r="AU1031" s="24"/>
      <c r="AV1031" s="24"/>
      <c r="AX1031" s="29"/>
    </row>
    <row r="1032" spans="2:50">
      <c r="B1032" s="19"/>
      <c r="K1032" s="21"/>
      <c r="T1032" s="28"/>
      <c r="AS1032" s="24"/>
      <c r="AT1032" s="24"/>
      <c r="AU1032" s="24"/>
      <c r="AV1032" s="24"/>
      <c r="AX1032" s="29"/>
    </row>
    <row r="1033" spans="2:50">
      <c r="B1033" s="19"/>
      <c r="K1033" s="21"/>
      <c r="T1033" s="28"/>
      <c r="AS1033" s="24"/>
      <c r="AT1033" s="24"/>
      <c r="AU1033" s="24"/>
      <c r="AV1033" s="24"/>
      <c r="AX1033" s="29"/>
    </row>
    <row r="1034" spans="2:50">
      <c r="B1034" s="19"/>
      <c r="K1034" s="21"/>
      <c r="T1034" s="28"/>
      <c r="AS1034" s="24"/>
      <c r="AT1034" s="24"/>
      <c r="AU1034" s="24"/>
      <c r="AV1034" s="24"/>
      <c r="AX1034" s="29"/>
    </row>
    <row r="1035" spans="2:50">
      <c r="B1035" s="19"/>
      <c r="K1035" s="21"/>
      <c r="T1035" s="28"/>
      <c r="AS1035" s="24"/>
      <c r="AT1035" s="24"/>
      <c r="AU1035" s="24"/>
      <c r="AV1035" s="24"/>
      <c r="AX1035" s="29"/>
    </row>
    <row r="1036" spans="2:50">
      <c r="B1036" s="19"/>
      <c r="K1036" s="21"/>
      <c r="T1036" s="28"/>
      <c r="AS1036" s="24"/>
      <c r="AT1036" s="24"/>
      <c r="AU1036" s="24"/>
      <c r="AV1036" s="24"/>
      <c r="AX1036" s="29"/>
    </row>
    <row r="1037" spans="2:50">
      <c r="B1037" s="19"/>
      <c r="K1037" s="21"/>
      <c r="T1037" s="28"/>
      <c r="AS1037" s="24"/>
      <c r="AT1037" s="24"/>
      <c r="AU1037" s="24"/>
      <c r="AV1037" s="24"/>
      <c r="AX1037" s="29"/>
    </row>
    <row r="1038" spans="2:50">
      <c r="B1038" s="19"/>
      <c r="K1038" s="21"/>
      <c r="T1038" s="28"/>
      <c r="AS1038" s="24"/>
      <c r="AT1038" s="24"/>
      <c r="AU1038" s="24"/>
      <c r="AV1038" s="24"/>
      <c r="AX1038" s="29"/>
    </row>
    <row r="1039" spans="2:50">
      <c r="B1039" s="19"/>
      <c r="K1039" s="21"/>
      <c r="T1039" s="28"/>
      <c r="AS1039" s="24"/>
      <c r="AT1039" s="24"/>
      <c r="AU1039" s="24"/>
      <c r="AV1039" s="24"/>
      <c r="AX1039" s="29"/>
    </row>
    <row r="1040" spans="2:50">
      <c r="B1040" s="19"/>
      <c r="K1040" s="21"/>
      <c r="T1040" s="28"/>
      <c r="AS1040" s="24"/>
      <c r="AT1040" s="24"/>
      <c r="AU1040" s="24"/>
      <c r="AV1040" s="24"/>
      <c r="AX1040" s="29"/>
    </row>
    <row r="1041" spans="2:50">
      <c r="B1041" s="19"/>
      <c r="K1041" s="21"/>
      <c r="T1041" s="28"/>
      <c r="AS1041" s="24"/>
      <c r="AT1041" s="24"/>
      <c r="AU1041" s="24"/>
      <c r="AV1041" s="24"/>
      <c r="AX1041" s="29"/>
    </row>
    <row r="1042" spans="2:50">
      <c r="B1042" s="19"/>
      <c r="K1042" s="21"/>
      <c r="T1042" s="28"/>
      <c r="AS1042" s="24"/>
      <c r="AT1042" s="24"/>
      <c r="AU1042" s="24"/>
      <c r="AV1042" s="24"/>
      <c r="AX1042" s="29"/>
    </row>
    <row r="1043" spans="2:50">
      <c r="B1043" s="19"/>
      <c r="K1043" s="21"/>
      <c r="T1043" s="28"/>
      <c r="AS1043" s="24"/>
      <c r="AT1043" s="24"/>
      <c r="AU1043" s="24"/>
      <c r="AV1043" s="24"/>
      <c r="AX1043" s="29"/>
    </row>
    <row r="1044" spans="2:50">
      <c r="B1044" s="19"/>
      <c r="K1044" s="21"/>
      <c r="T1044" s="28"/>
      <c r="AS1044" s="24"/>
      <c r="AT1044" s="24"/>
      <c r="AU1044" s="24"/>
      <c r="AV1044" s="24"/>
      <c r="AX1044" s="29"/>
    </row>
    <row r="1045" spans="2:50">
      <c r="B1045" s="19"/>
      <c r="K1045" s="21"/>
      <c r="T1045" s="28"/>
      <c r="AS1045" s="24"/>
      <c r="AT1045" s="24"/>
      <c r="AU1045" s="24"/>
      <c r="AV1045" s="24"/>
      <c r="AX1045" s="29"/>
    </row>
    <row r="1046" spans="2:50">
      <c r="B1046" s="19"/>
      <c r="K1046" s="21"/>
      <c r="T1046" s="28"/>
      <c r="AS1046" s="24"/>
      <c r="AT1046" s="24"/>
      <c r="AU1046" s="24"/>
      <c r="AV1046" s="24"/>
      <c r="AX1046" s="29"/>
    </row>
    <row r="1047" spans="2:50">
      <c r="B1047" s="19"/>
      <c r="K1047" s="21"/>
      <c r="T1047" s="28"/>
      <c r="AS1047" s="24"/>
      <c r="AT1047" s="24"/>
      <c r="AU1047" s="24"/>
      <c r="AV1047" s="24"/>
      <c r="AX1047" s="29"/>
    </row>
    <row r="1048" spans="2:50">
      <c r="B1048" s="19"/>
      <c r="K1048" s="21"/>
      <c r="T1048" s="28"/>
      <c r="AS1048" s="24"/>
      <c r="AT1048" s="24"/>
      <c r="AU1048" s="24"/>
      <c r="AV1048" s="24"/>
      <c r="AX1048" s="29"/>
    </row>
    <row r="1049" spans="2:50">
      <c r="B1049" s="19"/>
      <c r="K1049" s="21"/>
      <c r="T1049" s="28"/>
      <c r="AS1049" s="24"/>
      <c r="AT1049" s="24"/>
      <c r="AU1049" s="24"/>
      <c r="AV1049" s="24"/>
      <c r="AX1049" s="29"/>
    </row>
    <row r="1050" spans="2:50">
      <c r="B1050" s="19"/>
      <c r="K1050" s="21"/>
      <c r="T1050" s="28"/>
      <c r="AS1050" s="24"/>
      <c r="AT1050" s="24"/>
      <c r="AU1050" s="24"/>
      <c r="AV1050" s="24"/>
      <c r="AX1050" s="29"/>
    </row>
    <row r="1051" spans="2:50">
      <c r="B1051" s="19"/>
      <c r="K1051" s="21"/>
      <c r="T1051" s="28"/>
      <c r="AS1051" s="24"/>
      <c r="AT1051" s="24"/>
      <c r="AU1051" s="24"/>
      <c r="AV1051" s="24"/>
      <c r="AX1051" s="29"/>
    </row>
    <row r="1052" spans="2:50">
      <c r="B1052" s="19"/>
      <c r="K1052" s="21"/>
      <c r="T1052" s="28"/>
      <c r="AS1052" s="24"/>
      <c r="AT1052" s="24"/>
      <c r="AU1052" s="24"/>
      <c r="AV1052" s="24"/>
      <c r="AX1052" s="29"/>
    </row>
    <row r="1053" spans="2:50">
      <c r="B1053" s="19"/>
      <c r="K1053" s="21"/>
      <c r="T1053" s="28"/>
      <c r="AS1053" s="24"/>
      <c r="AT1053" s="24"/>
      <c r="AU1053" s="24"/>
      <c r="AV1053" s="24"/>
      <c r="AX1053" s="29"/>
    </row>
    <row r="1054" spans="2:50">
      <c r="B1054" s="19"/>
      <c r="K1054" s="21"/>
      <c r="T1054" s="28"/>
      <c r="AS1054" s="24"/>
      <c r="AT1054" s="24"/>
      <c r="AU1054" s="24"/>
      <c r="AV1054" s="24"/>
      <c r="AX1054" s="29"/>
    </row>
    <row r="1055" spans="2:50">
      <c r="B1055" s="19"/>
      <c r="K1055" s="21"/>
      <c r="T1055" s="28"/>
      <c r="AS1055" s="24"/>
      <c r="AT1055" s="24"/>
      <c r="AU1055" s="24"/>
      <c r="AV1055" s="24"/>
      <c r="AX1055" s="29"/>
    </row>
    <row r="1056" spans="2:50">
      <c r="B1056" s="19"/>
      <c r="K1056" s="21"/>
      <c r="T1056" s="28"/>
      <c r="AS1056" s="24"/>
      <c r="AT1056" s="24"/>
      <c r="AU1056" s="24"/>
      <c r="AV1056" s="24"/>
      <c r="AX1056" s="29"/>
    </row>
    <row r="1057" spans="2:50">
      <c r="B1057" s="19"/>
      <c r="K1057" s="21"/>
      <c r="T1057" s="28"/>
      <c r="AS1057" s="24"/>
      <c r="AT1057" s="24"/>
      <c r="AU1057" s="24"/>
      <c r="AV1057" s="24"/>
      <c r="AX1057" s="29"/>
    </row>
    <row r="1058" spans="2:50">
      <c r="B1058" s="19"/>
      <c r="K1058" s="21"/>
      <c r="T1058" s="28"/>
      <c r="AS1058" s="24"/>
      <c r="AT1058" s="24"/>
      <c r="AU1058" s="24"/>
      <c r="AV1058" s="24"/>
      <c r="AX1058" s="29"/>
    </row>
    <row r="1059" spans="2:50">
      <c r="B1059" s="19"/>
      <c r="K1059" s="21"/>
      <c r="T1059" s="28"/>
      <c r="AS1059" s="24"/>
      <c r="AT1059" s="24"/>
      <c r="AU1059" s="24"/>
      <c r="AV1059" s="24"/>
      <c r="AX1059" s="29"/>
    </row>
    <row r="1060" spans="2:50">
      <c r="B1060" s="19"/>
      <c r="K1060" s="21"/>
      <c r="T1060" s="28"/>
      <c r="AS1060" s="24"/>
      <c r="AT1060" s="24"/>
      <c r="AU1060" s="24"/>
      <c r="AV1060" s="24"/>
      <c r="AX1060" s="29"/>
    </row>
    <row r="1061" spans="2:50">
      <c r="B1061" s="19"/>
      <c r="K1061" s="21"/>
      <c r="T1061" s="28"/>
      <c r="AS1061" s="24"/>
      <c r="AT1061" s="24"/>
      <c r="AU1061" s="24"/>
      <c r="AV1061" s="24"/>
      <c r="AX1061" s="29"/>
    </row>
    <row r="1062" spans="2:50">
      <c r="B1062" s="19"/>
      <c r="K1062" s="21"/>
      <c r="T1062" s="28"/>
      <c r="AS1062" s="24"/>
      <c r="AT1062" s="24"/>
      <c r="AU1062" s="24"/>
      <c r="AV1062" s="24"/>
      <c r="AX1062" s="29"/>
    </row>
    <row r="1063" spans="2:50">
      <c r="B1063" s="19"/>
      <c r="K1063" s="21"/>
      <c r="T1063" s="28"/>
      <c r="AS1063" s="24"/>
      <c r="AT1063" s="24"/>
      <c r="AU1063" s="24"/>
      <c r="AV1063" s="24"/>
      <c r="AX1063" s="29"/>
    </row>
    <row r="1064" spans="2:50">
      <c r="B1064" s="19"/>
      <c r="K1064" s="21"/>
      <c r="T1064" s="28"/>
      <c r="AS1064" s="24"/>
      <c r="AT1064" s="24"/>
      <c r="AU1064" s="24"/>
      <c r="AV1064" s="24"/>
      <c r="AX1064" s="29"/>
    </row>
    <row r="1065" spans="2:50">
      <c r="B1065" s="19"/>
      <c r="K1065" s="21"/>
      <c r="T1065" s="28"/>
      <c r="AS1065" s="24"/>
      <c r="AT1065" s="24"/>
      <c r="AU1065" s="24"/>
      <c r="AV1065" s="24"/>
      <c r="AX1065" s="29"/>
    </row>
    <row r="1066" spans="2:50">
      <c r="B1066" s="19"/>
      <c r="K1066" s="21"/>
      <c r="T1066" s="28"/>
      <c r="AS1066" s="24"/>
      <c r="AT1066" s="24"/>
      <c r="AU1066" s="24"/>
      <c r="AV1066" s="24"/>
      <c r="AX1066" s="29"/>
    </row>
    <row r="1067" spans="2:50">
      <c r="B1067" s="19"/>
      <c r="K1067" s="21"/>
      <c r="T1067" s="28"/>
      <c r="AS1067" s="24"/>
      <c r="AT1067" s="24"/>
      <c r="AU1067" s="24"/>
      <c r="AV1067" s="24"/>
      <c r="AX1067" s="29"/>
    </row>
    <row r="1068" spans="2:50">
      <c r="B1068" s="19"/>
      <c r="K1068" s="21"/>
      <c r="T1068" s="28"/>
      <c r="AS1068" s="24"/>
      <c r="AT1068" s="24"/>
      <c r="AU1068" s="24"/>
      <c r="AV1068" s="24"/>
      <c r="AX1068" s="29"/>
    </row>
    <row r="1069" spans="2:50">
      <c r="B1069" s="19"/>
      <c r="K1069" s="21"/>
      <c r="T1069" s="28"/>
      <c r="AS1069" s="24"/>
      <c r="AT1069" s="24"/>
      <c r="AU1069" s="24"/>
      <c r="AV1069" s="24"/>
      <c r="AX1069" s="29"/>
    </row>
    <row r="1070" spans="2:50">
      <c r="B1070" s="19"/>
      <c r="K1070" s="21"/>
      <c r="T1070" s="28"/>
      <c r="AS1070" s="24"/>
      <c r="AT1070" s="24"/>
      <c r="AU1070" s="24"/>
      <c r="AV1070" s="24"/>
      <c r="AX1070" s="29"/>
    </row>
    <row r="1071" spans="2:50">
      <c r="B1071" s="19"/>
      <c r="K1071" s="21"/>
      <c r="T1071" s="28"/>
      <c r="AS1071" s="24"/>
      <c r="AT1071" s="24"/>
      <c r="AU1071" s="24"/>
      <c r="AV1071" s="24"/>
      <c r="AX1071" s="29"/>
    </row>
    <row r="1072" spans="2:50">
      <c r="B1072" s="19"/>
      <c r="K1072" s="21"/>
      <c r="T1072" s="28"/>
      <c r="AS1072" s="24"/>
      <c r="AT1072" s="24"/>
      <c r="AU1072" s="24"/>
      <c r="AV1072" s="24"/>
      <c r="AX1072" s="29"/>
    </row>
    <row r="1073" spans="2:50">
      <c r="B1073" s="19"/>
      <c r="K1073" s="21"/>
      <c r="T1073" s="28"/>
      <c r="AS1073" s="24"/>
      <c r="AT1073" s="24"/>
      <c r="AU1073" s="24"/>
      <c r="AV1073" s="24"/>
      <c r="AX1073" s="29"/>
    </row>
    <row r="1074" spans="2:50">
      <c r="B1074" s="19"/>
      <c r="K1074" s="21"/>
      <c r="T1074" s="28"/>
      <c r="AS1074" s="24"/>
      <c r="AT1074" s="24"/>
      <c r="AU1074" s="24"/>
      <c r="AV1074" s="24"/>
      <c r="AX1074" s="29"/>
    </row>
    <row r="1075" spans="2:50">
      <c r="B1075" s="19"/>
      <c r="K1075" s="21"/>
      <c r="T1075" s="28"/>
      <c r="AS1075" s="24"/>
      <c r="AT1075" s="24"/>
      <c r="AU1075" s="24"/>
      <c r="AV1075" s="24"/>
      <c r="AX1075" s="29"/>
    </row>
    <row r="1076" spans="2:50">
      <c r="B1076" s="19"/>
      <c r="K1076" s="21"/>
      <c r="T1076" s="28"/>
      <c r="AS1076" s="24"/>
      <c r="AT1076" s="24"/>
      <c r="AU1076" s="24"/>
      <c r="AV1076" s="24"/>
      <c r="AX1076" s="29"/>
    </row>
    <row r="1077" spans="2:50">
      <c r="B1077" s="19"/>
      <c r="K1077" s="21"/>
      <c r="T1077" s="28"/>
      <c r="AS1077" s="24"/>
      <c r="AT1077" s="24"/>
      <c r="AU1077" s="24"/>
      <c r="AV1077" s="24"/>
      <c r="AX1077" s="29"/>
    </row>
    <row r="1078" spans="2:50">
      <c r="B1078" s="19"/>
      <c r="K1078" s="21"/>
      <c r="T1078" s="28"/>
      <c r="AS1078" s="24"/>
      <c r="AT1078" s="24"/>
      <c r="AU1078" s="24"/>
      <c r="AV1078" s="24"/>
      <c r="AX1078" s="29"/>
    </row>
    <row r="1079" spans="2:50">
      <c r="B1079" s="19"/>
      <c r="K1079" s="21"/>
      <c r="T1079" s="28"/>
      <c r="AS1079" s="24"/>
      <c r="AT1079" s="24"/>
      <c r="AU1079" s="24"/>
      <c r="AV1079" s="24"/>
      <c r="AX1079" s="29"/>
    </row>
    <row r="1080" spans="2:50">
      <c r="B1080" s="19"/>
      <c r="K1080" s="21"/>
      <c r="T1080" s="28"/>
      <c r="AS1080" s="24"/>
      <c r="AT1080" s="24"/>
      <c r="AU1080" s="24"/>
      <c r="AV1080" s="24"/>
      <c r="AX1080" s="29"/>
    </row>
    <row r="1081" spans="2:50">
      <c r="B1081" s="19"/>
      <c r="K1081" s="21"/>
      <c r="T1081" s="28"/>
      <c r="AS1081" s="24"/>
      <c r="AT1081" s="24"/>
      <c r="AU1081" s="24"/>
      <c r="AV1081" s="24"/>
      <c r="AX1081" s="29"/>
    </row>
    <row r="1082" spans="2:50">
      <c r="B1082" s="19"/>
      <c r="K1082" s="21"/>
      <c r="T1082" s="28"/>
      <c r="AS1082" s="24"/>
      <c r="AT1082" s="24"/>
      <c r="AU1082" s="24"/>
      <c r="AV1082" s="24"/>
      <c r="AX1082" s="29"/>
    </row>
    <row r="1083" spans="2:50">
      <c r="B1083" s="19"/>
      <c r="K1083" s="21"/>
      <c r="T1083" s="28"/>
      <c r="AS1083" s="24"/>
      <c r="AT1083" s="24"/>
      <c r="AU1083" s="24"/>
      <c r="AV1083" s="24"/>
      <c r="AX1083" s="29"/>
    </row>
    <row r="1084" spans="2:50">
      <c r="B1084" s="19"/>
      <c r="K1084" s="21"/>
      <c r="T1084" s="28"/>
      <c r="AS1084" s="24"/>
      <c r="AT1084" s="24"/>
      <c r="AU1084" s="24"/>
      <c r="AV1084" s="24"/>
      <c r="AX1084" s="29"/>
    </row>
    <row r="1085" spans="2:50">
      <c r="B1085" s="19"/>
      <c r="K1085" s="21"/>
      <c r="T1085" s="28"/>
      <c r="AS1085" s="24"/>
      <c r="AT1085" s="24"/>
      <c r="AU1085" s="24"/>
      <c r="AV1085" s="24"/>
      <c r="AX1085" s="29"/>
    </row>
    <row r="1086" spans="2:50">
      <c r="B1086" s="19"/>
      <c r="K1086" s="21"/>
      <c r="T1086" s="28"/>
      <c r="AS1086" s="24"/>
      <c r="AT1086" s="24"/>
      <c r="AU1086" s="24"/>
      <c r="AV1086" s="24"/>
      <c r="AX1086" s="29"/>
    </row>
    <row r="1087" spans="2:50">
      <c r="B1087" s="19"/>
      <c r="K1087" s="21"/>
      <c r="T1087" s="28"/>
      <c r="AS1087" s="24"/>
      <c r="AT1087" s="24"/>
      <c r="AU1087" s="24"/>
      <c r="AV1087" s="24"/>
      <c r="AX1087" s="29"/>
    </row>
    <row r="1088" spans="2:50">
      <c r="B1088" s="19"/>
      <c r="K1088" s="21"/>
      <c r="T1088" s="28"/>
      <c r="AS1088" s="24"/>
      <c r="AT1088" s="24"/>
      <c r="AU1088" s="24"/>
      <c r="AV1088" s="24"/>
      <c r="AX1088" s="29"/>
    </row>
    <row r="1089" spans="2:50">
      <c r="B1089" s="19"/>
      <c r="K1089" s="21"/>
      <c r="T1089" s="28"/>
      <c r="AS1089" s="24"/>
      <c r="AT1089" s="24"/>
      <c r="AU1089" s="24"/>
      <c r="AV1089" s="24"/>
      <c r="AX1089" s="29"/>
    </row>
    <row r="1090" spans="2:50">
      <c r="B1090" s="19"/>
      <c r="K1090" s="21"/>
      <c r="T1090" s="28"/>
      <c r="AS1090" s="24"/>
      <c r="AT1090" s="24"/>
      <c r="AU1090" s="24"/>
      <c r="AV1090" s="24"/>
      <c r="AX1090" s="29"/>
    </row>
    <row r="1091" spans="2:50">
      <c r="B1091" s="19"/>
      <c r="K1091" s="21"/>
      <c r="T1091" s="28"/>
      <c r="AS1091" s="24"/>
      <c r="AT1091" s="24"/>
      <c r="AU1091" s="24"/>
      <c r="AV1091" s="24"/>
      <c r="AX1091" s="29"/>
    </row>
    <row r="1092" spans="2:50">
      <c r="B1092" s="19"/>
      <c r="K1092" s="21"/>
      <c r="T1092" s="28"/>
      <c r="AS1092" s="24"/>
      <c r="AT1092" s="24"/>
      <c r="AU1092" s="24"/>
      <c r="AV1092" s="24"/>
      <c r="AX1092" s="29"/>
    </row>
    <row r="1093" spans="2:50">
      <c r="B1093" s="19"/>
      <c r="K1093" s="21"/>
      <c r="T1093" s="28"/>
      <c r="AS1093" s="24"/>
      <c r="AT1093" s="24"/>
      <c r="AU1093" s="24"/>
      <c r="AV1093" s="24"/>
      <c r="AX1093" s="29"/>
    </row>
    <row r="1094" spans="2:50">
      <c r="B1094" s="19"/>
      <c r="K1094" s="21"/>
      <c r="T1094" s="28"/>
      <c r="AS1094" s="24"/>
      <c r="AT1094" s="24"/>
      <c r="AU1094" s="24"/>
      <c r="AV1094" s="24"/>
      <c r="AX1094" s="29"/>
    </row>
    <row r="1095" spans="2:50">
      <c r="B1095" s="19"/>
      <c r="K1095" s="21"/>
      <c r="T1095" s="28"/>
      <c r="AS1095" s="24"/>
      <c r="AT1095" s="24"/>
      <c r="AU1095" s="24"/>
      <c r="AV1095" s="24"/>
      <c r="AX1095" s="29"/>
    </row>
    <row r="1096" spans="2:50">
      <c r="B1096" s="19"/>
      <c r="K1096" s="21"/>
      <c r="T1096" s="28"/>
      <c r="AS1096" s="24"/>
      <c r="AT1096" s="24"/>
      <c r="AU1096" s="24"/>
      <c r="AV1096" s="24"/>
      <c r="AX1096" s="29"/>
    </row>
    <row r="1097" spans="2:50">
      <c r="B1097" s="19"/>
      <c r="K1097" s="21"/>
      <c r="T1097" s="28"/>
      <c r="AS1097" s="24"/>
      <c r="AT1097" s="24"/>
      <c r="AU1097" s="24"/>
      <c r="AV1097" s="24"/>
      <c r="AX1097" s="29"/>
    </row>
    <row r="1098" spans="2:50">
      <c r="B1098" s="19"/>
      <c r="K1098" s="21"/>
      <c r="T1098" s="28"/>
      <c r="AS1098" s="24"/>
      <c r="AT1098" s="24"/>
      <c r="AU1098" s="24"/>
      <c r="AV1098" s="24"/>
      <c r="AX1098" s="29"/>
    </row>
    <row r="1099" spans="2:50">
      <c r="B1099" s="19"/>
      <c r="K1099" s="21"/>
      <c r="T1099" s="28"/>
      <c r="AS1099" s="24"/>
      <c r="AT1099" s="24"/>
      <c r="AU1099" s="24"/>
      <c r="AV1099" s="24"/>
      <c r="AX1099" s="29"/>
    </row>
    <row r="1100" spans="2:50">
      <c r="B1100" s="19"/>
      <c r="K1100" s="21"/>
      <c r="T1100" s="28"/>
      <c r="AS1100" s="24"/>
      <c r="AT1100" s="24"/>
      <c r="AU1100" s="24"/>
      <c r="AV1100" s="24"/>
      <c r="AX1100" s="29"/>
    </row>
    <row r="1101" spans="2:50">
      <c r="B1101" s="19"/>
      <c r="K1101" s="21"/>
      <c r="T1101" s="28"/>
      <c r="AS1101" s="24"/>
      <c r="AT1101" s="24"/>
      <c r="AU1101" s="24"/>
      <c r="AV1101" s="24"/>
      <c r="AX1101" s="29"/>
    </row>
    <row r="1102" spans="2:50">
      <c r="B1102" s="19"/>
      <c r="K1102" s="21"/>
      <c r="T1102" s="28"/>
      <c r="AS1102" s="24"/>
      <c r="AT1102" s="24"/>
      <c r="AU1102" s="24"/>
      <c r="AV1102" s="24"/>
      <c r="AX1102" s="29"/>
    </row>
    <row r="1103" spans="2:50">
      <c r="B1103" s="19"/>
      <c r="K1103" s="21"/>
      <c r="T1103" s="28"/>
      <c r="AS1103" s="24"/>
      <c r="AT1103" s="24"/>
      <c r="AU1103" s="24"/>
      <c r="AV1103" s="24"/>
      <c r="AX1103" s="29"/>
    </row>
    <row r="1104" spans="2:50">
      <c r="B1104" s="19"/>
      <c r="K1104" s="21"/>
      <c r="T1104" s="28"/>
      <c r="AS1104" s="24"/>
      <c r="AT1104" s="24"/>
      <c r="AU1104" s="24"/>
      <c r="AV1104" s="24"/>
      <c r="AX1104" s="29"/>
    </row>
    <row r="1105" spans="2:50">
      <c r="B1105" s="19"/>
      <c r="K1105" s="21"/>
      <c r="T1105" s="28"/>
      <c r="AS1105" s="24"/>
      <c r="AT1105" s="24"/>
      <c r="AU1105" s="24"/>
      <c r="AV1105" s="24"/>
      <c r="AX1105" s="29"/>
    </row>
    <row r="1106" spans="2:50">
      <c r="B1106" s="19"/>
      <c r="K1106" s="21"/>
      <c r="T1106" s="28"/>
      <c r="AS1106" s="24"/>
      <c r="AT1106" s="24"/>
      <c r="AU1106" s="24"/>
      <c r="AV1106" s="24"/>
      <c r="AX1106" s="29"/>
    </row>
    <row r="1107" spans="2:50">
      <c r="B1107" s="19"/>
      <c r="K1107" s="21"/>
      <c r="T1107" s="28"/>
      <c r="AS1107" s="24"/>
      <c r="AT1107" s="24"/>
      <c r="AU1107" s="24"/>
      <c r="AV1107" s="24"/>
      <c r="AX1107" s="29"/>
    </row>
    <row r="1108" spans="2:50">
      <c r="B1108" s="19"/>
      <c r="K1108" s="21"/>
      <c r="T1108" s="28"/>
      <c r="AS1108" s="24"/>
      <c r="AT1108" s="24"/>
      <c r="AU1108" s="24"/>
      <c r="AV1108" s="24"/>
      <c r="AX1108" s="29"/>
    </row>
    <row r="1109" spans="2:50">
      <c r="B1109" s="19"/>
      <c r="K1109" s="21"/>
      <c r="T1109" s="28"/>
      <c r="AS1109" s="24"/>
      <c r="AT1109" s="24"/>
      <c r="AU1109" s="24"/>
      <c r="AV1109" s="24"/>
      <c r="AX1109" s="29"/>
    </row>
    <row r="1110" spans="2:50">
      <c r="B1110" s="19"/>
      <c r="K1110" s="21"/>
      <c r="T1110" s="28"/>
      <c r="AS1110" s="24"/>
      <c r="AT1110" s="24"/>
      <c r="AU1110" s="24"/>
      <c r="AV1110" s="24"/>
      <c r="AX1110" s="29"/>
    </row>
    <row r="1111" spans="2:50">
      <c r="B1111" s="19"/>
      <c r="K1111" s="21"/>
      <c r="T1111" s="28"/>
      <c r="AS1111" s="24"/>
      <c r="AT1111" s="24"/>
      <c r="AU1111" s="24"/>
      <c r="AV1111" s="24"/>
      <c r="AX1111" s="29"/>
    </row>
    <row r="1112" spans="2:50">
      <c r="B1112" s="19"/>
      <c r="K1112" s="21"/>
      <c r="T1112" s="28"/>
      <c r="AS1112" s="24"/>
      <c r="AT1112" s="24"/>
      <c r="AU1112" s="24"/>
      <c r="AV1112" s="24"/>
      <c r="AX1112" s="29"/>
    </row>
    <row r="1113" spans="2:50">
      <c r="B1113" s="19"/>
      <c r="K1113" s="21"/>
      <c r="T1113" s="28"/>
      <c r="AS1113" s="24"/>
      <c r="AT1113" s="24"/>
      <c r="AU1113" s="24"/>
      <c r="AV1113" s="24"/>
      <c r="AX1113" s="29"/>
    </row>
    <row r="1114" spans="2:50">
      <c r="B1114" s="19"/>
      <c r="K1114" s="21"/>
      <c r="T1114" s="28"/>
      <c r="AS1114" s="24"/>
      <c r="AT1114" s="24"/>
      <c r="AU1114" s="24"/>
      <c r="AV1114" s="24"/>
      <c r="AX1114" s="29"/>
    </row>
    <row r="1115" spans="2:50">
      <c r="B1115" s="19"/>
      <c r="K1115" s="21"/>
      <c r="T1115" s="28"/>
      <c r="AS1115" s="24"/>
      <c r="AT1115" s="24"/>
      <c r="AU1115" s="24"/>
      <c r="AV1115" s="24"/>
      <c r="AX1115" s="29"/>
    </row>
    <row r="1116" spans="2:50">
      <c r="B1116" s="19"/>
      <c r="K1116" s="21"/>
      <c r="T1116" s="28"/>
      <c r="AS1116" s="24"/>
      <c r="AT1116" s="24"/>
      <c r="AU1116" s="24"/>
      <c r="AV1116" s="24"/>
      <c r="AX1116" s="29"/>
    </row>
    <row r="1117" spans="2:50">
      <c r="B1117" s="19"/>
      <c r="K1117" s="21"/>
      <c r="T1117" s="28"/>
      <c r="AS1117" s="24"/>
      <c r="AT1117" s="24"/>
      <c r="AU1117" s="24"/>
      <c r="AV1117" s="24"/>
      <c r="AX1117" s="29"/>
    </row>
    <row r="1118" spans="2:50">
      <c r="B1118" s="19"/>
      <c r="K1118" s="21"/>
      <c r="T1118" s="28"/>
      <c r="AS1118" s="24"/>
      <c r="AT1118" s="24"/>
      <c r="AU1118" s="24"/>
      <c r="AV1118" s="24"/>
      <c r="AX1118" s="29"/>
    </row>
    <row r="1119" spans="2:50">
      <c r="B1119" s="19"/>
      <c r="K1119" s="21"/>
      <c r="T1119" s="28"/>
      <c r="AS1119" s="24"/>
      <c r="AT1119" s="24"/>
      <c r="AU1119" s="24"/>
      <c r="AV1119" s="24"/>
      <c r="AX1119" s="29"/>
    </row>
    <row r="1120" spans="2:50">
      <c r="B1120" s="19"/>
      <c r="K1120" s="21"/>
      <c r="T1120" s="28"/>
      <c r="AS1120" s="24"/>
      <c r="AT1120" s="24"/>
      <c r="AU1120" s="24"/>
      <c r="AV1120" s="24"/>
      <c r="AX1120" s="29"/>
    </row>
    <row r="1121" spans="2:50">
      <c r="B1121" s="19"/>
      <c r="K1121" s="21"/>
      <c r="T1121" s="28"/>
      <c r="AS1121" s="24"/>
      <c r="AT1121" s="24"/>
      <c r="AU1121" s="24"/>
      <c r="AV1121" s="24"/>
      <c r="AX1121" s="29"/>
    </row>
    <row r="1122" spans="2:50">
      <c r="B1122" s="19"/>
      <c r="K1122" s="21"/>
      <c r="T1122" s="28"/>
      <c r="AS1122" s="24"/>
      <c r="AT1122" s="24"/>
      <c r="AU1122" s="24"/>
      <c r="AV1122" s="24"/>
      <c r="AX1122" s="29"/>
    </row>
    <row r="1123" spans="2:50">
      <c r="B1123" s="19"/>
      <c r="K1123" s="21"/>
      <c r="T1123" s="28"/>
      <c r="AS1123" s="24"/>
      <c r="AT1123" s="24"/>
      <c r="AU1123" s="24"/>
      <c r="AV1123" s="24"/>
      <c r="AX1123" s="29"/>
    </row>
    <row r="1124" spans="2:50">
      <c r="B1124" s="19"/>
      <c r="K1124" s="21"/>
      <c r="T1124" s="28"/>
      <c r="AS1124" s="24"/>
      <c r="AT1124" s="24"/>
      <c r="AU1124" s="24"/>
      <c r="AV1124" s="24"/>
      <c r="AX1124" s="29"/>
    </row>
    <row r="1125" spans="2:50">
      <c r="B1125" s="19"/>
      <c r="K1125" s="21"/>
      <c r="T1125" s="28"/>
      <c r="AS1125" s="24"/>
      <c r="AT1125" s="24"/>
      <c r="AU1125" s="24"/>
      <c r="AV1125" s="24"/>
      <c r="AX1125" s="29"/>
    </row>
    <row r="1126" spans="2:50">
      <c r="B1126" s="19"/>
      <c r="K1126" s="21"/>
      <c r="T1126" s="28"/>
      <c r="AS1126" s="24"/>
      <c r="AT1126" s="24"/>
      <c r="AU1126" s="24"/>
      <c r="AV1126" s="24"/>
      <c r="AX1126" s="29"/>
    </row>
    <row r="1127" spans="2:50">
      <c r="B1127" s="19"/>
      <c r="K1127" s="21"/>
      <c r="T1127" s="28"/>
      <c r="AS1127" s="24"/>
      <c r="AT1127" s="24"/>
      <c r="AU1127" s="24"/>
      <c r="AV1127" s="24"/>
      <c r="AX1127" s="29"/>
    </row>
    <row r="1128" spans="2:50">
      <c r="B1128" s="19"/>
      <c r="K1128" s="21"/>
      <c r="T1128" s="28"/>
      <c r="AS1128" s="24"/>
      <c r="AT1128" s="24"/>
      <c r="AU1128" s="24"/>
      <c r="AV1128" s="24"/>
      <c r="AX1128" s="29"/>
    </row>
    <row r="1129" spans="2:50">
      <c r="B1129" s="19"/>
      <c r="K1129" s="21"/>
      <c r="T1129" s="28"/>
      <c r="AS1129" s="24"/>
      <c r="AT1129" s="24"/>
      <c r="AU1129" s="24"/>
      <c r="AV1129" s="24"/>
      <c r="AX1129" s="29"/>
    </row>
    <row r="1130" spans="2:50">
      <c r="B1130" s="19"/>
      <c r="K1130" s="21"/>
      <c r="T1130" s="28"/>
      <c r="AS1130" s="24"/>
      <c r="AT1130" s="24"/>
      <c r="AU1130" s="24"/>
      <c r="AV1130" s="24"/>
      <c r="AX1130" s="29"/>
    </row>
    <row r="1131" spans="2:50">
      <c r="B1131" s="19"/>
      <c r="K1131" s="21"/>
      <c r="T1131" s="28"/>
      <c r="AS1131" s="24"/>
      <c r="AT1131" s="24"/>
      <c r="AU1131" s="24"/>
      <c r="AV1131" s="24"/>
      <c r="AX1131" s="29"/>
    </row>
    <row r="1132" spans="2:50">
      <c r="B1132" s="19"/>
      <c r="K1132" s="21"/>
      <c r="T1132" s="28"/>
      <c r="AS1132" s="24"/>
      <c r="AT1132" s="24"/>
      <c r="AU1132" s="24"/>
      <c r="AV1132" s="24"/>
      <c r="AX1132" s="29"/>
    </row>
    <row r="1133" spans="2:50">
      <c r="B1133" s="19"/>
      <c r="K1133" s="21"/>
      <c r="T1133" s="28"/>
      <c r="AS1133" s="24"/>
      <c r="AT1133" s="24"/>
      <c r="AU1133" s="24"/>
      <c r="AV1133" s="24"/>
      <c r="AX1133" s="29"/>
    </row>
    <row r="1134" spans="2:50">
      <c r="B1134" s="19"/>
      <c r="K1134" s="21"/>
      <c r="T1134" s="28"/>
      <c r="AS1134" s="24"/>
      <c r="AT1134" s="24"/>
      <c r="AU1134" s="24"/>
      <c r="AV1134" s="24"/>
      <c r="AX1134" s="29"/>
    </row>
    <row r="1135" spans="2:50">
      <c r="B1135" s="19"/>
      <c r="K1135" s="21"/>
      <c r="T1135" s="28"/>
      <c r="AS1135" s="24"/>
      <c r="AT1135" s="24"/>
      <c r="AU1135" s="24"/>
      <c r="AV1135" s="24"/>
      <c r="AX1135" s="29"/>
    </row>
    <row r="1136" spans="2:50">
      <c r="B1136" s="19"/>
      <c r="K1136" s="21"/>
      <c r="T1136" s="28"/>
      <c r="AS1136" s="24"/>
      <c r="AT1136" s="24"/>
      <c r="AU1136" s="24"/>
      <c r="AV1136" s="24"/>
      <c r="AX1136" s="29"/>
    </row>
    <row r="1137" spans="2:50">
      <c r="B1137" s="19"/>
      <c r="K1137" s="21"/>
      <c r="T1137" s="28"/>
      <c r="AS1137" s="24"/>
      <c r="AT1137" s="24"/>
      <c r="AU1137" s="24"/>
      <c r="AV1137" s="24"/>
      <c r="AX1137" s="29"/>
    </row>
    <row r="1138" spans="2:50">
      <c r="B1138" s="19"/>
      <c r="K1138" s="21"/>
      <c r="T1138" s="28"/>
      <c r="AS1138" s="24"/>
      <c r="AT1138" s="24"/>
      <c r="AU1138" s="24"/>
      <c r="AV1138" s="24"/>
      <c r="AX1138" s="29"/>
    </row>
    <row r="1139" spans="2:50">
      <c r="B1139" s="19"/>
      <c r="K1139" s="21"/>
      <c r="T1139" s="28"/>
      <c r="AS1139" s="24"/>
      <c r="AT1139" s="24"/>
      <c r="AU1139" s="24"/>
      <c r="AV1139" s="24"/>
      <c r="AX1139" s="29"/>
    </row>
    <row r="1140" spans="2:50">
      <c r="B1140" s="19"/>
      <c r="K1140" s="21"/>
      <c r="T1140" s="28"/>
      <c r="AS1140" s="24"/>
      <c r="AT1140" s="24"/>
      <c r="AU1140" s="24"/>
      <c r="AV1140" s="24"/>
      <c r="AX1140" s="29"/>
    </row>
    <row r="1141" spans="2:50">
      <c r="B1141" s="19"/>
      <c r="K1141" s="21"/>
      <c r="T1141" s="28"/>
      <c r="AS1141" s="24"/>
      <c r="AT1141" s="24"/>
      <c r="AU1141" s="24"/>
      <c r="AV1141" s="24"/>
      <c r="AX1141" s="29"/>
    </row>
    <row r="1142" spans="2:50">
      <c r="B1142" s="19"/>
      <c r="K1142" s="21"/>
      <c r="T1142" s="28"/>
      <c r="AS1142" s="24"/>
      <c r="AT1142" s="24"/>
      <c r="AU1142" s="24"/>
      <c r="AV1142" s="24"/>
      <c r="AX1142" s="29"/>
    </row>
    <row r="1143" spans="2:50">
      <c r="B1143" s="19"/>
      <c r="K1143" s="21"/>
      <c r="T1143" s="28"/>
      <c r="AS1143" s="24"/>
      <c r="AT1143" s="24"/>
      <c r="AU1143" s="24"/>
      <c r="AV1143" s="24"/>
      <c r="AX1143" s="29"/>
    </row>
    <row r="1144" spans="2:50">
      <c r="B1144" s="19"/>
      <c r="K1144" s="21"/>
      <c r="T1144" s="28"/>
      <c r="AS1144" s="24"/>
      <c r="AT1144" s="24"/>
      <c r="AU1144" s="24"/>
      <c r="AV1144" s="24"/>
      <c r="AX1144" s="29"/>
    </row>
    <row r="1145" spans="2:50">
      <c r="B1145" s="19"/>
      <c r="K1145" s="21"/>
      <c r="T1145" s="28"/>
      <c r="AS1145" s="24"/>
      <c r="AT1145" s="24"/>
      <c r="AU1145" s="24"/>
      <c r="AV1145" s="24"/>
      <c r="AX1145" s="29"/>
    </row>
    <row r="1146" spans="2:50">
      <c r="B1146" s="19"/>
      <c r="K1146" s="21"/>
      <c r="T1146" s="28"/>
      <c r="AS1146" s="24"/>
      <c r="AT1146" s="24"/>
      <c r="AU1146" s="24"/>
      <c r="AV1146" s="24"/>
      <c r="AX1146" s="29"/>
    </row>
    <row r="1147" spans="2:50">
      <c r="B1147" s="19"/>
      <c r="K1147" s="21"/>
      <c r="T1147" s="28"/>
      <c r="AS1147" s="24"/>
      <c r="AT1147" s="24"/>
      <c r="AU1147" s="24"/>
      <c r="AV1147" s="24"/>
      <c r="AX1147" s="29"/>
    </row>
    <row r="1148" spans="2:50">
      <c r="B1148" s="19"/>
      <c r="K1148" s="21"/>
      <c r="T1148" s="28"/>
      <c r="AS1148" s="24"/>
      <c r="AT1148" s="24"/>
      <c r="AU1148" s="24"/>
      <c r="AV1148" s="24"/>
      <c r="AX1148" s="29"/>
    </row>
    <row r="1149" spans="2:50">
      <c r="B1149" s="19"/>
      <c r="K1149" s="21"/>
      <c r="T1149" s="28"/>
      <c r="AS1149" s="24"/>
      <c r="AT1149" s="24"/>
      <c r="AU1149" s="24"/>
      <c r="AV1149" s="24"/>
      <c r="AX1149" s="29"/>
    </row>
    <row r="1150" spans="2:50">
      <c r="B1150" s="19"/>
      <c r="K1150" s="21"/>
      <c r="T1150" s="28"/>
      <c r="AS1150" s="24"/>
      <c r="AT1150" s="24"/>
      <c r="AU1150" s="24"/>
      <c r="AV1150" s="24"/>
      <c r="AX1150" s="29"/>
    </row>
    <row r="1151" spans="2:50">
      <c r="B1151" s="19"/>
      <c r="K1151" s="21"/>
      <c r="T1151" s="28"/>
      <c r="AS1151" s="24"/>
      <c r="AT1151" s="24"/>
      <c r="AU1151" s="24"/>
      <c r="AV1151" s="24"/>
      <c r="AX1151" s="29"/>
    </row>
    <row r="1152" spans="2:50">
      <c r="B1152" s="19"/>
      <c r="K1152" s="21"/>
      <c r="T1152" s="28"/>
      <c r="AS1152" s="24"/>
      <c r="AT1152" s="24"/>
      <c r="AU1152" s="24"/>
      <c r="AV1152" s="24"/>
      <c r="AX1152" s="29"/>
    </row>
    <row r="1153" spans="2:50">
      <c r="B1153" s="19"/>
      <c r="K1153" s="21"/>
      <c r="T1153" s="28"/>
      <c r="AS1153" s="24"/>
      <c r="AT1153" s="24"/>
      <c r="AU1153" s="24"/>
      <c r="AV1153" s="24"/>
      <c r="AX1153" s="29"/>
    </row>
    <row r="1154" spans="2:50">
      <c r="B1154" s="19"/>
      <c r="K1154" s="21"/>
      <c r="T1154" s="28"/>
      <c r="AS1154" s="24"/>
      <c r="AT1154" s="24"/>
      <c r="AU1154" s="24"/>
      <c r="AV1154" s="24"/>
      <c r="AX1154" s="29"/>
    </row>
    <row r="1155" spans="2:50">
      <c r="B1155" s="19"/>
      <c r="K1155" s="21"/>
      <c r="T1155" s="28"/>
      <c r="AS1155" s="24"/>
      <c r="AT1155" s="24"/>
      <c r="AU1155" s="24"/>
      <c r="AV1155" s="24"/>
      <c r="AX1155" s="29"/>
    </row>
    <row r="1156" spans="2:50">
      <c r="B1156" s="19"/>
      <c r="K1156" s="21"/>
      <c r="T1156" s="28"/>
      <c r="AS1156" s="24"/>
      <c r="AT1156" s="24"/>
      <c r="AU1156" s="24"/>
      <c r="AV1156" s="24"/>
      <c r="AX1156" s="29"/>
    </row>
    <row r="1157" spans="2:50">
      <c r="B1157" s="19"/>
      <c r="K1157" s="21"/>
      <c r="T1157" s="28"/>
      <c r="AS1157" s="24"/>
      <c r="AT1157" s="24"/>
      <c r="AU1157" s="24"/>
      <c r="AV1157" s="24"/>
      <c r="AX1157" s="29"/>
    </row>
    <row r="1158" spans="2:50">
      <c r="B1158" s="19"/>
      <c r="K1158" s="21"/>
      <c r="T1158" s="28"/>
      <c r="AS1158" s="24"/>
      <c r="AT1158" s="24"/>
      <c r="AU1158" s="24"/>
      <c r="AV1158" s="24"/>
      <c r="AX1158" s="29"/>
    </row>
    <row r="1159" spans="2:50">
      <c r="B1159" s="19"/>
      <c r="K1159" s="21"/>
      <c r="T1159" s="28"/>
      <c r="AS1159" s="24"/>
      <c r="AT1159" s="24"/>
      <c r="AU1159" s="24"/>
      <c r="AV1159" s="24"/>
      <c r="AX1159" s="29"/>
    </row>
    <row r="1160" spans="2:50">
      <c r="B1160" s="19"/>
      <c r="K1160" s="21"/>
      <c r="T1160" s="28"/>
      <c r="AS1160" s="24"/>
      <c r="AT1160" s="24"/>
      <c r="AU1160" s="24"/>
      <c r="AV1160" s="24"/>
      <c r="AX1160" s="29"/>
    </row>
    <row r="1161" spans="2:50">
      <c r="B1161" s="19"/>
      <c r="K1161" s="21"/>
      <c r="T1161" s="28"/>
      <c r="AS1161" s="24"/>
      <c r="AT1161" s="24"/>
      <c r="AU1161" s="24"/>
      <c r="AV1161" s="24"/>
      <c r="AX1161" s="29"/>
    </row>
    <row r="1162" spans="2:50">
      <c r="B1162" s="19"/>
      <c r="K1162" s="21"/>
      <c r="T1162" s="28"/>
      <c r="AS1162" s="24"/>
      <c r="AT1162" s="24"/>
      <c r="AU1162" s="24"/>
      <c r="AV1162" s="24"/>
      <c r="AX1162" s="29"/>
    </row>
    <row r="1163" spans="2:50">
      <c r="B1163" s="19"/>
      <c r="K1163" s="21"/>
      <c r="T1163" s="28"/>
      <c r="AS1163" s="24"/>
      <c r="AT1163" s="24"/>
      <c r="AU1163" s="24"/>
      <c r="AV1163" s="24"/>
      <c r="AX1163" s="29"/>
    </row>
    <row r="1164" spans="2:50">
      <c r="B1164" s="19"/>
      <c r="K1164" s="21"/>
      <c r="T1164" s="28"/>
      <c r="AS1164" s="24"/>
      <c r="AT1164" s="24"/>
      <c r="AU1164" s="24"/>
      <c r="AV1164" s="24"/>
      <c r="AX1164" s="29"/>
    </row>
    <row r="1165" spans="2:50">
      <c r="B1165" s="19"/>
      <c r="K1165" s="21"/>
      <c r="T1165" s="28"/>
      <c r="AS1165" s="24"/>
      <c r="AT1165" s="24"/>
      <c r="AU1165" s="24"/>
      <c r="AV1165" s="24"/>
      <c r="AX1165" s="29"/>
    </row>
    <row r="1166" spans="2:50">
      <c r="B1166" s="19"/>
      <c r="K1166" s="21"/>
      <c r="T1166" s="28"/>
      <c r="AS1166" s="24"/>
      <c r="AT1166" s="24"/>
      <c r="AU1166" s="24"/>
      <c r="AV1166" s="24"/>
      <c r="AX1166" s="29"/>
    </row>
    <row r="1167" spans="2:50">
      <c r="B1167" s="19"/>
      <c r="K1167" s="21"/>
      <c r="T1167" s="28"/>
      <c r="AS1167" s="24"/>
      <c r="AT1167" s="24"/>
      <c r="AU1167" s="24"/>
      <c r="AV1167" s="24"/>
      <c r="AX1167" s="29"/>
    </row>
    <row r="1168" spans="2:50">
      <c r="B1168" s="19"/>
      <c r="K1168" s="21"/>
      <c r="T1168" s="28"/>
      <c r="AS1168" s="24"/>
      <c r="AT1168" s="24"/>
      <c r="AU1168" s="24"/>
      <c r="AV1168" s="24"/>
      <c r="AX1168" s="29"/>
    </row>
    <row r="1169" spans="2:50">
      <c r="B1169" s="19"/>
      <c r="K1169" s="21"/>
      <c r="T1169" s="28"/>
      <c r="AS1169" s="24"/>
      <c r="AT1169" s="24"/>
      <c r="AU1169" s="24"/>
      <c r="AV1169" s="24"/>
      <c r="AX1169" s="29"/>
    </row>
    <row r="1170" spans="2:50">
      <c r="B1170" s="19"/>
      <c r="K1170" s="21"/>
      <c r="T1170" s="28"/>
      <c r="AS1170" s="24"/>
      <c r="AT1170" s="24"/>
      <c r="AU1170" s="24"/>
      <c r="AV1170" s="24"/>
      <c r="AX1170" s="29"/>
    </row>
    <row r="1171" spans="2:50">
      <c r="B1171" s="19"/>
      <c r="K1171" s="21"/>
      <c r="T1171" s="28"/>
      <c r="AS1171" s="24"/>
      <c r="AT1171" s="24"/>
      <c r="AU1171" s="24"/>
      <c r="AV1171" s="24"/>
      <c r="AX1171" s="29"/>
    </row>
    <row r="1172" spans="2:50">
      <c r="B1172" s="19"/>
      <c r="K1172" s="21"/>
      <c r="T1172" s="28"/>
      <c r="AS1172" s="24"/>
      <c r="AT1172" s="24"/>
      <c r="AU1172" s="24"/>
      <c r="AV1172" s="24"/>
      <c r="AX1172" s="29"/>
    </row>
    <row r="1173" spans="2:50">
      <c r="B1173" s="19"/>
      <c r="K1173" s="21"/>
      <c r="T1173" s="28"/>
      <c r="AS1173" s="24"/>
      <c r="AT1173" s="24"/>
      <c r="AU1173" s="24"/>
      <c r="AV1173" s="24"/>
      <c r="AX1173" s="29"/>
    </row>
    <row r="1174" spans="2:50">
      <c r="B1174" s="19"/>
      <c r="K1174" s="21"/>
      <c r="T1174" s="28"/>
      <c r="AS1174" s="24"/>
      <c r="AT1174" s="24"/>
      <c r="AU1174" s="24"/>
      <c r="AV1174" s="24"/>
      <c r="AX1174" s="29"/>
    </row>
    <row r="1175" spans="2:50">
      <c r="B1175" s="19"/>
      <c r="K1175" s="21"/>
      <c r="T1175" s="28"/>
      <c r="AS1175" s="24"/>
      <c r="AT1175" s="24"/>
      <c r="AU1175" s="24"/>
      <c r="AV1175" s="24"/>
      <c r="AX1175" s="29"/>
    </row>
    <row r="1176" spans="2:50">
      <c r="B1176" s="19"/>
      <c r="K1176" s="21"/>
      <c r="T1176" s="28"/>
      <c r="AS1176" s="24"/>
      <c r="AT1176" s="24"/>
      <c r="AU1176" s="24"/>
      <c r="AV1176" s="24"/>
      <c r="AX1176" s="29"/>
    </row>
    <row r="1177" spans="2:50">
      <c r="B1177" s="19"/>
      <c r="K1177" s="21"/>
      <c r="T1177" s="28"/>
      <c r="AS1177" s="24"/>
      <c r="AT1177" s="24"/>
      <c r="AU1177" s="24"/>
      <c r="AV1177" s="24"/>
      <c r="AX1177" s="29"/>
    </row>
    <row r="1178" spans="2:50">
      <c r="B1178" s="19"/>
      <c r="K1178" s="21"/>
      <c r="T1178" s="28"/>
      <c r="AS1178" s="24"/>
      <c r="AT1178" s="24"/>
      <c r="AU1178" s="24"/>
      <c r="AV1178" s="24"/>
      <c r="AX1178" s="29"/>
    </row>
    <row r="1179" spans="2:50">
      <c r="B1179" s="19"/>
      <c r="K1179" s="21"/>
      <c r="T1179" s="28"/>
      <c r="AS1179" s="24"/>
      <c r="AT1179" s="24"/>
      <c r="AU1179" s="24"/>
      <c r="AV1179" s="24"/>
      <c r="AX1179" s="29"/>
    </row>
    <row r="1180" spans="2:50">
      <c r="B1180" s="19"/>
      <c r="K1180" s="21"/>
      <c r="T1180" s="28"/>
      <c r="AS1180" s="24"/>
      <c r="AT1180" s="24"/>
      <c r="AU1180" s="24"/>
      <c r="AV1180" s="24"/>
      <c r="AX1180" s="29"/>
    </row>
    <row r="1181" spans="2:50">
      <c r="B1181" s="19"/>
      <c r="K1181" s="21"/>
      <c r="T1181" s="28"/>
      <c r="AS1181" s="24"/>
      <c r="AT1181" s="24"/>
      <c r="AU1181" s="24"/>
      <c r="AV1181" s="24"/>
      <c r="AX1181" s="29"/>
    </row>
    <row r="1182" spans="2:50">
      <c r="B1182" s="19"/>
      <c r="K1182" s="21"/>
      <c r="T1182" s="28"/>
      <c r="AS1182" s="24"/>
      <c r="AT1182" s="24"/>
      <c r="AU1182" s="24"/>
      <c r="AV1182" s="24"/>
      <c r="AX1182" s="29"/>
    </row>
    <row r="1183" spans="2:50">
      <c r="B1183" s="19"/>
      <c r="K1183" s="21"/>
      <c r="T1183" s="28"/>
      <c r="AS1183" s="24"/>
      <c r="AT1183" s="24"/>
      <c r="AU1183" s="24"/>
      <c r="AV1183" s="24"/>
      <c r="AX1183" s="29"/>
    </row>
    <row r="1184" spans="2:50">
      <c r="B1184" s="19"/>
      <c r="K1184" s="21"/>
      <c r="T1184" s="28"/>
      <c r="AS1184" s="24"/>
      <c r="AT1184" s="24"/>
      <c r="AU1184" s="24"/>
      <c r="AV1184" s="24"/>
      <c r="AX1184" s="29"/>
    </row>
    <row r="1185" spans="2:50">
      <c r="B1185" s="19"/>
      <c r="K1185" s="21"/>
      <c r="T1185" s="28"/>
      <c r="AS1185" s="24"/>
      <c r="AT1185" s="24"/>
      <c r="AU1185" s="24"/>
      <c r="AV1185" s="24"/>
      <c r="AX1185" s="29"/>
    </row>
    <row r="1186" spans="2:50">
      <c r="B1186" s="19"/>
      <c r="K1186" s="21"/>
      <c r="T1186" s="28"/>
      <c r="AS1186" s="24"/>
      <c r="AT1186" s="24"/>
      <c r="AU1186" s="24"/>
      <c r="AV1186" s="24"/>
      <c r="AX1186" s="29"/>
    </row>
    <row r="1187" spans="2:50">
      <c r="B1187" s="19"/>
      <c r="K1187" s="21"/>
      <c r="T1187" s="28"/>
      <c r="AS1187" s="24"/>
      <c r="AT1187" s="24"/>
      <c r="AU1187" s="24"/>
      <c r="AV1187" s="24"/>
      <c r="AX1187" s="29"/>
    </row>
    <row r="1188" spans="2:50">
      <c r="B1188" s="19"/>
      <c r="K1188" s="21"/>
      <c r="T1188" s="28"/>
      <c r="AS1188" s="24"/>
      <c r="AT1188" s="24"/>
      <c r="AU1188" s="24"/>
      <c r="AV1188" s="24"/>
      <c r="AX1188" s="29"/>
    </row>
    <row r="1189" spans="2:50">
      <c r="B1189" s="19"/>
      <c r="K1189" s="21"/>
      <c r="T1189" s="28"/>
      <c r="AS1189" s="24"/>
      <c r="AT1189" s="24"/>
      <c r="AU1189" s="24"/>
      <c r="AV1189" s="24"/>
      <c r="AX1189" s="29"/>
    </row>
    <row r="1190" spans="2:50">
      <c r="B1190" s="19"/>
      <c r="K1190" s="21"/>
      <c r="T1190" s="28"/>
      <c r="AS1190" s="24"/>
      <c r="AT1190" s="24"/>
      <c r="AU1190" s="24"/>
      <c r="AV1190" s="24"/>
      <c r="AX1190" s="29"/>
    </row>
    <row r="1191" spans="2:50">
      <c r="B1191" s="19"/>
      <c r="K1191" s="21"/>
      <c r="T1191" s="28"/>
      <c r="AS1191" s="24"/>
      <c r="AT1191" s="24"/>
      <c r="AU1191" s="24"/>
      <c r="AV1191" s="24"/>
      <c r="AX1191" s="29"/>
    </row>
    <row r="1192" spans="2:50">
      <c r="B1192" s="19"/>
      <c r="K1192" s="21"/>
      <c r="T1192" s="28"/>
      <c r="AS1192" s="24"/>
      <c r="AT1192" s="24"/>
      <c r="AU1192" s="24"/>
      <c r="AV1192" s="24"/>
      <c r="AX1192" s="29"/>
    </row>
    <row r="1193" spans="2:50">
      <c r="B1193" s="19"/>
      <c r="K1193" s="21"/>
      <c r="T1193" s="28"/>
      <c r="AS1193" s="24"/>
      <c r="AT1193" s="24"/>
      <c r="AU1193" s="24"/>
      <c r="AV1193" s="24"/>
      <c r="AX1193" s="29"/>
    </row>
    <row r="1194" spans="2:50">
      <c r="B1194" s="19"/>
      <c r="K1194" s="21"/>
      <c r="T1194" s="28"/>
      <c r="AS1194" s="24"/>
      <c r="AT1194" s="24"/>
      <c r="AU1194" s="24"/>
      <c r="AV1194" s="24"/>
      <c r="AX1194" s="29"/>
    </row>
    <row r="1195" spans="2:50">
      <c r="B1195" s="19"/>
      <c r="K1195" s="21"/>
      <c r="T1195" s="28"/>
      <c r="AS1195" s="24"/>
      <c r="AT1195" s="24"/>
      <c r="AU1195" s="24"/>
      <c r="AV1195" s="24"/>
      <c r="AX1195" s="29"/>
    </row>
    <row r="1196" spans="2:50">
      <c r="B1196" s="19"/>
      <c r="K1196" s="21"/>
      <c r="T1196" s="28"/>
      <c r="AS1196" s="24"/>
      <c r="AT1196" s="24"/>
      <c r="AU1196" s="24"/>
      <c r="AV1196" s="24"/>
      <c r="AX1196" s="29"/>
    </row>
    <row r="1197" spans="2:50">
      <c r="B1197" s="19"/>
      <c r="K1197" s="21"/>
      <c r="T1197" s="28"/>
      <c r="AS1197" s="24"/>
      <c r="AT1197" s="24"/>
      <c r="AU1197" s="24"/>
      <c r="AV1197" s="24"/>
      <c r="AX1197" s="29"/>
    </row>
    <row r="1198" spans="2:50">
      <c r="B1198" s="19"/>
      <c r="K1198" s="21"/>
      <c r="T1198" s="28"/>
      <c r="AS1198" s="24"/>
      <c r="AT1198" s="24"/>
      <c r="AU1198" s="24"/>
      <c r="AV1198" s="24"/>
      <c r="AX1198" s="29"/>
    </row>
    <row r="1199" spans="2:50">
      <c r="B1199" s="19"/>
      <c r="K1199" s="21"/>
      <c r="T1199" s="28"/>
      <c r="AS1199" s="24"/>
      <c r="AT1199" s="24"/>
      <c r="AU1199" s="24"/>
      <c r="AV1199" s="24"/>
      <c r="AX1199" s="29"/>
    </row>
    <row r="1200" spans="2:50">
      <c r="B1200" s="19"/>
      <c r="K1200" s="21"/>
      <c r="T1200" s="28"/>
      <c r="AS1200" s="24"/>
      <c r="AT1200" s="24"/>
      <c r="AU1200" s="24"/>
      <c r="AV1200" s="24"/>
      <c r="AX1200" s="29"/>
    </row>
    <row r="1201" spans="2:50">
      <c r="B1201" s="19"/>
      <c r="K1201" s="21"/>
      <c r="T1201" s="28"/>
      <c r="AS1201" s="24"/>
      <c r="AT1201" s="24"/>
      <c r="AU1201" s="24"/>
      <c r="AV1201" s="24"/>
      <c r="AX1201" s="29"/>
    </row>
    <row r="1202" spans="2:50">
      <c r="B1202" s="19"/>
      <c r="K1202" s="21"/>
      <c r="T1202" s="28"/>
      <c r="AS1202" s="24"/>
      <c r="AT1202" s="24"/>
      <c r="AU1202" s="24"/>
      <c r="AV1202" s="24"/>
      <c r="AX1202" s="29"/>
    </row>
    <row r="1203" spans="2:50">
      <c r="B1203" s="19"/>
      <c r="K1203" s="21"/>
      <c r="T1203" s="28"/>
      <c r="AS1203" s="24"/>
      <c r="AT1203" s="24"/>
      <c r="AU1203" s="24"/>
      <c r="AV1203" s="24"/>
      <c r="AX1203" s="29"/>
    </row>
    <row r="1204" spans="2:50">
      <c r="B1204" s="19"/>
      <c r="K1204" s="21"/>
      <c r="T1204" s="28"/>
      <c r="AS1204" s="24"/>
      <c r="AT1204" s="24"/>
      <c r="AU1204" s="24"/>
      <c r="AV1204" s="24"/>
      <c r="AX1204" s="29"/>
    </row>
    <row r="1205" spans="2:50">
      <c r="B1205" s="19"/>
      <c r="K1205" s="21"/>
      <c r="T1205" s="28"/>
      <c r="AS1205" s="24"/>
      <c r="AT1205" s="24"/>
      <c r="AU1205" s="24"/>
      <c r="AV1205" s="24"/>
      <c r="AX1205" s="29"/>
    </row>
    <row r="1206" spans="2:50">
      <c r="B1206" s="19"/>
      <c r="K1206" s="21"/>
      <c r="T1206" s="28"/>
      <c r="AS1206" s="24"/>
      <c r="AT1206" s="24"/>
      <c r="AU1206" s="24"/>
      <c r="AV1206" s="24"/>
      <c r="AX1206" s="29"/>
    </row>
    <row r="1207" spans="2:50">
      <c r="B1207" s="19"/>
      <c r="K1207" s="21"/>
      <c r="T1207" s="28"/>
      <c r="AS1207" s="24"/>
      <c r="AT1207" s="24"/>
      <c r="AU1207" s="24"/>
      <c r="AV1207" s="24"/>
      <c r="AX1207" s="29"/>
    </row>
    <row r="1208" spans="2:50">
      <c r="B1208" s="19"/>
      <c r="K1208" s="21"/>
      <c r="T1208" s="28"/>
      <c r="AS1208" s="24"/>
      <c r="AT1208" s="24"/>
      <c r="AU1208" s="24"/>
      <c r="AV1208" s="24"/>
      <c r="AX1208" s="29"/>
    </row>
    <row r="1209" spans="2:50">
      <c r="B1209" s="19"/>
      <c r="K1209" s="21"/>
      <c r="T1209" s="28"/>
      <c r="AS1209" s="24"/>
      <c r="AT1209" s="24"/>
      <c r="AU1209" s="24"/>
      <c r="AV1209" s="24"/>
      <c r="AX1209" s="29"/>
    </row>
    <row r="1210" spans="2:50">
      <c r="B1210" s="19"/>
      <c r="K1210" s="21"/>
      <c r="T1210" s="28"/>
      <c r="AS1210" s="24"/>
      <c r="AT1210" s="24"/>
      <c r="AU1210" s="24"/>
      <c r="AV1210" s="24"/>
      <c r="AX1210" s="29"/>
    </row>
    <row r="1211" spans="2:50">
      <c r="B1211" s="19"/>
      <c r="K1211" s="21"/>
      <c r="T1211" s="28"/>
      <c r="AS1211" s="24"/>
      <c r="AT1211" s="24"/>
      <c r="AU1211" s="24"/>
      <c r="AV1211" s="24"/>
      <c r="AX1211" s="29"/>
    </row>
    <row r="1212" spans="2:50">
      <c r="B1212" s="19"/>
      <c r="K1212" s="21"/>
      <c r="T1212" s="28"/>
      <c r="AS1212" s="24"/>
      <c r="AT1212" s="24"/>
      <c r="AU1212" s="24"/>
      <c r="AV1212" s="24"/>
      <c r="AX1212" s="29"/>
    </row>
    <row r="1213" spans="2:50">
      <c r="B1213" s="19"/>
      <c r="K1213" s="21"/>
      <c r="T1213" s="28"/>
      <c r="AS1213" s="24"/>
      <c r="AT1213" s="24"/>
      <c r="AU1213" s="24"/>
      <c r="AV1213" s="24"/>
      <c r="AX1213" s="29"/>
    </row>
    <row r="1214" spans="2:50">
      <c r="B1214" s="19"/>
      <c r="K1214" s="21"/>
      <c r="T1214" s="28"/>
      <c r="AS1214" s="24"/>
      <c r="AT1214" s="24"/>
      <c r="AU1214" s="24"/>
      <c r="AV1214" s="24"/>
      <c r="AX1214" s="29"/>
    </row>
    <row r="1215" spans="2:50">
      <c r="B1215" s="19"/>
      <c r="K1215" s="21"/>
      <c r="T1215" s="28"/>
      <c r="AS1215" s="24"/>
      <c r="AT1215" s="24"/>
      <c r="AU1215" s="24"/>
      <c r="AV1215" s="24"/>
      <c r="AX1215" s="29"/>
    </row>
    <row r="1216" spans="2:50">
      <c r="B1216" s="19"/>
      <c r="K1216" s="21"/>
      <c r="T1216" s="28"/>
      <c r="AS1216" s="24"/>
      <c r="AT1216" s="24"/>
      <c r="AU1216" s="24"/>
      <c r="AV1216" s="24"/>
      <c r="AX1216" s="29"/>
    </row>
    <row r="1217" spans="2:50">
      <c r="B1217" s="19"/>
      <c r="K1217" s="21"/>
      <c r="T1217" s="28"/>
      <c r="AS1217" s="24"/>
      <c r="AT1217" s="24"/>
      <c r="AU1217" s="24"/>
      <c r="AV1217" s="24"/>
      <c r="AX1217" s="29"/>
    </row>
    <row r="1218" spans="2:50">
      <c r="B1218" s="19"/>
      <c r="K1218" s="21"/>
      <c r="T1218" s="28"/>
      <c r="AS1218" s="24"/>
      <c r="AT1218" s="24"/>
      <c r="AU1218" s="24"/>
      <c r="AV1218" s="24"/>
      <c r="AX1218" s="29"/>
    </row>
    <row r="1219" spans="2:50">
      <c r="B1219" s="19"/>
      <c r="K1219" s="21"/>
      <c r="T1219" s="28"/>
      <c r="AS1219" s="24"/>
      <c r="AT1219" s="24"/>
      <c r="AU1219" s="24"/>
      <c r="AV1219" s="24"/>
      <c r="AX1219" s="29"/>
    </row>
    <row r="1220" spans="2:50">
      <c r="B1220" s="19"/>
      <c r="K1220" s="21"/>
      <c r="T1220" s="28"/>
      <c r="AS1220" s="24"/>
      <c r="AT1220" s="24"/>
      <c r="AU1220" s="24"/>
      <c r="AV1220" s="24"/>
      <c r="AX1220" s="29"/>
    </row>
    <row r="1221" spans="2:50">
      <c r="B1221" s="19"/>
      <c r="K1221" s="21"/>
      <c r="T1221" s="28"/>
      <c r="AS1221" s="24"/>
      <c r="AT1221" s="24"/>
      <c r="AU1221" s="24"/>
      <c r="AV1221" s="24"/>
      <c r="AX1221" s="29"/>
    </row>
    <row r="1222" spans="2:50">
      <c r="B1222" s="19"/>
      <c r="K1222" s="21"/>
      <c r="T1222" s="28"/>
      <c r="AS1222" s="24"/>
      <c r="AT1222" s="24"/>
      <c r="AU1222" s="24"/>
      <c r="AV1222" s="24"/>
      <c r="AX1222" s="29"/>
    </row>
    <row r="1223" spans="2:50">
      <c r="B1223" s="19"/>
      <c r="K1223" s="21"/>
      <c r="T1223" s="28"/>
      <c r="AS1223" s="24"/>
      <c r="AT1223" s="24"/>
      <c r="AU1223" s="24"/>
      <c r="AV1223" s="24"/>
      <c r="AX1223" s="29"/>
    </row>
    <row r="1224" spans="2:50">
      <c r="B1224" s="19"/>
      <c r="K1224" s="21"/>
      <c r="T1224" s="28"/>
      <c r="AS1224" s="24"/>
      <c r="AT1224" s="24"/>
      <c r="AU1224" s="24"/>
      <c r="AV1224" s="24"/>
      <c r="AX1224" s="29"/>
    </row>
    <row r="1225" spans="2:50">
      <c r="B1225" s="19"/>
      <c r="K1225" s="21"/>
      <c r="T1225" s="28"/>
      <c r="AS1225" s="24"/>
      <c r="AT1225" s="24"/>
      <c r="AU1225" s="24"/>
      <c r="AV1225" s="24"/>
      <c r="AX1225" s="29"/>
    </row>
    <row r="1226" spans="2:50">
      <c r="B1226" s="19"/>
      <c r="K1226" s="21"/>
      <c r="T1226" s="28"/>
      <c r="AS1226" s="24"/>
      <c r="AT1226" s="24"/>
      <c r="AU1226" s="24"/>
      <c r="AV1226" s="24"/>
      <c r="AX1226" s="29"/>
    </row>
    <row r="1227" spans="2:50">
      <c r="B1227" s="19"/>
      <c r="K1227" s="21"/>
      <c r="T1227" s="28"/>
      <c r="AS1227" s="24"/>
      <c r="AT1227" s="24"/>
      <c r="AU1227" s="24"/>
      <c r="AV1227" s="24"/>
      <c r="AX1227" s="29"/>
    </row>
    <row r="1228" spans="2:50">
      <c r="B1228" s="19"/>
      <c r="K1228" s="21"/>
      <c r="T1228" s="28"/>
      <c r="AS1228" s="24"/>
      <c r="AT1228" s="24"/>
      <c r="AU1228" s="24"/>
      <c r="AV1228" s="24"/>
      <c r="AX1228" s="29"/>
    </row>
    <row r="1229" spans="2:50">
      <c r="B1229" s="19"/>
      <c r="K1229" s="21"/>
      <c r="T1229" s="28"/>
      <c r="AS1229" s="24"/>
      <c r="AT1229" s="24"/>
      <c r="AU1229" s="24"/>
      <c r="AV1229" s="24"/>
      <c r="AX1229" s="29"/>
    </row>
    <row r="1230" spans="2:50">
      <c r="B1230" s="19"/>
      <c r="K1230" s="21"/>
      <c r="T1230" s="28"/>
      <c r="AS1230" s="24"/>
      <c r="AT1230" s="24"/>
      <c r="AU1230" s="24"/>
      <c r="AV1230" s="24"/>
      <c r="AX1230" s="29"/>
    </row>
    <row r="1231" spans="2:50">
      <c r="B1231" s="19"/>
      <c r="K1231" s="21"/>
      <c r="T1231" s="28"/>
      <c r="AS1231" s="24"/>
      <c r="AT1231" s="24"/>
      <c r="AU1231" s="24"/>
      <c r="AV1231" s="24"/>
      <c r="AX1231" s="29"/>
    </row>
    <row r="1232" spans="2:50">
      <c r="B1232" s="19"/>
      <c r="K1232" s="21"/>
      <c r="T1232" s="28"/>
      <c r="AS1232" s="24"/>
      <c r="AT1232" s="24"/>
      <c r="AU1232" s="24"/>
      <c r="AV1232" s="24"/>
      <c r="AX1232" s="29"/>
    </row>
    <row r="1233" spans="2:50">
      <c r="B1233" s="19"/>
      <c r="K1233" s="21"/>
      <c r="T1233" s="28"/>
      <c r="AS1233" s="24"/>
      <c r="AT1233" s="24"/>
      <c r="AU1233" s="24"/>
      <c r="AV1233" s="24"/>
      <c r="AX1233" s="29"/>
    </row>
    <row r="1234" spans="2:50">
      <c r="B1234" s="19"/>
      <c r="K1234" s="21"/>
      <c r="T1234" s="28"/>
      <c r="AS1234" s="24"/>
      <c r="AT1234" s="24"/>
      <c r="AU1234" s="24"/>
      <c r="AV1234" s="24"/>
      <c r="AX1234" s="29"/>
    </row>
    <row r="1235" spans="2:50">
      <c r="B1235" s="19"/>
      <c r="K1235" s="21"/>
      <c r="T1235" s="28"/>
      <c r="AS1235" s="24"/>
      <c r="AT1235" s="24"/>
      <c r="AU1235" s="24"/>
      <c r="AV1235" s="24"/>
      <c r="AX1235" s="29"/>
    </row>
    <row r="1236" spans="2:50">
      <c r="B1236" s="19"/>
      <c r="K1236" s="21"/>
      <c r="T1236" s="28"/>
      <c r="AS1236" s="24"/>
      <c r="AT1236" s="24"/>
      <c r="AU1236" s="24"/>
      <c r="AV1236" s="24"/>
      <c r="AX1236" s="29"/>
    </row>
    <row r="1237" spans="2:50">
      <c r="B1237" s="19"/>
      <c r="K1237" s="21"/>
      <c r="T1237" s="28"/>
      <c r="AS1237" s="24"/>
      <c r="AT1237" s="24"/>
      <c r="AU1237" s="24"/>
      <c r="AV1237" s="24"/>
      <c r="AX1237" s="29"/>
    </row>
    <row r="1238" spans="2:50">
      <c r="B1238" s="19"/>
      <c r="K1238" s="21"/>
      <c r="T1238" s="28"/>
      <c r="AS1238" s="24"/>
      <c r="AT1238" s="24"/>
      <c r="AU1238" s="24"/>
      <c r="AV1238" s="24"/>
      <c r="AX1238" s="29"/>
    </row>
    <row r="1239" spans="2:50">
      <c r="B1239" s="19"/>
      <c r="K1239" s="21"/>
      <c r="T1239" s="28"/>
      <c r="AS1239" s="24"/>
      <c r="AT1239" s="24"/>
      <c r="AU1239" s="24"/>
      <c r="AV1239" s="24"/>
      <c r="AX1239" s="29"/>
    </row>
    <row r="1240" spans="2:50">
      <c r="B1240" s="19"/>
      <c r="K1240" s="21"/>
      <c r="T1240" s="28"/>
      <c r="AS1240" s="24"/>
      <c r="AT1240" s="24"/>
      <c r="AU1240" s="24"/>
      <c r="AV1240" s="24"/>
      <c r="AX1240" s="29"/>
    </row>
    <row r="1241" spans="2:50">
      <c r="B1241" s="19"/>
      <c r="K1241" s="21"/>
      <c r="T1241" s="28"/>
      <c r="AS1241" s="24"/>
      <c r="AT1241" s="24"/>
      <c r="AU1241" s="24"/>
      <c r="AV1241" s="24"/>
      <c r="AX1241" s="29"/>
    </row>
    <row r="1242" spans="2:50">
      <c r="B1242" s="19"/>
      <c r="K1242" s="21"/>
      <c r="T1242" s="28"/>
      <c r="AS1242" s="24"/>
      <c r="AT1242" s="24"/>
      <c r="AU1242" s="24"/>
      <c r="AV1242" s="24"/>
      <c r="AX1242" s="29"/>
    </row>
    <row r="1243" spans="2:50">
      <c r="B1243" s="19"/>
      <c r="K1243" s="21"/>
      <c r="T1243" s="28"/>
      <c r="AS1243" s="24"/>
      <c r="AT1243" s="24"/>
      <c r="AU1243" s="24"/>
      <c r="AV1243" s="24"/>
      <c r="AX1243" s="29"/>
    </row>
    <row r="1244" spans="2:50">
      <c r="B1244" s="33"/>
      <c r="K1244" s="21"/>
      <c r="T1244" s="28"/>
      <c r="AS1244" s="24"/>
      <c r="AT1244" s="24"/>
      <c r="AU1244" s="24"/>
      <c r="AV1244" s="24"/>
      <c r="AX1244" s="29"/>
    </row>
    <row r="1245" spans="2:50">
      <c r="B1245" s="19"/>
      <c r="K1245" s="21"/>
      <c r="T1245" s="28"/>
      <c r="AS1245" s="24"/>
      <c r="AT1245" s="24"/>
      <c r="AU1245" s="24"/>
      <c r="AV1245" s="24"/>
      <c r="AX1245" s="29"/>
    </row>
    <row r="1246" spans="2:50">
      <c r="B1246" s="19"/>
      <c r="K1246" s="21"/>
      <c r="T1246" s="28"/>
      <c r="AS1246" s="24"/>
      <c r="AT1246" s="24"/>
      <c r="AU1246" s="24"/>
      <c r="AV1246" s="24"/>
      <c r="AX1246" s="29"/>
    </row>
    <row r="1247" spans="2:50">
      <c r="B1247" s="19"/>
      <c r="K1247" s="21"/>
      <c r="T1247" s="28"/>
      <c r="AS1247" s="24"/>
      <c r="AT1247" s="24"/>
      <c r="AU1247" s="24"/>
      <c r="AV1247" s="24"/>
      <c r="AX1247" s="29"/>
    </row>
    <row r="1248" spans="2:50">
      <c r="B1248" s="19"/>
      <c r="K1248" s="21"/>
      <c r="T1248" s="28"/>
      <c r="AS1248" s="24"/>
      <c r="AT1248" s="24"/>
      <c r="AU1248" s="24"/>
      <c r="AV1248" s="24"/>
      <c r="AX1248" s="29"/>
    </row>
    <row r="1249" spans="2:50">
      <c r="B1249" s="19"/>
      <c r="K1249" s="21"/>
      <c r="T1249" s="28"/>
      <c r="AS1249" s="24"/>
      <c r="AT1249" s="24"/>
      <c r="AU1249" s="24"/>
      <c r="AV1249" s="24"/>
      <c r="AX1249" s="29"/>
    </row>
    <row r="1250" spans="2:50">
      <c r="B1250" s="19"/>
      <c r="K1250" s="21"/>
      <c r="T1250" s="28"/>
      <c r="AS1250" s="24"/>
      <c r="AT1250" s="24"/>
      <c r="AU1250" s="24"/>
      <c r="AV1250" s="24"/>
      <c r="AX1250" s="29"/>
    </row>
    <row r="1251" spans="2:50">
      <c r="B1251" s="33"/>
      <c r="K1251" s="21"/>
      <c r="T1251" s="28"/>
      <c r="AS1251" s="24"/>
      <c r="AT1251" s="24"/>
      <c r="AU1251" s="24"/>
      <c r="AV1251" s="24"/>
      <c r="AX1251" s="29"/>
    </row>
    <row r="1252" spans="2:50">
      <c r="B1252" s="19"/>
      <c r="K1252" s="21"/>
      <c r="T1252" s="28"/>
      <c r="AS1252" s="24"/>
      <c r="AT1252" s="24"/>
      <c r="AU1252" s="24"/>
      <c r="AV1252" s="24"/>
      <c r="AX1252" s="29"/>
    </row>
    <row r="1253" spans="2:50">
      <c r="B1253" s="19"/>
      <c r="K1253" s="21"/>
      <c r="T1253" s="28"/>
      <c r="AS1253" s="24"/>
      <c r="AT1253" s="24"/>
      <c r="AU1253" s="24"/>
      <c r="AV1253" s="24"/>
      <c r="AX1253" s="29"/>
    </row>
    <row r="1254" spans="2:50">
      <c r="B1254" s="19"/>
      <c r="K1254" s="21"/>
      <c r="T1254" s="28"/>
      <c r="AS1254" s="24"/>
      <c r="AT1254" s="24"/>
      <c r="AU1254" s="24"/>
      <c r="AV1254" s="24"/>
      <c r="AX1254" s="29"/>
    </row>
    <row r="1255" spans="2:50">
      <c r="B1255" s="19"/>
      <c r="K1255" s="21"/>
      <c r="T1255" s="28"/>
      <c r="AS1255" s="24"/>
      <c r="AT1255" s="24"/>
      <c r="AU1255" s="24"/>
      <c r="AV1255" s="24"/>
      <c r="AX1255" s="29"/>
    </row>
    <row r="1256" spans="2:50">
      <c r="B1256" s="19"/>
      <c r="K1256" s="21"/>
      <c r="T1256" s="28"/>
      <c r="AS1256" s="24"/>
      <c r="AT1256" s="24"/>
      <c r="AU1256" s="24"/>
      <c r="AV1256" s="24"/>
      <c r="AX1256" s="29"/>
    </row>
    <row r="1257" spans="2:50">
      <c r="B1257" s="19"/>
      <c r="K1257" s="21"/>
      <c r="T1257" s="28"/>
      <c r="AS1257" s="24"/>
      <c r="AT1257" s="24"/>
      <c r="AU1257" s="24"/>
      <c r="AV1257" s="24"/>
      <c r="AX1257" s="29"/>
    </row>
    <row r="1258" spans="2:50">
      <c r="B1258" s="19"/>
      <c r="K1258" s="21"/>
      <c r="T1258" s="28"/>
      <c r="AS1258" s="24"/>
      <c r="AT1258" s="24"/>
      <c r="AU1258" s="24"/>
      <c r="AV1258" s="24"/>
      <c r="AX1258" s="29"/>
    </row>
    <row r="1259" spans="2:50">
      <c r="B1259" s="19"/>
      <c r="K1259" s="21"/>
      <c r="T1259" s="28"/>
      <c r="AS1259" s="24"/>
      <c r="AT1259" s="24"/>
      <c r="AU1259" s="24"/>
      <c r="AV1259" s="24"/>
      <c r="AX1259" s="29"/>
    </row>
    <row r="1260" spans="2:50">
      <c r="B1260" s="19"/>
      <c r="K1260" s="21"/>
      <c r="T1260" s="28"/>
      <c r="AS1260" s="24"/>
      <c r="AT1260" s="24"/>
      <c r="AU1260" s="24"/>
      <c r="AV1260" s="24"/>
      <c r="AX1260" s="29"/>
    </row>
    <row r="1261" spans="2:50">
      <c r="B1261" s="19"/>
      <c r="K1261" s="21"/>
      <c r="T1261" s="28"/>
      <c r="AS1261" s="24"/>
      <c r="AT1261" s="24"/>
      <c r="AU1261" s="24"/>
      <c r="AV1261" s="24"/>
      <c r="AX1261" s="29"/>
    </row>
    <row r="1262" spans="2:50">
      <c r="B1262" s="19"/>
      <c r="K1262" s="21"/>
      <c r="T1262" s="28"/>
      <c r="AS1262" s="24"/>
      <c r="AT1262" s="24"/>
      <c r="AU1262" s="24"/>
      <c r="AV1262" s="24"/>
      <c r="AX1262" s="29"/>
    </row>
    <row r="1263" spans="2:50">
      <c r="B1263" s="19"/>
      <c r="K1263" s="21"/>
      <c r="T1263" s="28"/>
      <c r="AS1263" s="24"/>
      <c r="AT1263" s="24"/>
      <c r="AU1263" s="24"/>
      <c r="AV1263" s="24"/>
      <c r="AX1263" s="29"/>
    </row>
    <row r="1264" spans="2:50">
      <c r="B1264" s="19"/>
      <c r="K1264" s="21"/>
      <c r="T1264" s="28"/>
      <c r="AS1264" s="24"/>
      <c r="AT1264" s="24"/>
      <c r="AU1264" s="24"/>
      <c r="AV1264" s="24"/>
      <c r="AX1264" s="29"/>
    </row>
    <row r="1265" spans="2:50">
      <c r="B1265" s="19"/>
      <c r="K1265" s="21"/>
      <c r="T1265" s="28"/>
      <c r="AS1265" s="24"/>
      <c r="AT1265" s="24"/>
      <c r="AU1265" s="24"/>
      <c r="AV1265" s="24"/>
      <c r="AX1265" s="29"/>
    </row>
    <row r="1266" spans="2:50">
      <c r="B1266" s="19"/>
      <c r="K1266" s="21"/>
      <c r="T1266" s="28"/>
      <c r="AS1266" s="24"/>
      <c r="AT1266" s="24"/>
      <c r="AU1266" s="24"/>
      <c r="AV1266" s="24"/>
      <c r="AX1266" s="29"/>
    </row>
    <row r="1267" spans="2:50">
      <c r="B1267" s="19"/>
      <c r="K1267" s="21"/>
      <c r="T1267" s="28"/>
      <c r="AS1267" s="24"/>
      <c r="AT1267" s="24"/>
      <c r="AU1267" s="24"/>
      <c r="AV1267" s="24"/>
      <c r="AX1267" s="29"/>
    </row>
    <row r="1268" spans="2:50">
      <c r="B1268" s="19"/>
      <c r="K1268" s="21"/>
      <c r="T1268" s="28"/>
      <c r="AS1268" s="24"/>
      <c r="AT1268" s="24"/>
      <c r="AU1268" s="24"/>
      <c r="AV1268" s="24"/>
      <c r="AX1268" s="29"/>
    </row>
    <row r="1269" spans="2:50">
      <c r="B1269" s="19"/>
      <c r="K1269" s="21"/>
      <c r="T1269" s="28"/>
      <c r="AS1269" s="24"/>
      <c r="AT1269" s="24"/>
      <c r="AU1269" s="24"/>
      <c r="AV1269" s="24"/>
      <c r="AX1269" s="29"/>
    </row>
    <row r="1270" spans="2:50">
      <c r="B1270" s="19"/>
      <c r="K1270" s="21"/>
      <c r="T1270" s="28"/>
      <c r="AS1270" s="24"/>
      <c r="AT1270" s="24"/>
      <c r="AU1270" s="24"/>
      <c r="AV1270" s="24"/>
      <c r="AX1270" s="29"/>
    </row>
    <row r="1271" spans="2:50">
      <c r="B1271" s="19"/>
      <c r="K1271" s="21"/>
      <c r="T1271" s="28"/>
      <c r="AS1271" s="24"/>
      <c r="AT1271" s="24"/>
      <c r="AU1271" s="24"/>
      <c r="AV1271" s="24"/>
      <c r="AX1271" s="29"/>
    </row>
    <row r="1272" spans="2:50">
      <c r="B1272" s="19"/>
      <c r="K1272" s="21"/>
      <c r="T1272" s="28"/>
      <c r="AS1272" s="24"/>
      <c r="AT1272" s="24"/>
      <c r="AU1272" s="24"/>
      <c r="AV1272" s="24"/>
      <c r="AX1272" s="29"/>
    </row>
    <row r="1273" spans="2:50">
      <c r="B1273" s="19"/>
      <c r="K1273" s="21"/>
      <c r="T1273" s="28"/>
      <c r="AS1273" s="24"/>
      <c r="AT1273" s="24"/>
      <c r="AU1273" s="24"/>
      <c r="AV1273" s="24"/>
      <c r="AX1273" s="29"/>
    </row>
    <row r="1274" spans="2:50">
      <c r="B1274" s="19"/>
      <c r="K1274" s="21"/>
      <c r="T1274" s="28"/>
      <c r="AS1274" s="24"/>
      <c r="AT1274" s="24"/>
      <c r="AU1274" s="24"/>
      <c r="AV1274" s="24"/>
      <c r="AX1274" s="29"/>
    </row>
    <row r="1275" spans="2:50">
      <c r="B1275" s="19"/>
      <c r="K1275" s="21"/>
      <c r="T1275" s="28"/>
      <c r="AS1275" s="24"/>
      <c r="AT1275" s="24"/>
      <c r="AU1275" s="24"/>
      <c r="AV1275" s="24"/>
      <c r="AX1275" s="29"/>
    </row>
    <row r="1276" spans="2:50">
      <c r="B1276" s="19"/>
      <c r="K1276" s="21"/>
      <c r="T1276" s="28"/>
      <c r="AS1276" s="24"/>
      <c r="AT1276" s="24"/>
      <c r="AU1276" s="24"/>
      <c r="AV1276" s="24"/>
      <c r="AX1276" s="29"/>
    </row>
    <row r="1277" spans="2:50">
      <c r="B1277" s="19"/>
      <c r="K1277" s="21"/>
      <c r="T1277" s="28"/>
      <c r="AS1277" s="24"/>
      <c r="AT1277" s="24"/>
      <c r="AU1277" s="24"/>
      <c r="AV1277" s="24"/>
      <c r="AX1277" s="29"/>
    </row>
    <row r="1278" spans="2:50">
      <c r="B1278" s="19"/>
      <c r="K1278" s="21"/>
      <c r="T1278" s="28"/>
      <c r="AS1278" s="24"/>
      <c r="AT1278" s="24"/>
      <c r="AU1278" s="24"/>
      <c r="AV1278" s="24"/>
      <c r="AX1278" s="29"/>
    </row>
    <row r="1279" spans="2:50">
      <c r="B1279" s="19"/>
      <c r="K1279" s="21"/>
      <c r="T1279" s="28"/>
      <c r="AS1279" s="24"/>
      <c r="AT1279" s="24"/>
      <c r="AU1279" s="24"/>
      <c r="AV1279" s="24"/>
      <c r="AX1279" s="29"/>
    </row>
    <row r="1280" spans="2:50">
      <c r="B1280" s="19"/>
      <c r="K1280" s="21"/>
      <c r="T1280" s="28"/>
      <c r="AS1280" s="24"/>
      <c r="AT1280" s="24"/>
      <c r="AU1280" s="24"/>
      <c r="AV1280" s="24"/>
      <c r="AX1280" s="29"/>
    </row>
    <row r="1281" spans="2:50">
      <c r="B1281" s="19"/>
      <c r="K1281" s="21"/>
      <c r="T1281" s="28"/>
      <c r="AS1281" s="24"/>
      <c r="AT1281" s="24"/>
      <c r="AU1281" s="24"/>
      <c r="AV1281" s="24"/>
      <c r="AX1281" s="29"/>
    </row>
    <row r="1282" spans="2:50">
      <c r="B1282" s="19"/>
      <c r="K1282" s="21"/>
      <c r="T1282" s="28"/>
      <c r="AS1282" s="24"/>
      <c r="AT1282" s="24"/>
      <c r="AU1282" s="24"/>
      <c r="AV1282" s="24"/>
      <c r="AX1282" s="29"/>
    </row>
    <row r="1283" spans="2:50">
      <c r="B1283" s="19"/>
      <c r="K1283" s="21"/>
      <c r="T1283" s="28"/>
      <c r="AS1283" s="24"/>
      <c r="AT1283" s="24"/>
      <c r="AU1283" s="24"/>
      <c r="AV1283" s="24"/>
      <c r="AX1283" s="29"/>
    </row>
    <row r="1284" spans="2:50">
      <c r="B1284" s="19"/>
      <c r="K1284" s="21"/>
      <c r="T1284" s="28"/>
      <c r="AS1284" s="24"/>
      <c r="AT1284" s="24"/>
      <c r="AU1284" s="24"/>
      <c r="AV1284" s="24"/>
      <c r="AX1284" s="29"/>
    </row>
    <row r="1285" spans="2:50">
      <c r="B1285" s="19"/>
      <c r="K1285" s="21"/>
      <c r="T1285" s="28"/>
      <c r="AS1285" s="24"/>
      <c r="AT1285" s="24"/>
      <c r="AU1285" s="24"/>
      <c r="AV1285" s="24"/>
      <c r="AX1285" s="29"/>
    </row>
    <row r="1286" spans="2:50">
      <c r="B1286" s="19"/>
      <c r="K1286" s="21"/>
      <c r="T1286" s="28"/>
      <c r="AS1286" s="24"/>
      <c r="AT1286" s="24"/>
      <c r="AU1286" s="24"/>
      <c r="AV1286" s="24"/>
      <c r="AX1286" s="29"/>
    </row>
    <row r="1287" spans="2:50">
      <c r="B1287" s="19"/>
      <c r="K1287" s="21"/>
      <c r="T1287" s="28"/>
      <c r="AS1287" s="24"/>
      <c r="AT1287" s="24"/>
      <c r="AU1287" s="24"/>
      <c r="AV1287" s="24"/>
      <c r="AX1287" s="29"/>
    </row>
    <row r="1288" spans="2:50">
      <c r="B1288" s="19"/>
      <c r="K1288" s="21"/>
      <c r="T1288" s="28"/>
      <c r="AS1288" s="24"/>
      <c r="AT1288" s="24"/>
      <c r="AU1288" s="24"/>
      <c r="AV1288" s="24"/>
      <c r="AX1288" s="29"/>
    </row>
    <row r="1289" spans="2:50">
      <c r="B1289" s="19"/>
      <c r="K1289" s="21"/>
      <c r="T1289" s="28"/>
      <c r="AS1289" s="24"/>
      <c r="AT1289" s="24"/>
      <c r="AU1289" s="24"/>
      <c r="AV1289" s="24"/>
      <c r="AX1289" s="29"/>
    </row>
    <row r="1290" spans="2:50">
      <c r="B1290" s="19"/>
      <c r="K1290" s="21"/>
      <c r="T1290" s="28"/>
      <c r="AS1290" s="24"/>
      <c r="AT1290" s="24"/>
      <c r="AU1290" s="24"/>
      <c r="AV1290" s="24"/>
      <c r="AX1290" s="29"/>
    </row>
    <row r="1291" spans="2:50">
      <c r="B1291" s="19"/>
      <c r="K1291" s="21"/>
      <c r="T1291" s="28"/>
      <c r="AS1291" s="24"/>
      <c r="AT1291" s="24"/>
      <c r="AU1291" s="24"/>
      <c r="AV1291" s="24"/>
      <c r="AX1291" s="29"/>
    </row>
    <row r="1292" spans="2:50">
      <c r="B1292" s="19"/>
      <c r="K1292" s="21"/>
      <c r="T1292" s="28"/>
      <c r="AS1292" s="24"/>
      <c r="AT1292" s="24"/>
      <c r="AU1292" s="24"/>
      <c r="AV1292" s="24"/>
      <c r="AX1292" s="29"/>
    </row>
    <row r="1293" spans="2:50">
      <c r="B1293" s="19"/>
      <c r="K1293" s="21"/>
      <c r="T1293" s="28"/>
      <c r="AS1293" s="24"/>
      <c r="AT1293" s="24"/>
      <c r="AU1293" s="24"/>
      <c r="AV1293" s="24"/>
      <c r="AX1293" s="29"/>
    </row>
    <row r="1294" spans="2:50">
      <c r="B1294" s="19"/>
      <c r="K1294" s="21"/>
      <c r="T1294" s="28"/>
      <c r="AS1294" s="24"/>
      <c r="AT1294" s="24"/>
      <c r="AU1294" s="24"/>
      <c r="AV1294" s="24"/>
      <c r="AX1294" s="29"/>
    </row>
    <row r="1295" spans="2:50">
      <c r="B1295" s="19"/>
      <c r="K1295" s="21"/>
      <c r="T1295" s="28"/>
      <c r="AS1295" s="24"/>
      <c r="AT1295" s="24"/>
      <c r="AU1295" s="24"/>
      <c r="AV1295" s="24"/>
      <c r="AX1295" s="29"/>
    </row>
    <row r="1296" spans="2:50">
      <c r="B1296" s="19"/>
      <c r="K1296" s="21"/>
      <c r="T1296" s="28"/>
      <c r="AS1296" s="24"/>
      <c r="AT1296" s="24"/>
      <c r="AU1296" s="24"/>
      <c r="AV1296" s="24"/>
      <c r="AX1296" s="29"/>
    </row>
    <row r="1297" spans="2:50">
      <c r="B1297" s="19"/>
      <c r="K1297" s="21"/>
      <c r="T1297" s="28"/>
      <c r="AS1297" s="24"/>
      <c r="AT1297" s="24"/>
      <c r="AU1297" s="24"/>
      <c r="AV1297" s="24"/>
      <c r="AX1297" s="29"/>
    </row>
    <row r="1298" spans="2:50">
      <c r="B1298" s="19"/>
      <c r="K1298" s="21"/>
      <c r="T1298" s="28"/>
      <c r="AS1298" s="24"/>
      <c r="AT1298" s="24"/>
      <c r="AU1298" s="24"/>
      <c r="AV1298" s="24"/>
      <c r="AX1298" s="29"/>
    </row>
    <row r="1299" spans="2:50">
      <c r="B1299" s="19"/>
      <c r="K1299" s="21"/>
      <c r="T1299" s="28"/>
      <c r="AS1299" s="24"/>
      <c r="AT1299" s="24"/>
      <c r="AU1299" s="24"/>
      <c r="AV1299" s="24"/>
      <c r="AX1299" s="29"/>
    </row>
    <row r="1300" spans="2:50">
      <c r="B1300" s="19"/>
      <c r="K1300" s="21"/>
      <c r="T1300" s="28"/>
      <c r="AS1300" s="24"/>
      <c r="AT1300" s="24"/>
      <c r="AU1300" s="24"/>
      <c r="AV1300" s="24"/>
      <c r="AX1300" s="29"/>
    </row>
    <row r="1301" spans="2:50">
      <c r="B1301" s="19"/>
      <c r="K1301" s="21"/>
      <c r="T1301" s="28"/>
      <c r="AS1301" s="24"/>
      <c r="AT1301" s="24"/>
      <c r="AU1301" s="24"/>
      <c r="AV1301" s="24"/>
      <c r="AX1301" s="29"/>
    </row>
    <row r="1302" spans="2:50">
      <c r="B1302" s="19"/>
      <c r="K1302" s="21"/>
      <c r="T1302" s="28"/>
      <c r="AS1302" s="24"/>
      <c r="AT1302" s="24"/>
      <c r="AU1302" s="24"/>
      <c r="AV1302" s="24"/>
      <c r="AX1302" s="29"/>
    </row>
    <row r="1303" spans="2:50">
      <c r="B1303" s="19"/>
      <c r="K1303" s="21"/>
      <c r="T1303" s="28"/>
      <c r="AS1303" s="24"/>
      <c r="AT1303" s="24"/>
      <c r="AU1303" s="24"/>
      <c r="AV1303" s="24"/>
      <c r="AX1303" s="29"/>
    </row>
    <row r="1304" spans="2:50">
      <c r="B1304" s="19"/>
      <c r="K1304" s="21"/>
      <c r="T1304" s="28"/>
      <c r="AS1304" s="24"/>
      <c r="AT1304" s="24"/>
      <c r="AU1304" s="24"/>
      <c r="AV1304" s="24"/>
      <c r="AX1304" s="29"/>
    </row>
    <row r="1305" spans="2:50">
      <c r="B1305" s="19"/>
      <c r="K1305" s="21"/>
      <c r="T1305" s="28"/>
      <c r="AS1305" s="24"/>
      <c r="AT1305" s="24"/>
      <c r="AU1305" s="24"/>
      <c r="AV1305" s="24"/>
      <c r="AX1305" s="29"/>
    </row>
    <row r="1306" spans="2:50">
      <c r="B1306" s="19"/>
      <c r="K1306" s="21"/>
      <c r="T1306" s="28"/>
      <c r="AS1306" s="24"/>
      <c r="AT1306" s="24"/>
      <c r="AU1306" s="24"/>
      <c r="AV1306" s="24"/>
      <c r="AX1306" s="29"/>
    </row>
    <row r="1307" spans="2:50">
      <c r="B1307" s="19"/>
      <c r="K1307" s="21"/>
      <c r="T1307" s="28"/>
      <c r="AS1307" s="24"/>
      <c r="AT1307" s="24"/>
      <c r="AU1307" s="24"/>
      <c r="AV1307" s="24"/>
      <c r="AX1307" s="29"/>
    </row>
    <row r="1308" spans="2:50">
      <c r="B1308" s="19"/>
      <c r="K1308" s="21"/>
      <c r="T1308" s="28"/>
      <c r="AS1308" s="24"/>
      <c r="AT1308" s="24"/>
      <c r="AU1308" s="24"/>
      <c r="AV1308" s="24"/>
      <c r="AX1308" s="29"/>
    </row>
    <row r="1309" spans="2:50">
      <c r="B1309" s="19"/>
      <c r="K1309" s="21"/>
      <c r="T1309" s="28"/>
      <c r="AS1309" s="24"/>
      <c r="AT1309" s="24"/>
      <c r="AU1309" s="24"/>
      <c r="AV1309" s="24"/>
      <c r="AX1309" s="29"/>
    </row>
    <row r="1310" spans="2:50">
      <c r="B1310" s="19"/>
      <c r="K1310" s="21"/>
      <c r="T1310" s="28"/>
      <c r="AS1310" s="24"/>
      <c r="AT1310" s="24"/>
      <c r="AU1310" s="24"/>
      <c r="AV1310" s="24"/>
      <c r="AX1310" s="29"/>
    </row>
    <row r="1311" spans="2:50">
      <c r="B1311" s="19"/>
      <c r="K1311" s="21"/>
      <c r="T1311" s="28"/>
      <c r="AS1311" s="24"/>
      <c r="AT1311" s="24"/>
      <c r="AU1311" s="24"/>
      <c r="AV1311" s="24"/>
      <c r="AX1311" s="29"/>
    </row>
    <row r="1312" spans="2:50">
      <c r="B1312" s="19"/>
      <c r="K1312" s="21"/>
      <c r="T1312" s="28"/>
      <c r="AS1312" s="24"/>
      <c r="AT1312" s="24"/>
      <c r="AU1312" s="24"/>
      <c r="AV1312" s="24"/>
      <c r="AX1312" s="29"/>
    </row>
    <row r="1313" spans="2:50">
      <c r="B1313" s="19"/>
      <c r="K1313" s="21"/>
      <c r="T1313" s="28"/>
      <c r="AS1313" s="24"/>
      <c r="AT1313" s="24"/>
      <c r="AU1313" s="24"/>
      <c r="AV1313" s="24"/>
      <c r="AX1313" s="29"/>
    </row>
    <row r="1314" spans="2:50">
      <c r="B1314" s="19"/>
      <c r="K1314" s="21"/>
      <c r="T1314" s="28"/>
      <c r="AS1314" s="24"/>
      <c r="AT1314" s="24"/>
      <c r="AU1314" s="24"/>
      <c r="AV1314" s="24"/>
      <c r="AX1314" s="29"/>
    </row>
    <row r="1315" spans="2:50">
      <c r="B1315" s="19"/>
      <c r="K1315" s="21"/>
      <c r="T1315" s="28"/>
      <c r="AS1315" s="24"/>
      <c r="AT1315" s="24"/>
      <c r="AU1315" s="24"/>
      <c r="AV1315" s="24"/>
      <c r="AX1315" s="29"/>
    </row>
    <row r="1316" spans="2:50">
      <c r="B1316" s="19"/>
      <c r="K1316" s="21"/>
      <c r="T1316" s="28"/>
      <c r="AS1316" s="24"/>
      <c r="AT1316" s="24"/>
      <c r="AU1316" s="24"/>
      <c r="AV1316" s="24"/>
      <c r="AX1316" s="29"/>
    </row>
    <row r="1317" spans="2:50">
      <c r="B1317" s="19"/>
      <c r="K1317" s="21"/>
      <c r="T1317" s="28"/>
      <c r="AS1317" s="24"/>
      <c r="AT1317" s="24"/>
      <c r="AU1317" s="24"/>
      <c r="AV1317" s="24"/>
      <c r="AX1317" s="29"/>
    </row>
    <row r="1318" spans="2:50">
      <c r="B1318" s="19"/>
      <c r="K1318" s="21"/>
      <c r="T1318" s="28"/>
      <c r="AS1318" s="24"/>
      <c r="AT1318" s="24"/>
      <c r="AU1318" s="24"/>
      <c r="AV1318" s="24"/>
      <c r="AX1318" s="29"/>
    </row>
    <row r="1319" spans="2:50">
      <c r="B1319" s="19"/>
      <c r="K1319" s="21"/>
      <c r="T1319" s="28"/>
      <c r="AS1319" s="24"/>
      <c r="AT1319" s="24"/>
      <c r="AU1319" s="24"/>
      <c r="AV1319" s="24"/>
      <c r="AX1319" s="29"/>
    </row>
    <row r="1320" spans="2:50">
      <c r="B1320" s="19"/>
      <c r="K1320" s="21"/>
      <c r="T1320" s="28"/>
      <c r="AS1320" s="24"/>
      <c r="AT1320" s="24"/>
      <c r="AU1320" s="24"/>
      <c r="AV1320" s="24"/>
      <c r="AX1320" s="29"/>
    </row>
    <row r="1321" spans="2:50">
      <c r="B1321" s="19"/>
      <c r="K1321" s="21"/>
      <c r="T1321" s="28"/>
      <c r="AS1321" s="24"/>
      <c r="AT1321" s="24"/>
      <c r="AU1321" s="24"/>
      <c r="AV1321" s="24"/>
      <c r="AX1321" s="29"/>
    </row>
    <row r="1322" spans="2:50">
      <c r="B1322" s="19"/>
      <c r="K1322" s="21"/>
      <c r="T1322" s="28"/>
      <c r="AS1322" s="24"/>
      <c r="AT1322" s="24"/>
      <c r="AU1322" s="24"/>
      <c r="AV1322" s="24"/>
      <c r="AX1322" s="29"/>
    </row>
    <row r="1323" spans="2:50">
      <c r="B1323" s="19"/>
      <c r="K1323" s="21"/>
      <c r="T1323" s="28"/>
      <c r="AS1323" s="24"/>
      <c r="AT1323" s="24"/>
      <c r="AU1323" s="24"/>
      <c r="AV1323" s="24"/>
      <c r="AX1323" s="29"/>
    </row>
    <row r="1324" spans="2:50">
      <c r="B1324" s="19"/>
      <c r="K1324" s="21"/>
      <c r="T1324" s="28"/>
      <c r="AS1324" s="24"/>
      <c r="AT1324" s="24"/>
      <c r="AU1324" s="24"/>
      <c r="AV1324" s="24"/>
      <c r="AX1324" s="29"/>
    </row>
    <row r="1325" spans="2:50">
      <c r="B1325" s="19"/>
      <c r="K1325" s="21"/>
      <c r="T1325" s="28"/>
      <c r="AS1325" s="24"/>
      <c r="AT1325" s="24"/>
      <c r="AU1325" s="24"/>
      <c r="AV1325" s="24"/>
      <c r="AX1325" s="29"/>
    </row>
    <row r="1326" spans="2:50">
      <c r="B1326" s="19"/>
      <c r="K1326" s="21"/>
      <c r="T1326" s="28"/>
      <c r="AS1326" s="24"/>
      <c r="AT1326" s="24"/>
      <c r="AU1326" s="24"/>
      <c r="AV1326" s="24"/>
      <c r="AX1326" s="29"/>
    </row>
    <row r="1327" spans="2:50">
      <c r="B1327" s="19"/>
      <c r="K1327" s="21"/>
      <c r="T1327" s="28"/>
      <c r="AS1327" s="24"/>
      <c r="AT1327" s="24"/>
      <c r="AU1327" s="24"/>
      <c r="AV1327" s="24"/>
      <c r="AX1327" s="29"/>
    </row>
    <row r="1328" spans="2:50">
      <c r="B1328" s="19"/>
      <c r="K1328" s="21"/>
      <c r="T1328" s="28"/>
      <c r="AS1328" s="24"/>
      <c r="AT1328" s="24"/>
      <c r="AU1328" s="24"/>
      <c r="AV1328" s="24"/>
      <c r="AX1328" s="29"/>
    </row>
    <row r="1329" spans="2:50">
      <c r="B1329" s="19"/>
      <c r="K1329" s="21"/>
      <c r="T1329" s="28"/>
      <c r="AS1329" s="24"/>
      <c r="AT1329" s="24"/>
      <c r="AU1329" s="24"/>
      <c r="AV1329" s="24"/>
      <c r="AX1329" s="29"/>
    </row>
    <row r="1330" spans="2:50">
      <c r="B1330" s="19"/>
      <c r="K1330" s="21"/>
      <c r="T1330" s="28"/>
      <c r="AS1330" s="24"/>
      <c r="AT1330" s="24"/>
      <c r="AU1330" s="24"/>
      <c r="AV1330" s="24"/>
      <c r="AX1330" s="29"/>
    </row>
    <row r="1331" spans="2:50">
      <c r="B1331" s="19"/>
      <c r="K1331" s="21"/>
      <c r="T1331" s="28"/>
      <c r="AS1331" s="24"/>
      <c r="AT1331" s="24"/>
      <c r="AU1331" s="24"/>
      <c r="AV1331" s="24"/>
      <c r="AX1331" s="29"/>
    </row>
    <row r="1332" spans="2:50">
      <c r="B1332" s="19"/>
      <c r="K1332" s="21"/>
      <c r="T1332" s="28"/>
      <c r="AS1332" s="24"/>
      <c r="AT1332" s="24"/>
      <c r="AU1332" s="24"/>
      <c r="AV1332" s="24"/>
      <c r="AX1332" s="29"/>
    </row>
    <row r="1333" spans="2:50">
      <c r="B1333" s="19"/>
      <c r="K1333" s="21"/>
      <c r="T1333" s="28"/>
      <c r="AS1333" s="24"/>
      <c r="AT1333" s="24"/>
      <c r="AU1333" s="24"/>
      <c r="AV1333" s="24"/>
      <c r="AX1333" s="29"/>
    </row>
    <row r="1334" spans="2:50">
      <c r="B1334" s="19"/>
      <c r="K1334" s="21"/>
      <c r="T1334" s="28"/>
      <c r="AS1334" s="24"/>
      <c r="AT1334" s="24"/>
      <c r="AU1334" s="24"/>
      <c r="AV1334" s="24"/>
      <c r="AX1334" s="29"/>
    </row>
    <row r="1335" spans="2:50">
      <c r="B1335" s="19"/>
      <c r="K1335" s="21"/>
      <c r="T1335" s="28"/>
      <c r="AS1335" s="24"/>
      <c r="AT1335" s="24"/>
      <c r="AU1335" s="24"/>
      <c r="AV1335" s="24"/>
      <c r="AX1335" s="29"/>
    </row>
    <row r="1336" spans="2:50">
      <c r="B1336" s="19"/>
      <c r="K1336" s="21"/>
      <c r="T1336" s="28"/>
      <c r="AS1336" s="24"/>
      <c r="AT1336" s="24"/>
      <c r="AU1336" s="24"/>
      <c r="AV1336" s="24"/>
      <c r="AX1336" s="29"/>
    </row>
    <row r="1337" spans="2:50">
      <c r="B1337" s="19"/>
      <c r="K1337" s="21"/>
      <c r="T1337" s="28"/>
      <c r="AS1337" s="24"/>
      <c r="AT1337" s="24"/>
      <c r="AU1337" s="24"/>
      <c r="AV1337" s="24"/>
      <c r="AX1337" s="29"/>
    </row>
    <row r="1338" spans="2:50">
      <c r="B1338" s="19"/>
      <c r="K1338" s="21"/>
      <c r="T1338" s="28"/>
      <c r="AS1338" s="24"/>
      <c r="AT1338" s="24"/>
      <c r="AU1338" s="24"/>
      <c r="AV1338" s="24"/>
      <c r="AX1338" s="29"/>
    </row>
    <row r="1339" spans="2:50">
      <c r="B1339" s="19"/>
      <c r="K1339" s="21"/>
      <c r="T1339" s="28"/>
      <c r="AS1339" s="24"/>
      <c r="AT1339" s="24"/>
      <c r="AU1339" s="24"/>
      <c r="AV1339" s="24"/>
      <c r="AX1339" s="29"/>
    </row>
    <row r="1340" spans="2:50">
      <c r="B1340" s="19"/>
      <c r="K1340" s="21"/>
      <c r="T1340" s="28"/>
      <c r="AS1340" s="24"/>
      <c r="AT1340" s="24"/>
      <c r="AU1340" s="24"/>
      <c r="AV1340" s="24"/>
      <c r="AX1340" s="29"/>
    </row>
    <row r="1341" spans="2:50">
      <c r="B1341" s="19"/>
      <c r="K1341" s="21"/>
      <c r="T1341" s="28"/>
      <c r="AS1341" s="24"/>
      <c r="AT1341" s="24"/>
      <c r="AU1341" s="24"/>
      <c r="AV1341" s="24"/>
      <c r="AX1341" s="29"/>
    </row>
    <row r="1342" spans="2:50">
      <c r="B1342" s="19"/>
      <c r="K1342" s="21"/>
      <c r="T1342" s="28"/>
      <c r="AS1342" s="24"/>
      <c r="AT1342" s="24"/>
      <c r="AU1342" s="24"/>
      <c r="AV1342" s="24"/>
      <c r="AX1342" s="29"/>
    </row>
    <row r="1343" spans="2:50">
      <c r="B1343" s="19"/>
      <c r="K1343" s="21"/>
      <c r="T1343" s="28"/>
      <c r="AS1343" s="24"/>
      <c r="AT1343" s="24"/>
      <c r="AU1343" s="24"/>
      <c r="AV1343" s="24"/>
      <c r="AX1343" s="29"/>
    </row>
    <row r="1344" spans="2:50">
      <c r="B1344" s="19"/>
      <c r="K1344" s="21"/>
      <c r="T1344" s="28"/>
      <c r="AS1344" s="24"/>
      <c r="AT1344" s="24"/>
      <c r="AU1344" s="24"/>
      <c r="AV1344" s="24"/>
      <c r="AX1344" s="29"/>
    </row>
    <row r="1345" spans="2:50">
      <c r="B1345" s="19"/>
      <c r="K1345" s="21"/>
      <c r="T1345" s="28"/>
      <c r="AS1345" s="24"/>
      <c r="AT1345" s="24"/>
      <c r="AU1345" s="24"/>
      <c r="AV1345" s="24"/>
      <c r="AX1345" s="29"/>
    </row>
    <row r="1346" spans="2:50">
      <c r="B1346" s="19"/>
      <c r="K1346" s="21"/>
      <c r="T1346" s="28"/>
      <c r="AS1346" s="24"/>
      <c r="AT1346" s="24"/>
      <c r="AU1346" s="24"/>
      <c r="AV1346" s="24"/>
      <c r="AX1346" s="29"/>
    </row>
    <row r="1347" spans="2:50">
      <c r="B1347" s="19"/>
      <c r="K1347" s="21"/>
      <c r="T1347" s="28"/>
      <c r="AS1347" s="24"/>
      <c r="AT1347" s="24"/>
      <c r="AU1347" s="24"/>
      <c r="AV1347" s="24"/>
      <c r="AX1347" s="29"/>
    </row>
    <row r="1348" spans="2:50">
      <c r="B1348" s="19"/>
      <c r="K1348" s="21"/>
      <c r="T1348" s="28"/>
      <c r="AS1348" s="24"/>
      <c r="AT1348" s="24"/>
      <c r="AU1348" s="24"/>
      <c r="AV1348" s="24"/>
      <c r="AX1348" s="29"/>
    </row>
    <row r="1349" spans="2:50">
      <c r="B1349" s="19"/>
      <c r="K1349" s="21"/>
      <c r="T1349" s="28"/>
      <c r="AS1349" s="24"/>
      <c r="AT1349" s="24"/>
      <c r="AU1349" s="24"/>
      <c r="AV1349" s="24"/>
      <c r="AX1349" s="29"/>
    </row>
    <row r="1350" spans="2:50">
      <c r="B1350" s="19"/>
      <c r="K1350" s="21"/>
      <c r="T1350" s="28"/>
      <c r="AS1350" s="24"/>
      <c r="AT1350" s="24"/>
      <c r="AU1350" s="24"/>
      <c r="AV1350" s="24"/>
      <c r="AX1350" s="29"/>
    </row>
    <row r="1351" spans="2:50">
      <c r="B1351" s="19"/>
      <c r="K1351" s="21"/>
      <c r="T1351" s="28"/>
      <c r="AS1351" s="24"/>
      <c r="AT1351" s="24"/>
      <c r="AU1351" s="24"/>
      <c r="AV1351" s="24"/>
      <c r="AX1351" s="29"/>
    </row>
    <row r="1352" spans="2:50">
      <c r="B1352" s="19"/>
      <c r="K1352" s="21"/>
      <c r="T1352" s="28"/>
      <c r="AS1352" s="24"/>
      <c r="AT1352" s="24"/>
      <c r="AU1352" s="24"/>
      <c r="AV1352" s="24"/>
      <c r="AX1352" s="29"/>
    </row>
    <row r="1353" spans="2:50">
      <c r="B1353" s="19"/>
      <c r="K1353" s="21"/>
      <c r="T1353" s="28"/>
      <c r="AS1353" s="24"/>
      <c r="AT1353" s="24"/>
      <c r="AU1353" s="24"/>
      <c r="AV1353" s="24"/>
      <c r="AX1353" s="29"/>
    </row>
    <row r="1354" spans="2:50">
      <c r="B1354" s="19"/>
      <c r="K1354" s="21"/>
      <c r="T1354" s="28"/>
      <c r="AS1354" s="24"/>
      <c r="AT1354" s="24"/>
      <c r="AU1354" s="24"/>
      <c r="AV1354" s="24"/>
      <c r="AX1354" s="29"/>
    </row>
    <row r="1355" spans="2:50">
      <c r="B1355" s="19"/>
      <c r="K1355" s="21"/>
      <c r="T1355" s="28"/>
      <c r="AS1355" s="24"/>
      <c r="AT1355" s="24"/>
      <c r="AU1355" s="24"/>
      <c r="AV1355" s="24"/>
      <c r="AX1355" s="29"/>
    </row>
    <row r="1356" spans="2:50">
      <c r="B1356" s="19"/>
      <c r="K1356" s="21"/>
      <c r="T1356" s="28"/>
      <c r="AS1356" s="24"/>
      <c r="AT1356" s="24"/>
      <c r="AU1356" s="24"/>
      <c r="AV1356" s="24"/>
      <c r="AX1356" s="29"/>
    </row>
    <row r="1357" spans="2:50">
      <c r="B1357" s="19"/>
      <c r="K1357" s="21"/>
      <c r="T1357" s="28"/>
      <c r="AS1357" s="24"/>
      <c r="AT1357" s="24"/>
      <c r="AU1357" s="24"/>
      <c r="AV1357" s="24"/>
      <c r="AX1357" s="29"/>
    </row>
    <row r="1358" spans="2:50">
      <c r="B1358" s="19"/>
      <c r="K1358" s="21"/>
      <c r="T1358" s="28"/>
      <c r="AS1358" s="24"/>
      <c r="AT1358" s="24"/>
      <c r="AU1358" s="24"/>
      <c r="AV1358" s="24"/>
      <c r="AX1358" s="29"/>
    </row>
    <row r="1359" spans="2:50">
      <c r="B1359" s="19"/>
      <c r="K1359" s="21"/>
      <c r="T1359" s="28"/>
      <c r="AS1359" s="24"/>
      <c r="AT1359" s="24"/>
      <c r="AU1359" s="24"/>
      <c r="AV1359" s="24"/>
      <c r="AX1359" s="29"/>
    </row>
    <row r="1360" spans="2:50">
      <c r="B1360" s="19"/>
      <c r="K1360" s="21"/>
      <c r="T1360" s="28"/>
      <c r="AS1360" s="24"/>
      <c r="AT1360" s="24"/>
      <c r="AU1360" s="24"/>
      <c r="AV1360" s="24"/>
      <c r="AX1360" s="29"/>
    </row>
    <row r="1361" spans="2:50">
      <c r="B1361" s="19"/>
      <c r="K1361" s="21"/>
      <c r="T1361" s="28"/>
      <c r="AS1361" s="24"/>
      <c r="AT1361" s="24"/>
      <c r="AU1361" s="24"/>
      <c r="AV1361" s="24"/>
      <c r="AX1361" s="29"/>
    </row>
    <row r="1362" spans="2:50">
      <c r="B1362" s="19"/>
      <c r="K1362" s="21"/>
      <c r="T1362" s="28"/>
      <c r="AS1362" s="24"/>
      <c r="AT1362" s="24"/>
      <c r="AU1362" s="24"/>
      <c r="AV1362" s="24"/>
      <c r="AX1362" s="29"/>
    </row>
    <row r="1363" spans="2:50">
      <c r="B1363" s="19"/>
      <c r="K1363" s="21"/>
      <c r="T1363" s="28"/>
      <c r="AS1363" s="24"/>
      <c r="AT1363" s="24"/>
      <c r="AU1363" s="24"/>
      <c r="AV1363" s="24"/>
      <c r="AX1363" s="29"/>
    </row>
    <row r="1364" spans="2:50">
      <c r="B1364" s="19"/>
      <c r="K1364" s="21"/>
      <c r="T1364" s="28"/>
      <c r="AS1364" s="24"/>
      <c r="AT1364" s="24"/>
      <c r="AU1364" s="24"/>
      <c r="AV1364" s="24"/>
      <c r="AX1364" s="29"/>
    </row>
    <row r="1365" spans="2:50">
      <c r="B1365" s="19"/>
      <c r="K1365" s="21"/>
      <c r="T1365" s="28"/>
      <c r="AS1365" s="24"/>
      <c r="AT1365" s="24"/>
      <c r="AU1365" s="24"/>
      <c r="AV1365" s="24"/>
      <c r="AX1365" s="29"/>
    </row>
    <row r="1366" spans="2:50">
      <c r="B1366" s="19"/>
      <c r="K1366" s="21"/>
      <c r="T1366" s="28"/>
      <c r="AS1366" s="24"/>
      <c r="AT1366" s="24"/>
      <c r="AU1366" s="24"/>
      <c r="AV1366" s="24"/>
      <c r="AX1366" s="29"/>
    </row>
    <row r="1367" spans="2:50">
      <c r="B1367" s="19"/>
      <c r="K1367" s="21"/>
      <c r="T1367" s="28"/>
      <c r="AS1367" s="24"/>
      <c r="AT1367" s="24"/>
      <c r="AU1367" s="24"/>
      <c r="AV1367" s="24"/>
      <c r="AX1367" s="29"/>
    </row>
    <row r="1368" spans="2:50">
      <c r="B1368" s="19"/>
      <c r="K1368" s="21"/>
      <c r="T1368" s="28"/>
      <c r="AS1368" s="24"/>
      <c r="AT1368" s="24"/>
      <c r="AU1368" s="24"/>
      <c r="AV1368" s="24"/>
      <c r="AX1368" s="29"/>
    </row>
    <row r="1369" spans="2:50">
      <c r="B1369" s="19"/>
      <c r="K1369" s="21"/>
      <c r="T1369" s="28"/>
      <c r="AS1369" s="24"/>
      <c r="AT1369" s="24"/>
      <c r="AU1369" s="24"/>
      <c r="AV1369" s="24"/>
      <c r="AX1369" s="29"/>
    </row>
    <row r="1370" spans="2:50">
      <c r="B1370" s="19"/>
      <c r="K1370" s="21"/>
      <c r="T1370" s="28"/>
      <c r="AS1370" s="24"/>
      <c r="AT1370" s="24"/>
      <c r="AU1370" s="24"/>
      <c r="AV1370" s="24"/>
      <c r="AX1370" s="29"/>
    </row>
    <row r="1371" spans="2:50">
      <c r="B1371" s="19"/>
      <c r="K1371" s="21"/>
      <c r="T1371" s="28"/>
      <c r="AS1371" s="24"/>
      <c r="AT1371" s="24"/>
      <c r="AU1371" s="24"/>
      <c r="AV1371" s="24"/>
      <c r="AX1371" s="29"/>
    </row>
    <row r="1372" spans="2:50">
      <c r="B1372" s="19"/>
      <c r="K1372" s="21"/>
      <c r="T1372" s="28"/>
      <c r="AS1372" s="24"/>
      <c r="AT1372" s="24"/>
      <c r="AU1372" s="24"/>
      <c r="AV1372" s="24"/>
      <c r="AX1372" s="29"/>
    </row>
    <row r="1373" spans="2:50">
      <c r="B1373" s="19"/>
      <c r="K1373" s="21"/>
      <c r="T1373" s="28"/>
      <c r="AS1373" s="24"/>
      <c r="AT1373" s="24"/>
      <c r="AU1373" s="24"/>
      <c r="AV1373" s="24"/>
      <c r="AX1373" s="29"/>
    </row>
    <row r="1374" spans="2:50">
      <c r="B1374" s="19"/>
      <c r="K1374" s="21"/>
      <c r="T1374" s="28"/>
      <c r="AS1374" s="24"/>
      <c r="AT1374" s="24"/>
      <c r="AU1374" s="24"/>
      <c r="AV1374" s="24"/>
      <c r="AX1374" s="29"/>
    </row>
    <row r="1375" spans="2:50">
      <c r="B1375" s="19"/>
      <c r="K1375" s="21"/>
      <c r="T1375" s="28"/>
      <c r="AS1375" s="24"/>
      <c r="AT1375" s="24"/>
      <c r="AU1375" s="24"/>
      <c r="AV1375" s="24"/>
      <c r="AX1375" s="29"/>
    </row>
    <row r="1376" spans="2:50">
      <c r="B1376" s="19"/>
      <c r="K1376" s="21"/>
      <c r="T1376" s="28"/>
      <c r="AS1376" s="24"/>
      <c r="AT1376" s="24"/>
      <c r="AU1376" s="24"/>
      <c r="AV1376" s="24"/>
      <c r="AX1376" s="29"/>
    </row>
    <row r="1377" spans="2:50">
      <c r="B1377" s="19"/>
      <c r="K1377" s="21"/>
      <c r="T1377" s="28"/>
      <c r="AS1377" s="24"/>
      <c r="AT1377" s="24"/>
      <c r="AU1377" s="24"/>
      <c r="AV1377" s="24"/>
      <c r="AX1377" s="29"/>
    </row>
    <row r="1378" spans="2:50">
      <c r="B1378" s="19"/>
      <c r="K1378" s="21"/>
      <c r="T1378" s="28"/>
      <c r="AS1378" s="24"/>
      <c r="AT1378" s="24"/>
      <c r="AU1378" s="24"/>
      <c r="AV1378" s="24"/>
      <c r="AX1378" s="29"/>
    </row>
    <row r="1379" spans="2:50">
      <c r="B1379" s="19"/>
      <c r="K1379" s="21"/>
      <c r="T1379" s="28"/>
      <c r="AS1379" s="24"/>
      <c r="AT1379" s="24"/>
      <c r="AU1379" s="24"/>
      <c r="AV1379" s="24"/>
      <c r="AX1379" s="29"/>
    </row>
    <row r="1380" spans="2:50">
      <c r="B1380" s="19"/>
      <c r="K1380" s="21"/>
      <c r="T1380" s="28"/>
      <c r="AS1380" s="24"/>
      <c r="AT1380" s="24"/>
      <c r="AU1380" s="24"/>
      <c r="AV1380" s="24"/>
      <c r="AX1380" s="29"/>
    </row>
    <row r="1381" spans="2:50">
      <c r="B1381" s="19"/>
      <c r="K1381" s="21"/>
      <c r="T1381" s="28"/>
      <c r="AS1381" s="24"/>
      <c r="AT1381" s="24"/>
      <c r="AU1381" s="24"/>
      <c r="AV1381" s="24"/>
      <c r="AX1381" s="29"/>
    </row>
    <row r="1382" spans="2:50">
      <c r="B1382" s="19"/>
      <c r="K1382" s="21"/>
      <c r="T1382" s="28"/>
      <c r="AS1382" s="24"/>
      <c r="AT1382" s="24"/>
      <c r="AU1382" s="24"/>
      <c r="AV1382" s="24"/>
      <c r="AX1382" s="29"/>
    </row>
    <row r="1383" spans="2:50">
      <c r="B1383" s="19"/>
      <c r="K1383" s="21"/>
      <c r="T1383" s="28"/>
      <c r="AS1383" s="24"/>
      <c r="AT1383" s="24"/>
      <c r="AU1383" s="24"/>
      <c r="AV1383" s="24"/>
      <c r="AX1383" s="29"/>
    </row>
    <row r="1384" spans="2:50">
      <c r="B1384" s="19"/>
      <c r="K1384" s="21"/>
      <c r="T1384" s="28"/>
      <c r="AS1384" s="24"/>
      <c r="AT1384" s="24"/>
      <c r="AU1384" s="24"/>
      <c r="AV1384" s="24"/>
      <c r="AX1384" s="29"/>
    </row>
    <row r="1385" spans="2:50">
      <c r="B1385" s="19"/>
      <c r="K1385" s="21"/>
      <c r="T1385" s="28"/>
      <c r="AS1385" s="24"/>
      <c r="AT1385" s="24"/>
      <c r="AU1385" s="24"/>
      <c r="AV1385" s="24"/>
      <c r="AX1385" s="29"/>
    </row>
    <row r="1386" spans="2:50">
      <c r="B1386" s="19"/>
      <c r="K1386" s="21"/>
      <c r="T1386" s="28"/>
      <c r="AS1386" s="24"/>
      <c r="AT1386" s="24"/>
      <c r="AU1386" s="24"/>
      <c r="AV1386" s="24"/>
      <c r="AX1386" s="29"/>
    </row>
    <row r="1387" spans="2:50">
      <c r="B1387" s="19"/>
      <c r="K1387" s="21"/>
      <c r="T1387" s="28"/>
      <c r="AS1387" s="24"/>
      <c r="AT1387" s="24"/>
      <c r="AU1387" s="24"/>
      <c r="AV1387" s="24"/>
      <c r="AX1387" s="29"/>
    </row>
    <row r="1388" spans="2:50">
      <c r="B1388" s="19"/>
      <c r="K1388" s="21"/>
      <c r="T1388" s="28"/>
      <c r="AS1388" s="24"/>
      <c r="AT1388" s="24"/>
      <c r="AU1388" s="24"/>
      <c r="AV1388" s="24"/>
      <c r="AX1388" s="29"/>
    </row>
    <row r="1389" spans="2:50">
      <c r="B1389" s="19"/>
      <c r="K1389" s="21"/>
      <c r="T1389" s="28"/>
      <c r="AS1389" s="24"/>
      <c r="AT1389" s="24"/>
      <c r="AU1389" s="24"/>
      <c r="AV1389" s="24"/>
      <c r="AX1389" s="29"/>
    </row>
    <row r="1390" spans="2:50">
      <c r="B1390" s="19"/>
      <c r="K1390" s="21"/>
      <c r="T1390" s="28"/>
      <c r="AS1390" s="24"/>
      <c r="AT1390" s="24"/>
      <c r="AU1390" s="24"/>
      <c r="AV1390" s="24"/>
      <c r="AX1390" s="29"/>
    </row>
    <row r="1391" spans="2:50">
      <c r="B1391" s="19"/>
      <c r="K1391" s="21"/>
      <c r="T1391" s="28"/>
      <c r="AS1391" s="24"/>
      <c r="AT1391" s="24"/>
      <c r="AU1391" s="24"/>
      <c r="AV1391" s="24"/>
      <c r="AX1391" s="29"/>
    </row>
    <row r="1392" spans="2:50">
      <c r="B1392" s="19"/>
      <c r="K1392" s="21"/>
      <c r="T1392" s="28"/>
      <c r="AS1392" s="24"/>
      <c r="AT1392" s="24"/>
      <c r="AU1392" s="24"/>
      <c r="AV1392" s="24"/>
      <c r="AX1392" s="29"/>
    </row>
    <row r="1393" spans="2:50">
      <c r="B1393" s="19"/>
      <c r="K1393" s="21"/>
      <c r="T1393" s="28"/>
      <c r="AS1393" s="24"/>
      <c r="AT1393" s="24"/>
      <c r="AU1393" s="24"/>
      <c r="AV1393" s="24"/>
      <c r="AX1393" s="29"/>
    </row>
    <row r="1394" spans="2:50">
      <c r="B1394" s="19"/>
      <c r="K1394" s="21"/>
      <c r="T1394" s="28"/>
      <c r="AS1394" s="24"/>
      <c r="AT1394" s="24"/>
      <c r="AU1394" s="24"/>
      <c r="AV1394" s="24"/>
      <c r="AX1394" s="29"/>
    </row>
    <row r="1395" spans="2:50">
      <c r="B1395" s="19"/>
      <c r="K1395" s="21"/>
      <c r="T1395" s="28"/>
      <c r="AS1395" s="24"/>
      <c r="AT1395" s="24"/>
      <c r="AU1395" s="24"/>
      <c r="AV1395" s="24"/>
      <c r="AX1395" s="29"/>
    </row>
    <row r="1396" spans="2:50">
      <c r="B1396" s="19"/>
      <c r="K1396" s="21"/>
      <c r="T1396" s="28"/>
      <c r="AS1396" s="24"/>
      <c r="AT1396" s="24"/>
      <c r="AU1396" s="24"/>
      <c r="AV1396" s="24"/>
      <c r="AX1396" s="29"/>
    </row>
    <row r="1397" spans="2:50">
      <c r="B1397" s="19"/>
      <c r="K1397" s="21"/>
      <c r="T1397" s="28"/>
      <c r="AS1397" s="24"/>
      <c r="AT1397" s="24"/>
      <c r="AU1397" s="24"/>
      <c r="AV1397" s="24"/>
      <c r="AX1397" s="29"/>
    </row>
    <row r="1398" spans="2:50">
      <c r="B1398" s="19"/>
      <c r="K1398" s="21"/>
      <c r="T1398" s="28"/>
      <c r="AS1398" s="24"/>
      <c r="AT1398" s="24"/>
      <c r="AU1398" s="24"/>
      <c r="AV1398" s="24"/>
      <c r="AX1398" s="29"/>
    </row>
    <row r="1399" spans="2:50">
      <c r="B1399" s="19"/>
      <c r="K1399" s="21"/>
      <c r="T1399" s="28"/>
      <c r="AS1399" s="24"/>
      <c r="AT1399" s="24"/>
      <c r="AU1399" s="24"/>
      <c r="AV1399" s="24"/>
      <c r="AX1399" s="29"/>
    </row>
    <row r="1400" spans="2:50">
      <c r="B1400" s="19"/>
      <c r="K1400" s="21"/>
      <c r="T1400" s="28"/>
      <c r="AS1400" s="24"/>
      <c r="AT1400" s="24"/>
      <c r="AU1400" s="24"/>
      <c r="AV1400" s="24"/>
      <c r="AX1400" s="29"/>
    </row>
    <row r="1401" spans="2:50">
      <c r="B1401" s="19"/>
      <c r="K1401" s="21"/>
      <c r="T1401" s="28"/>
      <c r="AS1401" s="24"/>
      <c r="AT1401" s="24"/>
      <c r="AU1401" s="24"/>
      <c r="AV1401" s="24"/>
      <c r="AX1401" s="29"/>
    </row>
    <row r="1402" spans="2:50">
      <c r="B1402" s="19"/>
      <c r="K1402" s="21"/>
      <c r="T1402" s="28"/>
      <c r="AS1402" s="24"/>
      <c r="AT1402" s="24"/>
      <c r="AU1402" s="24"/>
      <c r="AV1402" s="24"/>
      <c r="AX1402" s="29"/>
    </row>
    <row r="1403" spans="2:50">
      <c r="B1403" s="19"/>
      <c r="K1403" s="21"/>
      <c r="T1403" s="28"/>
      <c r="AS1403" s="24"/>
      <c r="AT1403" s="24"/>
      <c r="AU1403" s="24"/>
      <c r="AV1403" s="24"/>
      <c r="AX1403" s="29"/>
    </row>
    <row r="1404" spans="2:50">
      <c r="B1404" s="19"/>
      <c r="K1404" s="21"/>
      <c r="T1404" s="28"/>
      <c r="AS1404" s="24"/>
      <c r="AT1404" s="24"/>
      <c r="AU1404" s="24"/>
      <c r="AV1404" s="24"/>
      <c r="AX1404" s="29"/>
    </row>
    <row r="1405" spans="2:50">
      <c r="B1405" s="19"/>
      <c r="K1405" s="21"/>
      <c r="T1405" s="28"/>
      <c r="AS1405" s="24"/>
      <c r="AT1405" s="24"/>
      <c r="AU1405" s="24"/>
      <c r="AV1405" s="24"/>
      <c r="AX1405" s="29"/>
    </row>
    <row r="1406" spans="2:50">
      <c r="B1406" s="19"/>
      <c r="K1406" s="21"/>
      <c r="T1406" s="28"/>
      <c r="AS1406" s="24"/>
      <c r="AT1406" s="24"/>
      <c r="AU1406" s="24"/>
      <c r="AV1406" s="24"/>
      <c r="AX1406" s="29"/>
    </row>
    <row r="1407" spans="2:50">
      <c r="B1407" s="19"/>
      <c r="K1407" s="21"/>
      <c r="T1407" s="28"/>
      <c r="AS1407" s="24"/>
      <c r="AT1407" s="24"/>
      <c r="AU1407" s="24"/>
      <c r="AV1407" s="24"/>
      <c r="AX1407" s="29"/>
    </row>
    <row r="1408" spans="2:50">
      <c r="B1408" s="19"/>
      <c r="K1408" s="21"/>
      <c r="T1408" s="28"/>
      <c r="AS1408" s="24"/>
      <c r="AT1408" s="24"/>
      <c r="AU1408" s="24"/>
      <c r="AV1408" s="24"/>
      <c r="AX1408" s="29"/>
    </row>
    <row r="1409" spans="2:50">
      <c r="B1409" s="19"/>
      <c r="K1409" s="21"/>
      <c r="T1409" s="28"/>
      <c r="AS1409" s="24"/>
      <c r="AT1409" s="24"/>
      <c r="AU1409" s="24"/>
      <c r="AV1409" s="24"/>
      <c r="AX1409" s="29"/>
    </row>
    <row r="1410" spans="2:50">
      <c r="B1410" s="19"/>
      <c r="K1410" s="21"/>
      <c r="T1410" s="28"/>
      <c r="AS1410" s="24"/>
      <c r="AT1410" s="24"/>
      <c r="AU1410" s="24"/>
      <c r="AV1410" s="24"/>
      <c r="AX1410" s="29"/>
    </row>
    <row r="1411" spans="2:50">
      <c r="B1411" s="19"/>
      <c r="K1411" s="21"/>
      <c r="T1411" s="28"/>
      <c r="AS1411" s="24"/>
      <c r="AT1411" s="24"/>
      <c r="AU1411" s="24"/>
      <c r="AV1411" s="24"/>
      <c r="AX1411" s="29"/>
    </row>
    <row r="1412" spans="2:50">
      <c r="B1412" s="19"/>
      <c r="K1412" s="21"/>
      <c r="T1412" s="28"/>
      <c r="AS1412" s="24"/>
      <c r="AT1412" s="24"/>
      <c r="AU1412" s="24"/>
      <c r="AV1412" s="24"/>
      <c r="AX1412" s="29"/>
    </row>
    <row r="1413" spans="2:50">
      <c r="B1413" s="19"/>
      <c r="K1413" s="21"/>
      <c r="T1413" s="28"/>
      <c r="AS1413" s="24"/>
      <c r="AT1413" s="24"/>
      <c r="AU1413" s="24"/>
      <c r="AV1413" s="24"/>
      <c r="AX1413" s="29"/>
    </row>
    <row r="1414" spans="2:50">
      <c r="B1414" s="19"/>
      <c r="K1414" s="21"/>
      <c r="T1414" s="28"/>
      <c r="AS1414" s="24"/>
      <c r="AT1414" s="24"/>
      <c r="AU1414" s="24"/>
      <c r="AV1414" s="24"/>
      <c r="AX1414" s="29"/>
    </row>
    <row r="1415" spans="2:50">
      <c r="B1415" s="19"/>
      <c r="K1415" s="21"/>
      <c r="T1415" s="28"/>
      <c r="AS1415" s="24"/>
      <c r="AT1415" s="24"/>
      <c r="AU1415" s="24"/>
      <c r="AV1415" s="24"/>
      <c r="AX1415" s="29"/>
    </row>
    <row r="1416" spans="2:50">
      <c r="B1416" s="19"/>
      <c r="K1416" s="21"/>
      <c r="T1416" s="28"/>
      <c r="AS1416" s="24"/>
      <c r="AT1416" s="24"/>
      <c r="AU1416" s="24"/>
      <c r="AV1416" s="24"/>
      <c r="AX1416" s="29"/>
    </row>
    <row r="1417" spans="2:50">
      <c r="B1417" s="19"/>
      <c r="K1417" s="21"/>
      <c r="T1417" s="28"/>
      <c r="AS1417" s="24"/>
      <c r="AT1417" s="24"/>
      <c r="AU1417" s="24"/>
      <c r="AV1417" s="24"/>
      <c r="AX1417" s="29"/>
    </row>
    <row r="1418" spans="2:50">
      <c r="B1418" s="19"/>
      <c r="K1418" s="21"/>
      <c r="T1418" s="28"/>
      <c r="AS1418" s="24"/>
      <c r="AT1418" s="24"/>
      <c r="AU1418" s="24"/>
      <c r="AV1418" s="24"/>
      <c r="AX1418" s="29"/>
    </row>
    <row r="1419" spans="2:50">
      <c r="B1419" s="19"/>
      <c r="K1419" s="21"/>
      <c r="T1419" s="28"/>
      <c r="AS1419" s="24"/>
      <c r="AT1419" s="24"/>
      <c r="AU1419" s="24"/>
      <c r="AV1419" s="24"/>
      <c r="AX1419" s="29"/>
    </row>
    <row r="1420" spans="2:50">
      <c r="B1420" s="19"/>
      <c r="K1420" s="21"/>
      <c r="T1420" s="28"/>
      <c r="AS1420" s="24"/>
      <c r="AT1420" s="24"/>
      <c r="AU1420" s="24"/>
      <c r="AV1420" s="24"/>
      <c r="AX1420" s="29"/>
    </row>
    <row r="1421" spans="2:50">
      <c r="B1421" s="19"/>
      <c r="K1421" s="21"/>
      <c r="T1421" s="28"/>
      <c r="AS1421" s="24"/>
      <c r="AT1421" s="24"/>
      <c r="AU1421" s="24"/>
      <c r="AV1421" s="24"/>
      <c r="AX1421" s="29"/>
    </row>
    <row r="1422" spans="2:50">
      <c r="B1422" s="19"/>
      <c r="K1422" s="21"/>
      <c r="T1422" s="28"/>
      <c r="AS1422" s="24"/>
      <c r="AT1422" s="24"/>
      <c r="AU1422" s="24"/>
      <c r="AV1422" s="24"/>
      <c r="AX1422" s="29"/>
    </row>
    <row r="1423" spans="2:50">
      <c r="B1423" s="19"/>
      <c r="K1423" s="21"/>
      <c r="T1423" s="28"/>
      <c r="AS1423" s="24"/>
      <c r="AT1423" s="24"/>
      <c r="AU1423" s="24"/>
      <c r="AV1423" s="24"/>
      <c r="AX1423" s="29"/>
    </row>
    <row r="1424" spans="2:50">
      <c r="B1424" s="19"/>
      <c r="K1424" s="21"/>
      <c r="T1424" s="28"/>
      <c r="AS1424" s="24"/>
      <c r="AT1424" s="24"/>
      <c r="AU1424" s="24"/>
      <c r="AV1424" s="24"/>
      <c r="AX1424" s="29"/>
    </row>
    <row r="1425" spans="2:50">
      <c r="B1425" s="19"/>
      <c r="K1425" s="21"/>
      <c r="T1425" s="28"/>
      <c r="AS1425" s="24"/>
      <c r="AT1425" s="24"/>
      <c r="AU1425" s="24"/>
      <c r="AV1425" s="24"/>
      <c r="AX1425" s="29"/>
    </row>
    <row r="1426" spans="2:50">
      <c r="B1426" s="19"/>
      <c r="K1426" s="21"/>
      <c r="T1426" s="28"/>
      <c r="AS1426" s="24"/>
      <c r="AT1426" s="24"/>
      <c r="AU1426" s="24"/>
      <c r="AV1426" s="24"/>
      <c r="AX1426" s="29"/>
    </row>
    <row r="1427" spans="2:50">
      <c r="B1427" s="19"/>
      <c r="K1427" s="21"/>
      <c r="T1427" s="28"/>
      <c r="AS1427" s="24"/>
      <c r="AT1427" s="24"/>
      <c r="AU1427" s="24"/>
      <c r="AV1427" s="24"/>
      <c r="AX1427" s="29"/>
    </row>
    <row r="1428" spans="2:50">
      <c r="B1428" s="33"/>
      <c r="K1428" s="21"/>
      <c r="T1428" s="28"/>
      <c r="AS1428" s="24"/>
      <c r="AT1428" s="24"/>
      <c r="AU1428" s="24"/>
      <c r="AV1428" s="24"/>
      <c r="AX1428" s="29"/>
    </row>
    <row r="1429" spans="2:50">
      <c r="B1429" s="19"/>
      <c r="K1429" s="21"/>
      <c r="T1429" s="28"/>
      <c r="AS1429" s="24"/>
      <c r="AT1429" s="24"/>
      <c r="AU1429" s="24"/>
      <c r="AV1429" s="24"/>
      <c r="AX1429" s="29"/>
    </row>
    <row r="1430" spans="2:50">
      <c r="B1430" s="19"/>
      <c r="K1430" s="21"/>
      <c r="T1430" s="28"/>
      <c r="AS1430" s="24"/>
      <c r="AT1430" s="24"/>
      <c r="AU1430" s="24"/>
      <c r="AV1430" s="24"/>
      <c r="AX1430" s="29"/>
    </row>
    <row r="1431" spans="2:50">
      <c r="B1431" s="19"/>
      <c r="K1431" s="21"/>
      <c r="T1431" s="28"/>
      <c r="AS1431" s="24"/>
      <c r="AT1431" s="24"/>
      <c r="AU1431" s="24"/>
      <c r="AV1431" s="24"/>
      <c r="AX1431" s="29"/>
    </row>
    <row r="1432" spans="2:50">
      <c r="B1432" s="19"/>
      <c r="K1432" s="21"/>
      <c r="T1432" s="28"/>
      <c r="AS1432" s="24"/>
      <c r="AT1432" s="24"/>
      <c r="AU1432" s="24"/>
      <c r="AV1432" s="24"/>
      <c r="AX1432" s="29"/>
    </row>
    <row r="1433" spans="2:50">
      <c r="B1433" s="19"/>
      <c r="K1433" s="21"/>
      <c r="T1433" s="28"/>
      <c r="AS1433" s="24"/>
      <c r="AT1433" s="24"/>
      <c r="AU1433" s="24"/>
      <c r="AV1433" s="24"/>
      <c r="AX1433" s="29"/>
    </row>
    <row r="1434" spans="2:50">
      <c r="B1434" s="19"/>
      <c r="K1434" s="21"/>
      <c r="T1434" s="28"/>
      <c r="AS1434" s="24"/>
      <c r="AT1434" s="24"/>
      <c r="AU1434" s="24"/>
      <c r="AV1434" s="24"/>
      <c r="AX1434" s="29"/>
    </row>
    <row r="1435" spans="2:50">
      <c r="B1435" s="19"/>
      <c r="K1435" s="21"/>
      <c r="T1435" s="28"/>
      <c r="AS1435" s="24"/>
      <c r="AT1435" s="24"/>
      <c r="AU1435" s="24"/>
      <c r="AV1435" s="24"/>
      <c r="AX1435" s="29"/>
    </row>
    <row r="1436" spans="2:50">
      <c r="B1436" s="19"/>
      <c r="K1436" s="21"/>
      <c r="T1436" s="28"/>
      <c r="AS1436" s="24"/>
      <c r="AT1436" s="24"/>
      <c r="AU1436" s="24"/>
      <c r="AV1436" s="24"/>
      <c r="AX1436" s="29"/>
    </row>
    <row r="1437" spans="2:50">
      <c r="B1437" s="19"/>
      <c r="K1437" s="21"/>
      <c r="T1437" s="28"/>
      <c r="AS1437" s="24"/>
      <c r="AT1437" s="24"/>
      <c r="AU1437" s="24"/>
      <c r="AV1437" s="24"/>
      <c r="AX1437" s="29"/>
    </row>
    <row r="1438" spans="2:50">
      <c r="B1438" s="19"/>
      <c r="K1438" s="21"/>
      <c r="T1438" s="28"/>
      <c r="AS1438" s="24"/>
      <c r="AT1438" s="24"/>
      <c r="AU1438" s="24"/>
      <c r="AV1438" s="24"/>
      <c r="AX1438" s="29"/>
    </row>
    <row r="1439" spans="2:50">
      <c r="B1439" s="19"/>
      <c r="K1439" s="21"/>
      <c r="T1439" s="28"/>
      <c r="AS1439" s="24"/>
      <c r="AT1439" s="24"/>
      <c r="AU1439" s="24"/>
      <c r="AV1439" s="24"/>
      <c r="AX1439" s="29"/>
    </row>
    <row r="1440" spans="2:50">
      <c r="B1440" s="19"/>
      <c r="K1440" s="21"/>
      <c r="T1440" s="28"/>
      <c r="AS1440" s="24"/>
      <c r="AT1440" s="24"/>
      <c r="AU1440" s="24"/>
      <c r="AV1440" s="24"/>
      <c r="AX1440" s="29"/>
    </row>
    <row r="1441" spans="2:50">
      <c r="B1441" s="19"/>
      <c r="K1441" s="21"/>
      <c r="T1441" s="28"/>
      <c r="AS1441" s="24"/>
      <c r="AT1441" s="24"/>
      <c r="AU1441" s="24"/>
      <c r="AV1441" s="24"/>
      <c r="AX1441" s="29"/>
    </row>
    <row r="1442" spans="2:50">
      <c r="B1442" s="19"/>
      <c r="K1442" s="21"/>
      <c r="T1442" s="28"/>
      <c r="AS1442" s="24"/>
      <c r="AT1442" s="24"/>
      <c r="AU1442" s="24"/>
      <c r="AV1442" s="24"/>
      <c r="AX1442" s="29"/>
    </row>
    <row r="1443" spans="2:50">
      <c r="B1443" s="19"/>
      <c r="K1443" s="21"/>
      <c r="T1443" s="28"/>
      <c r="AS1443" s="24"/>
      <c r="AT1443" s="24"/>
      <c r="AU1443" s="24"/>
      <c r="AV1443" s="24"/>
      <c r="AX1443" s="29"/>
    </row>
    <row r="1444" spans="2:50">
      <c r="B1444" s="19"/>
      <c r="K1444" s="21"/>
      <c r="T1444" s="28"/>
      <c r="AS1444" s="24"/>
      <c r="AT1444" s="24"/>
      <c r="AU1444" s="24"/>
      <c r="AV1444" s="24"/>
      <c r="AX1444" s="29"/>
    </row>
    <row r="1445" spans="2:50">
      <c r="B1445" s="19"/>
      <c r="K1445" s="21"/>
      <c r="T1445" s="28"/>
      <c r="AS1445" s="24"/>
      <c r="AT1445" s="24"/>
      <c r="AU1445" s="24"/>
      <c r="AV1445" s="24"/>
      <c r="AX1445" s="29"/>
    </row>
    <row r="1446" spans="2:50">
      <c r="B1446" s="33"/>
      <c r="K1446" s="21"/>
      <c r="T1446" s="28"/>
      <c r="AS1446" s="24"/>
      <c r="AT1446" s="24"/>
      <c r="AU1446" s="24"/>
      <c r="AV1446" s="24"/>
      <c r="AX1446" s="29"/>
    </row>
    <row r="1447" spans="2:50">
      <c r="B1447" s="19"/>
      <c r="K1447" s="21"/>
      <c r="T1447" s="28"/>
      <c r="AS1447" s="24"/>
      <c r="AT1447" s="24"/>
      <c r="AU1447" s="24"/>
      <c r="AV1447" s="24"/>
      <c r="AX1447" s="29"/>
    </row>
    <row r="1448" spans="2:50">
      <c r="B1448" s="19"/>
      <c r="K1448" s="21"/>
      <c r="T1448" s="28"/>
      <c r="AS1448" s="24"/>
      <c r="AT1448" s="24"/>
      <c r="AU1448" s="24"/>
      <c r="AV1448" s="24"/>
      <c r="AX1448" s="29"/>
    </row>
    <row r="1449" spans="2:50">
      <c r="B1449" s="19"/>
      <c r="K1449" s="21"/>
      <c r="T1449" s="28"/>
      <c r="AS1449" s="24"/>
      <c r="AT1449" s="24"/>
      <c r="AU1449" s="24"/>
      <c r="AV1449" s="24"/>
      <c r="AX1449" s="29"/>
    </row>
    <row r="1450" spans="2:50">
      <c r="B1450" s="19"/>
      <c r="K1450" s="21"/>
      <c r="T1450" s="28"/>
      <c r="AS1450" s="24"/>
      <c r="AT1450" s="24"/>
      <c r="AU1450" s="24"/>
      <c r="AV1450" s="24"/>
      <c r="AX1450" s="29"/>
    </row>
    <row r="1451" spans="2:50">
      <c r="B1451" s="19"/>
      <c r="K1451" s="21"/>
      <c r="T1451" s="28"/>
      <c r="AS1451" s="24"/>
      <c r="AT1451" s="24"/>
      <c r="AU1451" s="24"/>
      <c r="AV1451" s="24"/>
      <c r="AX1451" s="29"/>
    </row>
    <row r="1452" spans="2:50">
      <c r="B1452" s="19"/>
      <c r="K1452" s="21"/>
      <c r="T1452" s="28"/>
      <c r="AS1452" s="24"/>
      <c r="AT1452" s="24"/>
      <c r="AU1452" s="24"/>
      <c r="AV1452" s="24"/>
      <c r="AX1452" s="29"/>
    </row>
    <row r="1453" spans="2:50">
      <c r="B1453" s="19"/>
      <c r="K1453" s="21"/>
      <c r="T1453" s="28"/>
      <c r="AS1453" s="24"/>
      <c r="AT1453" s="24"/>
      <c r="AU1453" s="24"/>
      <c r="AV1453" s="24"/>
      <c r="AX1453" s="29"/>
    </row>
    <row r="1454" spans="2:50">
      <c r="B1454" s="19"/>
      <c r="K1454" s="21"/>
      <c r="T1454" s="28"/>
      <c r="AS1454" s="24"/>
      <c r="AT1454" s="24"/>
      <c r="AU1454" s="24"/>
      <c r="AV1454" s="24"/>
      <c r="AX1454" s="29"/>
    </row>
    <row r="1455" spans="2:50">
      <c r="B1455" s="19"/>
      <c r="K1455" s="21"/>
      <c r="T1455" s="28"/>
      <c r="AS1455" s="24"/>
      <c r="AT1455" s="24"/>
      <c r="AU1455" s="24"/>
      <c r="AV1455" s="24"/>
      <c r="AX1455" s="29"/>
    </row>
    <row r="1456" spans="2:50">
      <c r="B1456" s="19"/>
      <c r="K1456" s="21"/>
      <c r="T1456" s="28"/>
      <c r="AS1456" s="24"/>
      <c r="AT1456" s="24"/>
      <c r="AU1456" s="24"/>
      <c r="AV1456" s="24"/>
      <c r="AX1456" s="29"/>
    </row>
    <row r="1457" spans="2:50">
      <c r="B1457" s="19"/>
      <c r="K1457" s="21"/>
      <c r="T1457" s="28"/>
      <c r="AS1457" s="24"/>
      <c r="AT1457" s="24"/>
      <c r="AU1457" s="24"/>
      <c r="AV1457" s="24"/>
      <c r="AX1457" s="29"/>
    </row>
    <row r="1458" spans="2:50">
      <c r="B1458" s="19"/>
      <c r="K1458" s="21"/>
      <c r="T1458" s="28"/>
      <c r="AS1458" s="24"/>
      <c r="AT1458" s="24"/>
      <c r="AU1458" s="24"/>
      <c r="AV1458" s="24"/>
      <c r="AX1458" s="29"/>
    </row>
    <row r="1459" spans="2:50">
      <c r="B1459" s="19"/>
      <c r="K1459" s="21"/>
      <c r="T1459" s="28"/>
      <c r="AS1459" s="24"/>
      <c r="AT1459" s="24"/>
      <c r="AU1459" s="24"/>
      <c r="AV1459" s="24"/>
      <c r="AX1459" s="29"/>
    </row>
    <row r="1460" spans="2:50">
      <c r="B1460" s="19"/>
      <c r="K1460" s="21"/>
      <c r="T1460" s="28"/>
      <c r="AS1460" s="24"/>
      <c r="AT1460" s="24"/>
      <c r="AU1460" s="24"/>
      <c r="AV1460" s="24"/>
      <c r="AX1460" s="29"/>
    </row>
    <row r="1461" spans="2:50">
      <c r="B1461" s="19"/>
      <c r="K1461" s="21"/>
      <c r="T1461" s="28"/>
      <c r="AS1461" s="24"/>
      <c r="AT1461" s="24"/>
      <c r="AU1461" s="24"/>
      <c r="AV1461" s="24"/>
      <c r="AX1461" s="29"/>
    </row>
    <row r="1462" spans="2:50">
      <c r="B1462" s="19"/>
      <c r="K1462" s="21"/>
      <c r="T1462" s="28"/>
      <c r="AS1462" s="24"/>
      <c r="AT1462" s="24"/>
      <c r="AU1462" s="24"/>
      <c r="AV1462" s="24"/>
      <c r="AX1462" s="29"/>
    </row>
    <row r="1463" spans="2:50">
      <c r="B1463" s="19"/>
      <c r="K1463" s="21"/>
      <c r="T1463" s="28"/>
      <c r="AS1463" s="24"/>
      <c r="AT1463" s="24"/>
      <c r="AU1463" s="24"/>
      <c r="AV1463" s="24"/>
      <c r="AX1463" s="29"/>
    </row>
    <row r="1464" spans="2:50">
      <c r="B1464" s="19"/>
      <c r="K1464" s="21"/>
      <c r="T1464" s="28"/>
      <c r="AS1464" s="24"/>
      <c r="AT1464" s="24"/>
      <c r="AU1464" s="24"/>
      <c r="AV1464" s="24"/>
      <c r="AX1464" s="29"/>
    </row>
    <row r="1465" spans="2:50">
      <c r="B1465" s="19"/>
      <c r="K1465" s="21"/>
      <c r="T1465" s="28"/>
      <c r="AS1465" s="24"/>
      <c r="AT1465" s="24"/>
      <c r="AU1465" s="24"/>
      <c r="AV1465" s="24"/>
      <c r="AX1465" s="29"/>
    </row>
    <row r="1466" spans="2:50">
      <c r="B1466" s="19"/>
      <c r="K1466" s="21"/>
      <c r="T1466" s="28"/>
      <c r="AS1466" s="24"/>
      <c r="AT1466" s="24"/>
      <c r="AU1466" s="24"/>
      <c r="AV1466" s="24"/>
      <c r="AX1466" s="29"/>
    </row>
    <row r="1467" spans="2:50">
      <c r="B1467" s="19"/>
      <c r="K1467" s="21"/>
      <c r="T1467" s="28"/>
      <c r="AS1467" s="24"/>
      <c r="AT1467" s="24"/>
      <c r="AU1467" s="24"/>
      <c r="AV1467" s="24"/>
      <c r="AX1467" s="29"/>
    </row>
    <row r="1468" spans="2:50">
      <c r="B1468" s="19"/>
      <c r="K1468" s="21"/>
      <c r="T1468" s="28"/>
      <c r="AS1468" s="24"/>
      <c r="AT1468" s="24"/>
      <c r="AU1468" s="24"/>
      <c r="AV1468" s="24"/>
      <c r="AX1468" s="29"/>
    </row>
    <row r="1469" spans="2:50">
      <c r="B1469" s="19"/>
      <c r="K1469" s="21"/>
      <c r="T1469" s="28"/>
      <c r="AS1469" s="24"/>
      <c r="AT1469" s="24"/>
      <c r="AU1469" s="24"/>
      <c r="AV1469" s="24"/>
      <c r="AX1469" s="29"/>
    </row>
    <row r="1470" spans="2:50">
      <c r="B1470" s="19"/>
      <c r="K1470" s="21"/>
      <c r="T1470" s="28"/>
      <c r="AS1470" s="24"/>
      <c r="AT1470" s="24"/>
      <c r="AU1470" s="24"/>
      <c r="AV1470" s="24"/>
      <c r="AX1470" s="29"/>
    </row>
    <row r="1471" spans="2:50">
      <c r="B1471" s="19"/>
      <c r="K1471" s="21"/>
      <c r="T1471" s="28"/>
      <c r="AS1471" s="24"/>
      <c r="AT1471" s="24"/>
      <c r="AU1471" s="24"/>
      <c r="AV1471" s="24"/>
      <c r="AX1471" s="29"/>
    </row>
    <row r="1472" spans="2:50">
      <c r="B1472" s="19"/>
      <c r="K1472" s="21"/>
      <c r="T1472" s="28"/>
      <c r="AS1472" s="24"/>
      <c r="AT1472" s="24"/>
      <c r="AU1472" s="24"/>
      <c r="AV1472" s="24"/>
      <c r="AX1472" s="29"/>
    </row>
    <row r="1473" spans="2:50">
      <c r="B1473" s="19"/>
      <c r="K1473" s="21"/>
      <c r="T1473" s="28"/>
      <c r="AS1473" s="24"/>
      <c r="AT1473" s="24"/>
      <c r="AU1473" s="24"/>
      <c r="AV1473" s="24"/>
      <c r="AX1473" s="29"/>
    </row>
    <row r="1474" spans="2:50">
      <c r="B1474" s="19"/>
      <c r="K1474" s="21"/>
      <c r="T1474" s="28"/>
      <c r="AS1474" s="24"/>
      <c r="AT1474" s="24"/>
      <c r="AU1474" s="24"/>
      <c r="AV1474" s="24"/>
      <c r="AX1474" s="29"/>
    </row>
    <row r="1475" spans="2:50">
      <c r="B1475" s="19"/>
      <c r="K1475" s="21"/>
      <c r="T1475" s="28"/>
      <c r="AS1475" s="24"/>
      <c r="AT1475" s="24"/>
      <c r="AU1475" s="24"/>
      <c r="AV1475" s="24"/>
      <c r="AX1475" s="29"/>
    </row>
    <row r="1476" spans="2:50">
      <c r="B1476" s="19"/>
      <c r="K1476" s="21"/>
      <c r="T1476" s="28"/>
      <c r="AS1476" s="24"/>
      <c r="AT1476" s="24"/>
      <c r="AU1476" s="24"/>
      <c r="AV1476" s="24"/>
      <c r="AX1476" s="29"/>
    </row>
    <row r="1477" spans="2:50">
      <c r="B1477" s="19"/>
      <c r="K1477" s="21"/>
      <c r="T1477" s="28"/>
      <c r="AS1477" s="24"/>
      <c r="AT1477" s="24"/>
      <c r="AU1477" s="24"/>
      <c r="AV1477" s="24"/>
      <c r="AX1477" s="29"/>
    </row>
    <row r="1478" spans="2:50">
      <c r="B1478" s="19"/>
      <c r="K1478" s="21"/>
      <c r="T1478" s="28"/>
      <c r="AS1478" s="24"/>
      <c r="AT1478" s="24"/>
      <c r="AU1478" s="24"/>
      <c r="AV1478" s="24"/>
      <c r="AX1478" s="29"/>
    </row>
    <row r="1479" spans="2:50">
      <c r="B1479" s="19"/>
      <c r="K1479" s="21"/>
      <c r="T1479" s="28"/>
      <c r="AS1479" s="24"/>
      <c r="AT1479" s="24"/>
      <c r="AU1479" s="24"/>
      <c r="AV1479" s="24"/>
      <c r="AX1479" s="29"/>
    </row>
    <row r="1480" spans="2:50">
      <c r="B1480" s="19"/>
      <c r="K1480" s="21"/>
      <c r="T1480" s="28"/>
      <c r="AS1480" s="24"/>
      <c r="AT1480" s="24"/>
      <c r="AU1480" s="24"/>
      <c r="AV1480" s="24"/>
      <c r="AX1480" s="29"/>
    </row>
    <row r="1481" spans="2:50">
      <c r="B1481" s="19"/>
      <c r="K1481" s="21"/>
      <c r="T1481" s="28"/>
      <c r="AS1481" s="24"/>
      <c r="AT1481" s="24"/>
      <c r="AU1481" s="24"/>
      <c r="AV1481" s="24"/>
      <c r="AX1481" s="29"/>
    </row>
    <row r="1482" spans="2:50">
      <c r="B1482" s="19"/>
      <c r="K1482" s="21"/>
      <c r="T1482" s="28"/>
      <c r="AS1482" s="24"/>
      <c r="AT1482" s="24"/>
      <c r="AU1482" s="24"/>
      <c r="AV1482" s="24"/>
      <c r="AX1482" s="29"/>
    </row>
    <row r="1483" spans="2:50">
      <c r="B1483" s="19"/>
      <c r="K1483" s="21"/>
      <c r="T1483" s="28"/>
      <c r="AS1483" s="24"/>
      <c r="AT1483" s="24"/>
      <c r="AU1483" s="24"/>
      <c r="AV1483" s="24"/>
      <c r="AX1483" s="29"/>
    </row>
    <row r="1484" spans="2:50">
      <c r="B1484" s="19"/>
      <c r="K1484" s="21"/>
      <c r="T1484" s="28"/>
      <c r="AS1484" s="24"/>
      <c r="AT1484" s="24"/>
      <c r="AU1484" s="24"/>
      <c r="AV1484" s="24"/>
      <c r="AX1484" s="29"/>
    </row>
    <row r="1485" spans="2:50">
      <c r="B1485" s="19"/>
      <c r="K1485" s="21"/>
      <c r="T1485" s="28"/>
      <c r="AS1485" s="24"/>
      <c r="AT1485" s="24"/>
      <c r="AU1485" s="24"/>
      <c r="AV1485" s="24"/>
      <c r="AX1485" s="29"/>
    </row>
    <row r="1486" spans="2:50">
      <c r="B1486" s="19"/>
      <c r="K1486" s="21"/>
      <c r="T1486" s="28"/>
      <c r="AS1486" s="24"/>
      <c r="AT1486" s="24"/>
      <c r="AU1486" s="24"/>
      <c r="AV1486" s="24"/>
      <c r="AX1486" s="29"/>
    </row>
    <row r="1487" spans="2:50">
      <c r="B1487" s="19"/>
      <c r="K1487" s="21"/>
      <c r="T1487" s="28"/>
      <c r="AS1487" s="24"/>
      <c r="AT1487" s="24"/>
      <c r="AU1487" s="24"/>
      <c r="AV1487" s="24"/>
      <c r="AX1487" s="29"/>
    </row>
    <row r="1488" spans="2:50">
      <c r="B1488" s="19"/>
      <c r="K1488" s="21"/>
      <c r="T1488" s="28"/>
      <c r="AS1488" s="24"/>
      <c r="AT1488" s="24"/>
      <c r="AU1488" s="24"/>
      <c r="AV1488" s="24"/>
      <c r="AX1488" s="29"/>
    </row>
    <row r="1489" spans="2:50">
      <c r="B1489" s="19"/>
      <c r="K1489" s="21"/>
      <c r="T1489" s="28"/>
      <c r="AS1489" s="24"/>
      <c r="AT1489" s="24"/>
      <c r="AU1489" s="24"/>
      <c r="AV1489" s="24"/>
      <c r="AX1489" s="29"/>
    </row>
    <row r="1490" spans="2:50">
      <c r="B1490" s="19"/>
      <c r="K1490" s="21"/>
      <c r="T1490" s="28"/>
      <c r="AS1490" s="24"/>
      <c r="AT1490" s="24"/>
      <c r="AU1490" s="24"/>
      <c r="AV1490" s="24"/>
      <c r="AX1490" s="29"/>
    </row>
    <row r="1491" spans="2:50">
      <c r="B1491" s="19"/>
      <c r="K1491" s="21"/>
      <c r="T1491" s="28"/>
      <c r="AS1491" s="24"/>
      <c r="AT1491" s="24"/>
      <c r="AU1491" s="24"/>
      <c r="AV1491" s="24"/>
      <c r="AX1491" s="29"/>
    </row>
    <row r="1492" spans="2:50">
      <c r="B1492" s="19"/>
      <c r="K1492" s="21"/>
      <c r="T1492" s="28"/>
      <c r="AS1492" s="24"/>
      <c r="AT1492" s="24"/>
      <c r="AU1492" s="24"/>
      <c r="AV1492" s="24"/>
      <c r="AX1492" s="29"/>
    </row>
    <row r="1493" spans="2:50">
      <c r="B1493" s="19"/>
      <c r="K1493" s="21"/>
      <c r="T1493" s="28"/>
      <c r="AS1493" s="24"/>
      <c r="AT1493" s="24"/>
      <c r="AU1493" s="24"/>
      <c r="AV1493" s="24"/>
      <c r="AX1493" s="29"/>
    </row>
    <row r="1494" spans="2:50">
      <c r="B1494" s="19"/>
      <c r="K1494" s="21"/>
      <c r="T1494" s="28"/>
      <c r="AS1494" s="24"/>
      <c r="AT1494" s="24"/>
      <c r="AU1494" s="24"/>
      <c r="AV1494" s="24"/>
      <c r="AX1494" s="29"/>
    </row>
    <row r="1495" spans="2:50">
      <c r="B1495" s="19"/>
      <c r="K1495" s="21"/>
      <c r="T1495" s="28"/>
      <c r="AS1495" s="24"/>
      <c r="AT1495" s="24"/>
      <c r="AU1495" s="24"/>
      <c r="AV1495" s="24"/>
      <c r="AX1495" s="29"/>
    </row>
    <row r="1496" spans="2:50">
      <c r="B1496" s="19"/>
      <c r="K1496" s="21"/>
      <c r="T1496" s="28"/>
      <c r="AS1496" s="24"/>
      <c r="AT1496" s="24"/>
      <c r="AU1496" s="24"/>
      <c r="AV1496" s="24"/>
      <c r="AX1496" s="29"/>
    </row>
    <row r="1497" spans="2:50">
      <c r="B1497" s="19"/>
      <c r="K1497" s="21"/>
      <c r="T1497" s="28"/>
      <c r="AS1497" s="24"/>
      <c r="AT1497" s="24"/>
      <c r="AU1497" s="24"/>
      <c r="AV1497" s="24"/>
      <c r="AX1497" s="29"/>
    </row>
    <row r="1498" spans="2:50">
      <c r="B1498" s="19"/>
      <c r="K1498" s="21"/>
      <c r="T1498" s="28"/>
      <c r="AS1498" s="24"/>
      <c r="AT1498" s="24"/>
      <c r="AU1498" s="24"/>
      <c r="AV1498" s="24"/>
      <c r="AX1498" s="29"/>
    </row>
    <row r="1499" spans="2:50">
      <c r="B1499" s="19"/>
      <c r="K1499" s="21"/>
      <c r="T1499" s="28"/>
      <c r="AS1499" s="24"/>
      <c r="AT1499" s="24"/>
      <c r="AU1499" s="24"/>
      <c r="AV1499" s="24"/>
      <c r="AX1499" s="29"/>
    </row>
    <row r="1500" spans="2:50">
      <c r="B1500" s="19"/>
      <c r="K1500" s="21"/>
      <c r="T1500" s="28"/>
      <c r="AS1500" s="24"/>
      <c r="AT1500" s="24"/>
      <c r="AU1500" s="24"/>
      <c r="AV1500" s="24"/>
      <c r="AX1500" s="29"/>
    </row>
    <row r="1501" spans="2:50">
      <c r="B1501" s="19"/>
      <c r="K1501" s="21"/>
      <c r="T1501" s="28"/>
      <c r="AS1501" s="24"/>
      <c r="AT1501" s="24"/>
      <c r="AU1501" s="24"/>
      <c r="AV1501" s="24"/>
      <c r="AX1501" s="29"/>
    </row>
    <row r="1502" spans="2:50">
      <c r="B1502" s="19"/>
      <c r="K1502" s="21"/>
      <c r="T1502" s="28"/>
      <c r="AS1502" s="24"/>
      <c r="AT1502" s="24"/>
      <c r="AU1502" s="24"/>
      <c r="AV1502" s="24"/>
      <c r="AX1502" s="29"/>
    </row>
    <row r="1503" spans="2:50">
      <c r="B1503" s="19"/>
      <c r="K1503" s="21"/>
      <c r="T1503" s="28"/>
      <c r="AS1503" s="24"/>
      <c r="AT1503" s="24"/>
      <c r="AU1503" s="24"/>
      <c r="AV1503" s="24"/>
      <c r="AX1503" s="29"/>
    </row>
    <row r="1504" spans="2:50">
      <c r="B1504" s="19"/>
      <c r="K1504" s="21"/>
      <c r="T1504" s="28"/>
      <c r="AS1504" s="24"/>
      <c r="AT1504" s="24"/>
      <c r="AU1504" s="24"/>
      <c r="AV1504" s="24"/>
      <c r="AX1504" s="29"/>
    </row>
    <row r="1505" spans="2:50">
      <c r="B1505" s="19"/>
      <c r="K1505" s="21"/>
      <c r="T1505" s="28"/>
      <c r="AS1505" s="24"/>
      <c r="AT1505" s="24"/>
      <c r="AU1505" s="24"/>
      <c r="AV1505" s="24"/>
      <c r="AX1505" s="29"/>
    </row>
    <row r="1506" spans="2:50">
      <c r="B1506" s="19"/>
      <c r="K1506" s="21"/>
      <c r="T1506" s="28"/>
      <c r="AS1506" s="24"/>
      <c r="AT1506" s="24"/>
      <c r="AU1506" s="24"/>
      <c r="AV1506" s="24"/>
      <c r="AX1506" s="29"/>
    </row>
    <row r="1507" spans="2:50">
      <c r="B1507" s="19"/>
      <c r="K1507" s="21"/>
      <c r="T1507" s="28"/>
      <c r="AS1507" s="24"/>
      <c r="AT1507" s="24"/>
      <c r="AU1507" s="24"/>
      <c r="AV1507" s="24"/>
      <c r="AX1507" s="29"/>
    </row>
    <row r="1508" spans="2:50">
      <c r="B1508" s="19"/>
      <c r="K1508" s="21"/>
      <c r="T1508" s="28"/>
      <c r="AS1508" s="24"/>
      <c r="AT1508" s="24"/>
      <c r="AU1508" s="24"/>
      <c r="AV1508" s="24"/>
      <c r="AX1508" s="29"/>
    </row>
    <row r="1509" spans="2:50">
      <c r="B1509" s="19"/>
      <c r="K1509" s="21"/>
      <c r="T1509" s="28"/>
      <c r="AS1509" s="24"/>
      <c r="AT1509" s="24"/>
      <c r="AU1509" s="24"/>
      <c r="AV1509" s="24"/>
      <c r="AX1509" s="29"/>
    </row>
    <row r="1510" spans="2:50">
      <c r="B1510" s="19"/>
      <c r="K1510" s="21"/>
      <c r="T1510" s="28"/>
      <c r="AS1510" s="24"/>
      <c r="AT1510" s="24"/>
      <c r="AU1510" s="24"/>
      <c r="AV1510" s="24"/>
      <c r="AX1510" s="29"/>
    </row>
    <row r="1511" spans="2:50">
      <c r="B1511" s="19"/>
      <c r="K1511" s="21"/>
      <c r="T1511" s="28"/>
      <c r="AS1511" s="24"/>
      <c r="AT1511" s="24"/>
      <c r="AU1511" s="24"/>
      <c r="AV1511" s="24"/>
      <c r="AX1511" s="29"/>
    </row>
    <row r="1512" spans="2:50">
      <c r="B1512" s="19"/>
      <c r="K1512" s="21"/>
      <c r="T1512" s="28"/>
      <c r="AS1512" s="24"/>
      <c r="AT1512" s="24"/>
      <c r="AU1512" s="24"/>
      <c r="AV1512" s="24"/>
      <c r="AX1512" s="29"/>
    </row>
    <row r="1513" spans="2:50">
      <c r="B1513" s="19"/>
      <c r="K1513" s="21"/>
      <c r="T1513" s="28"/>
      <c r="AS1513" s="24"/>
      <c r="AT1513" s="24"/>
      <c r="AU1513" s="24"/>
      <c r="AV1513" s="24"/>
      <c r="AX1513" s="29"/>
    </row>
    <row r="1514" spans="2:50">
      <c r="B1514" s="19"/>
      <c r="K1514" s="21"/>
      <c r="T1514" s="28"/>
      <c r="AS1514" s="24"/>
      <c r="AT1514" s="24"/>
      <c r="AU1514" s="24"/>
      <c r="AV1514" s="24"/>
      <c r="AX1514" s="29"/>
    </row>
    <row r="1515" spans="2:50">
      <c r="B1515" s="19"/>
      <c r="K1515" s="21"/>
      <c r="T1515" s="28"/>
      <c r="AS1515" s="24"/>
      <c r="AT1515" s="24"/>
      <c r="AU1515" s="24"/>
      <c r="AV1515" s="24"/>
      <c r="AX1515" s="29"/>
    </row>
    <row r="1516" spans="2:50">
      <c r="B1516" s="19"/>
      <c r="K1516" s="21"/>
      <c r="T1516" s="28"/>
      <c r="AS1516" s="24"/>
      <c r="AT1516" s="24"/>
      <c r="AU1516" s="24"/>
      <c r="AV1516" s="24"/>
      <c r="AX1516" s="29"/>
    </row>
    <row r="1517" spans="2:50">
      <c r="B1517" s="19"/>
      <c r="K1517" s="21"/>
      <c r="T1517" s="28"/>
      <c r="AS1517" s="24"/>
      <c r="AT1517" s="24"/>
      <c r="AU1517" s="24"/>
      <c r="AV1517" s="24"/>
      <c r="AX1517" s="29"/>
    </row>
    <row r="1518" spans="2:50">
      <c r="B1518" s="19"/>
      <c r="K1518" s="21"/>
      <c r="T1518" s="28"/>
      <c r="AS1518" s="24"/>
      <c r="AT1518" s="24"/>
      <c r="AU1518" s="24"/>
      <c r="AV1518" s="24"/>
      <c r="AX1518" s="29"/>
    </row>
    <row r="1519" spans="2:50">
      <c r="B1519" s="19"/>
      <c r="K1519" s="21"/>
      <c r="T1519" s="28"/>
      <c r="AS1519" s="24"/>
      <c r="AT1519" s="24"/>
      <c r="AU1519" s="24"/>
      <c r="AV1519" s="24"/>
      <c r="AX1519" s="29"/>
    </row>
    <row r="1520" spans="2:50">
      <c r="B1520" s="19"/>
      <c r="K1520" s="21"/>
      <c r="T1520" s="28"/>
      <c r="AS1520" s="24"/>
      <c r="AT1520" s="24"/>
      <c r="AU1520" s="24"/>
      <c r="AV1520" s="24"/>
      <c r="AX1520" s="29"/>
    </row>
    <row r="1521" spans="2:50">
      <c r="B1521" s="19"/>
      <c r="K1521" s="21"/>
      <c r="T1521" s="28"/>
      <c r="AS1521" s="24"/>
      <c r="AT1521" s="24"/>
      <c r="AU1521" s="24"/>
      <c r="AV1521" s="24"/>
      <c r="AX1521" s="29"/>
    </row>
    <row r="1522" spans="2:50">
      <c r="B1522" s="19"/>
      <c r="K1522" s="21"/>
      <c r="T1522" s="28"/>
      <c r="AS1522" s="24"/>
      <c r="AT1522" s="24"/>
      <c r="AU1522" s="24"/>
      <c r="AV1522" s="24"/>
      <c r="AX1522" s="29"/>
    </row>
    <row r="1523" spans="2:50">
      <c r="B1523" s="19"/>
      <c r="K1523" s="21"/>
      <c r="T1523" s="28"/>
      <c r="AS1523" s="24"/>
      <c r="AT1523" s="24"/>
      <c r="AU1523" s="24"/>
      <c r="AV1523" s="24"/>
      <c r="AX1523" s="29"/>
    </row>
    <row r="1524" spans="2:50">
      <c r="B1524" s="19"/>
      <c r="K1524" s="21"/>
      <c r="T1524" s="28"/>
      <c r="AS1524" s="24"/>
      <c r="AT1524" s="24"/>
      <c r="AU1524" s="24"/>
      <c r="AV1524" s="24"/>
      <c r="AX1524" s="29"/>
    </row>
    <row r="1525" spans="2:50">
      <c r="B1525" s="19"/>
      <c r="K1525" s="21"/>
      <c r="T1525" s="28"/>
      <c r="AS1525" s="24"/>
      <c r="AT1525" s="24"/>
      <c r="AU1525" s="24"/>
      <c r="AV1525" s="24"/>
      <c r="AX1525" s="29"/>
    </row>
    <row r="1526" spans="2:50">
      <c r="B1526" s="19"/>
      <c r="K1526" s="21"/>
      <c r="T1526" s="28"/>
      <c r="AS1526" s="24"/>
      <c r="AT1526" s="24"/>
      <c r="AU1526" s="24"/>
      <c r="AV1526" s="24"/>
      <c r="AX1526" s="29"/>
    </row>
    <row r="1527" spans="2:50">
      <c r="B1527" s="19"/>
      <c r="K1527" s="21"/>
      <c r="T1527" s="28"/>
      <c r="AS1527" s="24"/>
      <c r="AT1527" s="24"/>
      <c r="AU1527" s="24"/>
      <c r="AV1527" s="24"/>
      <c r="AX1527" s="29"/>
    </row>
    <row r="1528" spans="2:50">
      <c r="B1528" s="19"/>
      <c r="K1528" s="21"/>
      <c r="T1528" s="28"/>
      <c r="AS1528" s="24"/>
      <c r="AT1528" s="24"/>
      <c r="AU1528" s="24"/>
      <c r="AV1528" s="24"/>
      <c r="AX1528" s="29"/>
    </row>
    <row r="1529" spans="2:50">
      <c r="B1529" s="33"/>
      <c r="K1529" s="21"/>
      <c r="T1529" s="28"/>
      <c r="AS1529" s="24"/>
      <c r="AT1529" s="24"/>
      <c r="AU1529" s="24"/>
      <c r="AV1529" s="24"/>
      <c r="AX1529" s="29"/>
    </row>
    <row r="1530" spans="2:50">
      <c r="B1530" s="19"/>
      <c r="K1530" s="21"/>
      <c r="T1530" s="28"/>
      <c r="AS1530" s="24"/>
      <c r="AT1530" s="24"/>
      <c r="AU1530" s="24"/>
      <c r="AV1530" s="24"/>
      <c r="AX1530" s="29"/>
    </row>
    <row r="1531" spans="2:50">
      <c r="B1531" s="19"/>
      <c r="K1531" s="21"/>
      <c r="T1531" s="28"/>
      <c r="AS1531" s="24"/>
      <c r="AT1531" s="24"/>
      <c r="AU1531" s="24"/>
      <c r="AV1531" s="24"/>
      <c r="AX1531" s="29"/>
    </row>
    <row r="1532" spans="2:50">
      <c r="B1532" s="19"/>
      <c r="K1532" s="21"/>
      <c r="T1532" s="28"/>
      <c r="AS1532" s="24"/>
      <c r="AT1532" s="24"/>
      <c r="AU1532" s="24"/>
      <c r="AV1532" s="24"/>
      <c r="AX1532" s="29"/>
    </row>
    <row r="1533" spans="2:50">
      <c r="B1533" s="19"/>
      <c r="K1533" s="21"/>
      <c r="T1533" s="28"/>
      <c r="AS1533" s="24"/>
      <c r="AT1533" s="24"/>
      <c r="AU1533" s="24"/>
      <c r="AV1533" s="24"/>
      <c r="AX1533" s="29"/>
    </row>
    <row r="1534" spans="2:50">
      <c r="B1534" s="19"/>
      <c r="K1534" s="21"/>
      <c r="T1534" s="28"/>
      <c r="AS1534" s="24"/>
      <c r="AT1534" s="24"/>
      <c r="AU1534" s="24"/>
      <c r="AV1534" s="24"/>
      <c r="AX1534" s="29"/>
    </row>
    <row r="1535" spans="2:50">
      <c r="B1535" s="19"/>
      <c r="K1535" s="21"/>
      <c r="T1535" s="28"/>
      <c r="AS1535" s="24"/>
      <c r="AT1535" s="24"/>
      <c r="AU1535" s="24"/>
      <c r="AV1535" s="24"/>
      <c r="AX1535" s="29"/>
    </row>
    <row r="1536" spans="2:50">
      <c r="B1536" s="19"/>
      <c r="K1536" s="21"/>
      <c r="T1536" s="28"/>
      <c r="AS1536" s="24"/>
      <c r="AT1536" s="24"/>
      <c r="AU1536" s="24"/>
      <c r="AV1536" s="24"/>
      <c r="AX1536" s="29"/>
    </row>
    <row r="1537" spans="2:50">
      <c r="B1537" s="19"/>
      <c r="K1537" s="21"/>
      <c r="T1537" s="28"/>
      <c r="AS1537" s="24"/>
      <c r="AT1537" s="24"/>
      <c r="AU1537" s="24"/>
      <c r="AV1537" s="24"/>
      <c r="AX1537" s="29"/>
    </row>
    <row r="1538" spans="2:50">
      <c r="B1538" s="19"/>
      <c r="K1538" s="21"/>
      <c r="T1538" s="28"/>
      <c r="AS1538" s="24"/>
      <c r="AT1538" s="24"/>
      <c r="AU1538" s="24"/>
      <c r="AV1538" s="24"/>
      <c r="AX1538" s="29"/>
    </row>
    <row r="1539" spans="2:50">
      <c r="B1539" s="19"/>
      <c r="K1539" s="21"/>
      <c r="T1539" s="28"/>
      <c r="AS1539" s="24"/>
      <c r="AT1539" s="24"/>
      <c r="AU1539" s="24"/>
      <c r="AV1539" s="24"/>
      <c r="AX1539" s="29"/>
    </row>
    <row r="1540" spans="2:50">
      <c r="B1540" s="19"/>
      <c r="K1540" s="21"/>
      <c r="T1540" s="28"/>
      <c r="AS1540" s="24"/>
      <c r="AT1540" s="24"/>
      <c r="AU1540" s="24"/>
      <c r="AV1540" s="24"/>
      <c r="AX1540" s="29"/>
    </row>
    <row r="1541" spans="2:50">
      <c r="B1541" s="19"/>
      <c r="K1541" s="21"/>
      <c r="T1541" s="28"/>
      <c r="AS1541" s="24"/>
      <c r="AT1541" s="24"/>
      <c r="AU1541" s="24"/>
      <c r="AV1541" s="24"/>
      <c r="AX1541" s="29"/>
    </row>
    <row r="1542" spans="2:50">
      <c r="B1542" s="19"/>
      <c r="K1542" s="21"/>
      <c r="T1542" s="28"/>
      <c r="AS1542" s="24"/>
      <c r="AT1542" s="24"/>
      <c r="AU1542" s="24"/>
      <c r="AV1542" s="24"/>
      <c r="AX1542" s="29"/>
    </row>
    <row r="1543" spans="2:50">
      <c r="B1543" s="19"/>
      <c r="K1543" s="21"/>
      <c r="T1543" s="28"/>
      <c r="AS1543" s="24"/>
      <c r="AT1543" s="24"/>
      <c r="AU1543" s="24"/>
      <c r="AV1543" s="24"/>
      <c r="AX1543" s="29"/>
    </row>
    <row r="1544" spans="2:50">
      <c r="B1544" s="19"/>
      <c r="K1544" s="21"/>
      <c r="T1544" s="28"/>
      <c r="AS1544" s="24"/>
      <c r="AT1544" s="24"/>
      <c r="AU1544" s="24"/>
      <c r="AV1544" s="24"/>
      <c r="AX1544" s="29"/>
    </row>
    <row r="1545" spans="2:50">
      <c r="B1545" s="19"/>
      <c r="K1545" s="21"/>
      <c r="T1545" s="28"/>
      <c r="AS1545" s="24"/>
      <c r="AT1545" s="24"/>
      <c r="AU1545" s="24"/>
      <c r="AV1545" s="24"/>
      <c r="AX1545" s="29"/>
    </row>
    <row r="1546" spans="2:50">
      <c r="B1546" s="19"/>
      <c r="K1546" s="21"/>
      <c r="T1546" s="28"/>
      <c r="AS1546" s="24"/>
      <c r="AT1546" s="24"/>
      <c r="AU1546" s="24"/>
      <c r="AV1546" s="24"/>
      <c r="AX1546" s="29"/>
    </row>
    <row r="1547" spans="2:50">
      <c r="B1547" s="19"/>
      <c r="K1547" s="21"/>
      <c r="T1547" s="28"/>
      <c r="AS1547" s="24"/>
      <c r="AT1547" s="24"/>
      <c r="AU1547" s="24"/>
      <c r="AV1547" s="24"/>
      <c r="AX1547" s="29"/>
    </row>
    <row r="1548" spans="2:50">
      <c r="B1548" s="19"/>
      <c r="K1548" s="21"/>
      <c r="T1548" s="28"/>
      <c r="AS1548" s="24"/>
      <c r="AT1548" s="24"/>
      <c r="AU1548" s="24"/>
      <c r="AV1548" s="24"/>
      <c r="AX1548" s="29"/>
    </row>
    <row r="1549" spans="2:50">
      <c r="B1549" s="19"/>
      <c r="K1549" s="21"/>
      <c r="T1549" s="28"/>
      <c r="AS1549" s="24"/>
      <c r="AT1549" s="24"/>
      <c r="AU1549" s="24"/>
      <c r="AV1549" s="24"/>
      <c r="AX1549" s="29"/>
    </row>
    <row r="1550" spans="2:50">
      <c r="B1550" s="19"/>
      <c r="K1550" s="21"/>
      <c r="T1550" s="28"/>
      <c r="AS1550" s="24"/>
      <c r="AT1550" s="24"/>
      <c r="AU1550" s="24"/>
      <c r="AV1550" s="24"/>
      <c r="AX1550" s="29"/>
    </row>
    <row r="1551" spans="2:50">
      <c r="B1551" s="19"/>
      <c r="K1551" s="21"/>
      <c r="T1551" s="28"/>
      <c r="AS1551" s="24"/>
      <c r="AT1551" s="24"/>
      <c r="AU1551" s="24"/>
      <c r="AV1551" s="24"/>
      <c r="AX1551" s="29"/>
    </row>
    <row r="1552" spans="2:50">
      <c r="B1552" s="19"/>
      <c r="K1552" s="21"/>
      <c r="T1552" s="28"/>
      <c r="AS1552" s="24"/>
      <c r="AT1552" s="24"/>
      <c r="AU1552" s="24"/>
      <c r="AV1552" s="24"/>
      <c r="AX1552" s="29"/>
    </row>
    <row r="1553" spans="2:50">
      <c r="B1553" s="19"/>
      <c r="K1553" s="21"/>
      <c r="T1553" s="28"/>
      <c r="AS1553" s="24"/>
      <c r="AT1553" s="24"/>
      <c r="AU1553" s="24"/>
      <c r="AV1553" s="24"/>
      <c r="AX1553" s="29"/>
    </row>
    <row r="1554" spans="2:50">
      <c r="B1554" s="19"/>
      <c r="K1554" s="21"/>
      <c r="T1554" s="28"/>
      <c r="AS1554" s="24"/>
      <c r="AT1554" s="24"/>
      <c r="AU1554" s="24"/>
      <c r="AV1554" s="24"/>
      <c r="AX1554" s="29"/>
    </row>
    <row r="1555" spans="2:50">
      <c r="B1555" s="19"/>
      <c r="K1555" s="21"/>
      <c r="T1555" s="28"/>
      <c r="AS1555" s="24"/>
      <c r="AT1555" s="24"/>
      <c r="AU1555" s="24"/>
      <c r="AV1555" s="24"/>
      <c r="AX1555" s="29"/>
    </row>
    <row r="1556" spans="2:50">
      <c r="B1556" s="19"/>
      <c r="K1556" s="21"/>
      <c r="T1556" s="28"/>
      <c r="AS1556" s="24"/>
      <c r="AT1556" s="24"/>
      <c r="AU1556" s="24"/>
      <c r="AV1556" s="24"/>
      <c r="AX1556" s="29"/>
    </row>
    <row r="1557" spans="2:50">
      <c r="B1557" s="19"/>
      <c r="K1557" s="21"/>
      <c r="T1557" s="28"/>
      <c r="AS1557" s="24"/>
      <c r="AT1557" s="24"/>
      <c r="AU1557" s="24"/>
      <c r="AV1557" s="24"/>
      <c r="AX1557" s="29"/>
    </row>
    <row r="1558" spans="2:50">
      <c r="B1558" s="19"/>
      <c r="K1558" s="21"/>
      <c r="T1558" s="28"/>
      <c r="AS1558" s="24"/>
      <c r="AT1558" s="24"/>
      <c r="AU1558" s="24"/>
      <c r="AV1558" s="24"/>
      <c r="AX1558" s="29"/>
    </row>
    <row r="1559" spans="2:50">
      <c r="B1559" s="19"/>
      <c r="K1559" s="21"/>
      <c r="T1559" s="28"/>
      <c r="AS1559" s="24"/>
      <c r="AT1559" s="24"/>
      <c r="AU1559" s="24"/>
      <c r="AV1559" s="24"/>
      <c r="AX1559" s="29"/>
    </row>
    <row r="1560" spans="2:50">
      <c r="B1560" s="19"/>
      <c r="K1560" s="21"/>
      <c r="T1560" s="28"/>
      <c r="AS1560" s="24"/>
      <c r="AT1560" s="24"/>
      <c r="AU1560" s="24"/>
      <c r="AV1560" s="24"/>
      <c r="AX1560" s="29"/>
    </row>
    <row r="1561" spans="2:50">
      <c r="B1561" s="19"/>
      <c r="K1561" s="21"/>
      <c r="T1561" s="28"/>
      <c r="AS1561" s="24"/>
      <c r="AT1561" s="24"/>
      <c r="AU1561" s="24"/>
      <c r="AV1561" s="24"/>
      <c r="AX1561" s="29"/>
    </row>
    <row r="1562" spans="2:50">
      <c r="B1562" s="19"/>
      <c r="K1562" s="21"/>
      <c r="T1562" s="28"/>
      <c r="AS1562" s="24"/>
      <c r="AT1562" s="24"/>
      <c r="AU1562" s="24"/>
      <c r="AV1562" s="24"/>
      <c r="AX1562" s="29"/>
    </row>
    <row r="1563" spans="2:50">
      <c r="B1563" s="19"/>
      <c r="K1563" s="21"/>
      <c r="T1563" s="28"/>
      <c r="AS1563" s="24"/>
      <c r="AT1563" s="24"/>
      <c r="AU1563" s="24"/>
      <c r="AV1563" s="24"/>
      <c r="AX1563" s="29"/>
    </row>
    <row r="1564" spans="2:50">
      <c r="B1564" s="19"/>
      <c r="K1564" s="21"/>
      <c r="T1564" s="28"/>
      <c r="AS1564" s="24"/>
      <c r="AT1564" s="24"/>
      <c r="AU1564" s="24"/>
      <c r="AV1564" s="24"/>
      <c r="AX1564" s="29"/>
    </row>
    <row r="1565" spans="2:50">
      <c r="B1565" s="19"/>
      <c r="K1565" s="21"/>
      <c r="T1565" s="28"/>
      <c r="AS1565" s="24"/>
      <c r="AT1565" s="24"/>
      <c r="AU1565" s="24"/>
      <c r="AV1565" s="24"/>
      <c r="AX1565" s="29"/>
    </row>
    <row r="1566" spans="2:50">
      <c r="B1566" s="19"/>
      <c r="K1566" s="21"/>
      <c r="T1566" s="28"/>
      <c r="AS1566" s="24"/>
      <c r="AT1566" s="24"/>
      <c r="AU1566" s="24"/>
      <c r="AV1566" s="24"/>
      <c r="AX1566" s="29"/>
    </row>
    <row r="1567" spans="2:50">
      <c r="B1567" s="19"/>
      <c r="K1567" s="21"/>
      <c r="T1567" s="28"/>
      <c r="AS1567" s="24"/>
      <c r="AT1567" s="24"/>
      <c r="AU1567" s="24"/>
      <c r="AV1567" s="24"/>
      <c r="AX1567" s="29"/>
    </row>
    <row r="1568" spans="2:50">
      <c r="B1568" s="19"/>
      <c r="K1568" s="21"/>
      <c r="T1568" s="28"/>
      <c r="AS1568" s="24"/>
      <c r="AT1568" s="24"/>
      <c r="AU1568" s="24"/>
      <c r="AV1568" s="24"/>
      <c r="AX1568" s="29"/>
    </row>
    <row r="1569" spans="2:50">
      <c r="B1569" s="19"/>
      <c r="K1569" s="21"/>
      <c r="T1569" s="28"/>
      <c r="AS1569" s="24"/>
      <c r="AT1569" s="24"/>
      <c r="AU1569" s="24"/>
      <c r="AV1569" s="24"/>
      <c r="AX1569" s="29"/>
    </row>
    <row r="1570" spans="2:50">
      <c r="B1570" s="19"/>
      <c r="K1570" s="21"/>
      <c r="T1570" s="28"/>
      <c r="AS1570" s="24"/>
      <c r="AT1570" s="24"/>
      <c r="AU1570" s="24"/>
      <c r="AV1570" s="24"/>
      <c r="AX1570" s="29"/>
    </row>
    <row r="1571" spans="2:50">
      <c r="B1571" s="19"/>
      <c r="K1571" s="21"/>
      <c r="T1571" s="28"/>
      <c r="AS1571" s="24"/>
      <c r="AT1571" s="24"/>
      <c r="AU1571" s="24"/>
      <c r="AV1571" s="24"/>
      <c r="AX1571" s="29"/>
    </row>
    <row r="1572" spans="2:50">
      <c r="B1572" s="19"/>
      <c r="K1572" s="21"/>
      <c r="T1572" s="28"/>
      <c r="AS1572" s="24"/>
      <c r="AT1572" s="24"/>
      <c r="AU1572" s="24"/>
      <c r="AV1572" s="24"/>
      <c r="AX1572" s="29"/>
    </row>
    <row r="1573" spans="2:50">
      <c r="B1573" s="19"/>
      <c r="K1573" s="21"/>
      <c r="T1573" s="28"/>
      <c r="AS1573" s="24"/>
      <c r="AT1573" s="24"/>
      <c r="AU1573" s="24"/>
      <c r="AV1573" s="24"/>
      <c r="AX1573" s="29"/>
    </row>
    <row r="1574" spans="2:50">
      <c r="B1574" s="19"/>
      <c r="K1574" s="21"/>
      <c r="T1574" s="28"/>
      <c r="AS1574" s="24"/>
      <c r="AT1574" s="24"/>
      <c r="AU1574" s="24"/>
      <c r="AV1574" s="24"/>
      <c r="AX1574" s="29"/>
    </row>
    <row r="1575" spans="2:50">
      <c r="B1575" s="19"/>
      <c r="K1575" s="21"/>
      <c r="T1575" s="28"/>
      <c r="AS1575" s="24"/>
      <c r="AT1575" s="24"/>
      <c r="AU1575" s="24"/>
      <c r="AV1575" s="24"/>
      <c r="AX1575" s="29"/>
    </row>
    <row r="1576" spans="2:50">
      <c r="B1576" s="19"/>
      <c r="K1576" s="21"/>
      <c r="T1576" s="28"/>
      <c r="AS1576" s="24"/>
      <c r="AT1576" s="24"/>
      <c r="AU1576" s="24"/>
      <c r="AV1576" s="24"/>
      <c r="AX1576" s="29"/>
    </row>
    <row r="1577" spans="2:50">
      <c r="B1577" s="19"/>
      <c r="K1577" s="21"/>
      <c r="T1577" s="28"/>
      <c r="AS1577" s="24"/>
      <c r="AT1577" s="24"/>
      <c r="AU1577" s="24"/>
      <c r="AV1577" s="24"/>
      <c r="AX1577" s="29"/>
    </row>
    <row r="1578" spans="2:50">
      <c r="B1578" s="19"/>
      <c r="K1578" s="21"/>
      <c r="T1578" s="28"/>
      <c r="AS1578" s="24"/>
      <c r="AT1578" s="24"/>
      <c r="AU1578" s="24"/>
      <c r="AV1578" s="24"/>
      <c r="AX1578" s="29"/>
    </row>
    <row r="1579" spans="2:50">
      <c r="B1579" s="19"/>
      <c r="K1579" s="21"/>
      <c r="T1579" s="28"/>
      <c r="AS1579" s="24"/>
      <c r="AT1579" s="24"/>
      <c r="AU1579" s="24"/>
      <c r="AV1579" s="24"/>
      <c r="AX1579" s="29"/>
    </row>
    <row r="1580" spans="2:50">
      <c r="B1580" s="19"/>
      <c r="K1580" s="21"/>
      <c r="T1580" s="28"/>
      <c r="AS1580" s="24"/>
      <c r="AT1580" s="24"/>
      <c r="AU1580" s="24"/>
      <c r="AV1580" s="24"/>
      <c r="AX1580" s="29"/>
    </row>
    <row r="1581" spans="2:50">
      <c r="B1581" s="19"/>
      <c r="K1581" s="21"/>
      <c r="T1581" s="28"/>
      <c r="AS1581" s="24"/>
      <c r="AT1581" s="24"/>
      <c r="AU1581" s="24"/>
      <c r="AV1581" s="24"/>
      <c r="AX1581" s="29"/>
    </row>
    <row r="1582" spans="2:50">
      <c r="B1582" s="19"/>
      <c r="K1582" s="21"/>
      <c r="T1582" s="28"/>
      <c r="AS1582" s="24"/>
      <c r="AT1582" s="24"/>
      <c r="AU1582" s="24"/>
      <c r="AV1582" s="24"/>
      <c r="AX1582" s="29"/>
    </row>
    <row r="1583" spans="2:50">
      <c r="B1583" s="19"/>
      <c r="K1583" s="21"/>
      <c r="T1583" s="28"/>
      <c r="AS1583" s="24"/>
      <c r="AT1583" s="24"/>
      <c r="AU1583" s="24"/>
      <c r="AV1583" s="24"/>
      <c r="AX1583" s="29"/>
    </row>
    <row r="1584" spans="2:50">
      <c r="B1584" s="19"/>
      <c r="K1584" s="21"/>
      <c r="T1584" s="28"/>
      <c r="AS1584" s="24"/>
      <c r="AT1584" s="24"/>
      <c r="AU1584" s="24"/>
      <c r="AV1584" s="24"/>
      <c r="AX1584" s="29"/>
    </row>
    <row r="1585" spans="2:50">
      <c r="B1585" s="19"/>
      <c r="K1585" s="21"/>
      <c r="T1585" s="28"/>
      <c r="AS1585" s="24"/>
      <c r="AT1585" s="24"/>
      <c r="AU1585" s="24"/>
      <c r="AV1585" s="24"/>
      <c r="AX1585" s="29"/>
    </row>
    <row r="1586" spans="2:50">
      <c r="B1586" s="19"/>
      <c r="K1586" s="21"/>
      <c r="T1586" s="28"/>
      <c r="AS1586" s="24"/>
      <c r="AT1586" s="24"/>
      <c r="AU1586" s="24"/>
      <c r="AV1586" s="24"/>
      <c r="AX1586" s="29"/>
    </row>
    <row r="1587" spans="2:50">
      <c r="B1587" s="19"/>
      <c r="K1587" s="21"/>
      <c r="T1587" s="28"/>
      <c r="AS1587" s="24"/>
      <c r="AT1587" s="24"/>
      <c r="AU1587" s="24"/>
      <c r="AV1587" s="24"/>
      <c r="AX1587" s="29"/>
    </row>
    <row r="1588" spans="2:50">
      <c r="B1588" s="19"/>
      <c r="K1588" s="21"/>
      <c r="T1588" s="28"/>
      <c r="AS1588" s="24"/>
      <c r="AT1588" s="24"/>
      <c r="AU1588" s="24"/>
      <c r="AV1588" s="24"/>
      <c r="AX1588" s="29"/>
    </row>
    <row r="1589" spans="2:50">
      <c r="B1589" s="19"/>
      <c r="K1589" s="21"/>
      <c r="T1589" s="28"/>
      <c r="AS1589" s="24"/>
      <c r="AT1589" s="24"/>
      <c r="AU1589" s="24"/>
      <c r="AV1589" s="24"/>
      <c r="AX1589" s="29"/>
    </row>
    <row r="1590" spans="2:50">
      <c r="B1590" s="19"/>
      <c r="K1590" s="21"/>
      <c r="T1590" s="28"/>
      <c r="AS1590" s="24"/>
      <c r="AT1590" s="24"/>
      <c r="AU1590" s="24"/>
      <c r="AV1590" s="24"/>
      <c r="AX1590" s="29"/>
    </row>
    <row r="1591" spans="2:50">
      <c r="B1591" s="19"/>
      <c r="K1591" s="21"/>
      <c r="T1591" s="28"/>
      <c r="AS1591" s="24"/>
      <c r="AT1591" s="24"/>
      <c r="AU1591" s="24"/>
      <c r="AV1591" s="24"/>
      <c r="AX1591" s="29"/>
    </row>
    <row r="1592" spans="2:50">
      <c r="B1592" s="19"/>
      <c r="K1592" s="21"/>
      <c r="T1592" s="28"/>
      <c r="AS1592" s="24"/>
      <c r="AT1592" s="24"/>
      <c r="AU1592" s="24"/>
      <c r="AV1592" s="24"/>
      <c r="AX1592" s="29"/>
    </row>
    <row r="1593" spans="2:50">
      <c r="B1593" s="19"/>
      <c r="K1593" s="21"/>
      <c r="T1593" s="28"/>
      <c r="AS1593" s="24"/>
      <c r="AT1593" s="24"/>
      <c r="AU1593" s="24"/>
      <c r="AV1593" s="24"/>
      <c r="AX1593" s="29"/>
    </row>
    <row r="1594" spans="2:50">
      <c r="B1594" s="19"/>
      <c r="K1594" s="21"/>
      <c r="T1594" s="28"/>
      <c r="AS1594" s="24"/>
      <c r="AT1594" s="24"/>
      <c r="AU1594" s="24"/>
      <c r="AV1594" s="24"/>
      <c r="AX1594" s="29"/>
    </row>
    <row r="1595" spans="2:50">
      <c r="B1595" s="19"/>
      <c r="K1595" s="21"/>
      <c r="T1595" s="28"/>
      <c r="AS1595" s="24"/>
      <c r="AT1595" s="24"/>
      <c r="AU1595" s="24"/>
      <c r="AV1595" s="24"/>
      <c r="AX1595" s="29"/>
    </row>
    <row r="1596" spans="2:50">
      <c r="B1596" s="19"/>
      <c r="K1596" s="21"/>
      <c r="T1596" s="28"/>
      <c r="AS1596" s="24"/>
      <c r="AT1596" s="24"/>
      <c r="AU1596" s="24"/>
      <c r="AV1596" s="24"/>
      <c r="AX1596" s="29"/>
    </row>
    <row r="1597" spans="2:50">
      <c r="B1597" s="19"/>
      <c r="K1597" s="21"/>
      <c r="T1597" s="28"/>
      <c r="AS1597" s="24"/>
      <c r="AT1597" s="24"/>
      <c r="AU1597" s="24"/>
      <c r="AV1597" s="24"/>
      <c r="AX1597" s="29"/>
    </row>
    <row r="1598" spans="2:50">
      <c r="B1598" s="19"/>
      <c r="K1598" s="21"/>
      <c r="T1598" s="28"/>
      <c r="AS1598" s="24"/>
      <c r="AT1598" s="24"/>
      <c r="AU1598" s="24"/>
      <c r="AV1598" s="24"/>
      <c r="AX1598" s="29"/>
    </row>
    <row r="1599" spans="2:50">
      <c r="B1599" s="19"/>
      <c r="K1599" s="21"/>
      <c r="T1599" s="28"/>
      <c r="AS1599" s="24"/>
      <c r="AT1599" s="24"/>
      <c r="AU1599" s="24"/>
      <c r="AV1599" s="24"/>
      <c r="AX1599" s="29"/>
    </row>
    <row r="1600" spans="2:50">
      <c r="B1600" s="19"/>
      <c r="K1600" s="21"/>
      <c r="T1600" s="28"/>
      <c r="AS1600" s="24"/>
      <c r="AT1600" s="24"/>
      <c r="AU1600" s="24"/>
      <c r="AV1600" s="24"/>
      <c r="AX1600" s="29"/>
    </row>
    <row r="1601" spans="2:50">
      <c r="B1601" s="19"/>
      <c r="K1601" s="21"/>
      <c r="T1601" s="28"/>
      <c r="AS1601" s="24"/>
      <c r="AT1601" s="24"/>
      <c r="AU1601" s="24"/>
      <c r="AV1601" s="24"/>
      <c r="AX1601" s="29"/>
    </row>
    <row r="1602" spans="2:50">
      <c r="B1602" s="19"/>
      <c r="K1602" s="21"/>
      <c r="T1602" s="28"/>
      <c r="AS1602" s="24"/>
      <c r="AT1602" s="24"/>
      <c r="AU1602" s="24"/>
      <c r="AV1602" s="24"/>
      <c r="AX1602" s="29"/>
    </row>
    <row r="1603" spans="2:50">
      <c r="B1603" s="19"/>
      <c r="K1603" s="21"/>
      <c r="T1603" s="28"/>
      <c r="AS1603" s="24"/>
      <c r="AT1603" s="24"/>
      <c r="AU1603" s="24"/>
      <c r="AV1603" s="24"/>
      <c r="AX1603" s="29"/>
    </row>
    <row r="1604" spans="2:50">
      <c r="B1604" s="19"/>
      <c r="K1604" s="21"/>
      <c r="T1604" s="28"/>
      <c r="AS1604" s="24"/>
      <c r="AT1604" s="24"/>
      <c r="AU1604" s="24"/>
      <c r="AV1604" s="24"/>
      <c r="AX1604" s="29"/>
    </row>
    <row r="1605" spans="2:50">
      <c r="B1605" s="19"/>
      <c r="K1605" s="21"/>
      <c r="T1605" s="28"/>
      <c r="AS1605" s="24"/>
      <c r="AT1605" s="24"/>
      <c r="AU1605" s="24"/>
      <c r="AV1605" s="24"/>
      <c r="AX1605" s="29"/>
    </row>
    <row r="1606" spans="2:50">
      <c r="B1606" s="19"/>
      <c r="K1606" s="21"/>
      <c r="T1606" s="28"/>
      <c r="AS1606" s="24"/>
      <c r="AT1606" s="24"/>
      <c r="AU1606" s="24"/>
      <c r="AV1606" s="24"/>
      <c r="AX1606" s="29"/>
    </row>
    <row r="1607" spans="2:50">
      <c r="B1607" s="19"/>
      <c r="K1607" s="21"/>
      <c r="T1607" s="28"/>
      <c r="AS1607" s="24"/>
      <c r="AT1607" s="24"/>
      <c r="AU1607" s="24"/>
      <c r="AV1607" s="24"/>
      <c r="AX1607" s="29"/>
    </row>
    <row r="1608" spans="2:50">
      <c r="B1608" s="19"/>
      <c r="K1608" s="21"/>
      <c r="T1608" s="28"/>
      <c r="AS1608" s="24"/>
      <c r="AT1608" s="24"/>
      <c r="AU1608" s="24"/>
      <c r="AV1608" s="24"/>
      <c r="AX1608" s="29"/>
    </row>
    <row r="1609" spans="2:50">
      <c r="B1609" s="19"/>
      <c r="K1609" s="21"/>
      <c r="T1609" s="28"/>
      <c r="AS1609" s="24"/>
      <c r="AT1609" s="24"/>
      <c r="AU1609" s="24"/>
      <c r="AV1609" s="24"/>
      <c r="AX1609" s="29"/>
    </row>
    <row r="1610" spans="2:50">
      <c r="B1610" s="19"/>
      <c r="K1610" s="21"/>
      <c r="T1610" s="28"/>
      <c r="AS1610" s="24"/>
      <c r="AT1610" s="24"/>
      <c r="AU1610" s="24"/>
      <c r="AV1610" s="24"/>
      <c r="AX1610" s="29"/>
    </row>
    <row r="1611" spans="2:50">
      <c r="B1611" s="19"/>
      <c r="K1611" s="21"/>
      <c r="T1611" s="28"/>
      <c r="AS1611" s="24"/>
      <c r="AT1611" s="24"/>
      <c r="AU1611" s="24"/>
      <c r="AV1611" s="24"/>
      <c r="AX1611" s="29"/>
    </row>
    <row r="1612" spans="2:50">
      <c r="B1612" s="19"/>
      <c r="K1612" s="21"/>
      <c r="T1612" s="28"/>
      <c r="AS1612" s="24"/>
      <c r="AT1612" s="24"/>
      <c r="AU1612" s="24"/>
      <c r="AV1612" s="24"/>
      <c r="AX1612" s="29"/>
    </row>
    <row r="1613" spans="2:50">
      <c r="B1613" s="19"/>
      <c r="K1613" s="21"/>
      <c r="T1613" s="28"/>
      <c r="AS1613" s="24"/>
      <c r="AT1613" s="24"/>
      <c r="AU1613" s="24"/>
      <c r="AV1613" s="24"/>
      <c r="AX1613" s="29"/>
    </row>
    <row r="1614" spans="2:50">
      <c r="B1614" s="19"/>
      <c r="K1614" s="21"/>
      <c r="T1614" s="28"/>
      <c r="AS1614" s="24"/>
      <c r="AT1614" s="24"/>
      <c r="AU1614" s="24"/>
      <c r="AV1614" s="24"/>
      <c r="AX1614" s="29"/>
    </row>
    <row r="1615" spans="2:50">
      <c r="B1615" s="19"/>
      <c r="K1615" s="21"/>
      <c r="T1615" s="28"/>
      <c r="AS1615" s="24"/>
      <c r="AT1615" s="24"/>
      <c r="AU1615" s="24"/>
      <c r="AV1615" s="24"/>
      <c r="AX1615" s="29"/>
    </row>
    <row r="1616" spans="2:50">
      <c r="B1616" s="19"/>
      <c r="K1616" s="21"/>
      <c r="T1616" s="28"/>
      <c r="AS1616" s="24"/>
      <c r="AT1616" s="24"/>
      <c r="AU1616" s="24"/>
      <c r="AV1616" s="24"/>
      <c r="AX1616" s="29"/>
    </row>
    <row r="1617" spans="2:50">
      <c r="B1617" s="19"/>
      <c r="K1617" s="21"/>
      <c r="T1617" s="28"/>
      <c r="AS1617" s="24"/>
      <c r="AT1617" s="24"/>
      <c r="AU1617" s="24"/>
      <c r="AV1617" s="24"/>
      <c r="AX1617" s="29"/>
    </row>
    <row r="1618" spans="2:50">
      <c r="B1618" s="19"/>
      <c r="K1618" s="21"/>
      <c r="T1618" s="28"/>
      <c r="AS1618" s="24"/>
      <c r="AT1618" s="24"/>
      <c r="AU1618" s="24"/>
      <c r="AV1618" s="24"/>
      <c r="AX1618" s="29"/>
    </row>
    <row r="1619" spans="2:50">
      <c r="B1619" s="19"/>
      <c r="K1619" s="21"/>
      <c r="T1619" s="28"/>
      <c r="AS1619" s="24"/>
      <c r="AT1619" s="24"/>
      <c r="AU1619" s="24"/>
      <c r="AV1619" s="24"/>
      <c r="AX1619" s="29"/>
    </row>
    <row r="1620" spans="2:50">
      <c r="B1620" s="19"/>
      <c r="K1620" s="21"/>
      <c r="T1620" s="28"/>
      <c r="AS1620" s="24"/>
      <c r="AT1620" s="24"/>
      <c r="AU1620" s="24"/>
      <c r="AV1620" s="24"/>
      <c r="AX1620" s="29"/>
    </row>
    <row r="1621" spans="2:50">
      <c r="B1621" s="19"/>
      <c r="K1621" s="21"/>
      <c r="T1621" s="28"/>
      <c r="AS1621" s="24"/>
      <c r="AT1621" s="24"/>
      <c r="AU1621" s="24"/>
      <c r="AV1621" s="24"/>
      <c r="AX1621" s="29"/>
    </row>
    <row r="1622" spans="2:50">
      <c r="B1622" s="19"/>
      <c r="K1622" s="21"/>
      <c r="T1622" s="28"/>
      <c r="AS1622" s="24"/>
      <c r="AT1622" s="24"/>
      <c r="AU1622" s="24"/>
      <c r="AV1622" s="24"/>
      <c r="AX1622" s="29"/>
    </row>
    <row r="1623" spans="2:50">
      <c r="B1623" s="19"/>
      <c r="K1623" s="21"/>
      <c r="T1623" s="28"/>
      <c r="AS1623" s="24"/>
      <c r="AT1623" s="24"/>
      <c r="AU1623" s="24"/>
      <c r="AV1623" s="24"/>
      <c r="AX1623" s="29"/>
    </row>
    <row r="1624" spans="2:50">
      <c r="B1624" s="19"/>
      <c r="K1624" s="21"/>
      <c r="T1624" s="28"/>
      <c r="AS1624" s="24"/>
      <c r="AT1624" s="24"/>
      <c r="AU1624" s="24"/>
      <c r="AV1624" s="24"/>
      <c r="AX1624" s="29"/>
    </row>
    <row r="1625" spans="2:50">
      <c r="B1625" s="19"/>
      <c r="K1625" s="21"/>
      <c r="T1625" s="28"/>
      <c r="AS1625" s="24"/>
      <c r="AT1625" s="24"/>
      <c r="AU1625" s="24"/>
      <c r="AV1625" s="24"/>
      <c r="AX1625" s="29"/>
    </row>
    <row r="1626" spans="2:50">
      <c r="B1626" s="19"/>
      <c r="K1626" s="21"/>
      <c r="T1626" s="28"/>
      <c r="AS1626" s="24"/>
      <c r="AT1626" s="24"/>
      <c r="AU1626" s="24"/>
      <c r="AV1626" s="24"/>
      <c r="AX1626" s="29"/>
    </row>
    <row r="1627" spans="2:50">
      <c r="B1627" s="19"/>
      <c r="K1627" s="21"/>
      <c r="T1627" s="28"/>
      <c r="AS1627" s="24"/>
      <c r="AT1627" s="24"/>
      <c r="AU1627" s="24"/>
      <c r="AV1627" s="24"/>
      <c r="AX1627" s="29"/>
    </row>
    <row r="1628" spans="2:50">
      <c r="B1628" s="19"/>
      <c r="K1628" s="21"/>
      <c r="T1628" s="28"/>
      <c r="AS1628" s="24"/>
      <c r="AT1628" s="24"/>
      <c r="AU1628" s="24"/>
      <c r="AV1628" s="24"/>
      <c r="AX1628" s="29"/>
    </row>
    <row r="1629" spans="2:50">
      <c r="B1629" s="19"/>
      <c r="K1629" s="21"/>
      <c r="T1629" s="28"/>
      <c r="AS1629" s="24"/>
      <c r="AT1629" s="24"/>
      <c r="AU1629" s="24"/>
      <c r="AV1629" s="24"/>
      <c r="AX1629" s="29"/>
    </row>
    <row r="1630" spans="2:50">
      <c r="B1630" s="19"/>
      <c r="K1630" s="21"/>
      <c r="T1630" s="28"/>
      <c r="AS1630" s="24"/>
      <c r="AT1630" s="24"/>
      <c r="AU1630" s="24"/>
      <c r="AV1630" s="24"/>
      <c r="AX1630" s="29"/>
    </row>
    <row r="1631" spans="2:50">
      <c r="B1631" s="19"/>
      <c r="K1631" s="21"/>
      <c r="T1631" s="28"/>
      <c r="AS1631" s="24"/>
      <c r="AT1631" s="24"/>
      <c r="AU1631" s="24"/>
      <c r="AV1631" s="24"/>
      <c r="AX1631" s="29"/>
    </row>
    <row r="1632" spans="2:50">
      <c r="B1632" s="19"/>
      <c r="K1632" s="21"/>
      <c r="T1632" s="28"/>
      <c r="AS1632" s="24"/>
      <c r="AT1632" s="24"/>
      <c r="AU1632" s="24"/>
      <c r="AV1632" s="24"/>
      <c r="AX1632" s="29"/>
    </row>
    <row r="1633" spans="2:50">
      <c r="B1633" s="19"/>
      <c r="K1633" s="21"/>
      <c r="T1633" s="28"/>
      <c r="AS1633" s="24"/>
      <c r="AT1633" s="24"/>
      <c r="AU1633" s="24"/>
      <c r="AV1633" s="24"/>
      <c r="AX1633" s="29"/>
    </row>
    <row r="1634" spans="2:50">
      <c r="B1634" s="19"/>
      <c r="K1634" s="21"/>
      <c r="T1634" s="28"/>
      <c r="AS1634" s="24"/>
      <c r="AT1634" s="24"/>
      <c r="AU1634" s="24"/>
      <c r="AV1634" s="24"/>
      <c r="AX1634" s="29"/>
    </row>
    <row r="1635" spans="2:50">
      <c r="B1635" s="19"/>
      <c r="K1635" s="21"/>
      <c r="T1635" s="28"/>
      <c r="AS1635" s="24"/>
      <c r="AT1635" s="24"/>
      <c r="AU1635" s="24"/>
      <c r="AV1635" s="24"/>
      <c r="AX1635" s="29"/>
    </row>
    <row r="1636" spans="2:50">
      <c r="B1636" s="19"/>
      <c r="K1636" s="21"/>
      <c r="T1636" s="28"/>
      <c r="AS1636" s="24"/>
      <c r="AT1636" s="24"/>
      <c r="AU1636" s="24"/>
      <c r="AV1636" s="24"/>
      <c r="AX1636" s="29"/>
    </row>
    <row r="1637" spans="2:50">
      <c r="B1637" s="19"/>
      <c r="K1637" s="21"/>
      <c r="T1637" s="28"/>
      <c r="AS1637" s="24"/>
      <c r="AT1637" s="24"/>
      <c r="AU1637" s="24"/>
      <c r="AV1637" s="24"/>
      <c r="AX1637" s="29"/>
    </row>
    <row r="1638" spans="2:50">
      <c r="B1638" s="19"/>
      <c r="K1638" s="21"/>
      <c r="T1638" s="28"/>
      <c r="AS1638" s="24"/>
      <c r="AT1638" s="24"/>
      <c r="AU1638" s="24"/>
      <c r="AV1638" s="24"/>
      <c r="AX1638" s="29"/>
    </row>
    <row r="1639" spans="2:50">
      <c r="B1639" s="19"/>
      <c r="K1639" s="21"/>
      <c r="T1639" s="28"/>
      <c r="AS1639" s="24"/>
      <c r="AT1639" s="24"/>
      <c r="AU1639" s="24"/>
      <c r="AV1639" s="24"/>
      <c r="AX1639" s="29"/>
    </row>
    <row r="1640" spans="2:50">
      <c r="B1640" s="19"/>
      <c r="K1640" s="21"/>
      <c r="T1640" s="28"/>
      <c r="AS1640" s="24"/>
      <c r="AT1640" s="24"/>
      <c r="AU1640" s="24"/>
      <c r="AV1640" s="24"/>
      <c r="AX1640" s="29"/>
    </row>
    <row r="1641" spans="2:50">
      <c r="B1641" s="19"/>
      <c r="K1641" s="21"/>
      <c r="T1641" s="28"/>
      <c r="AS1641" s="24"/>
      <c r="AT1641" s="24"/>
      <c r="AU1641" s="24"/>
      <c r="AV1641" s="24"/>
      <c r="AX1641" s="29"/>
    </row>
    <row r="1642" spans="2:50">
      <c r="B1642" s="19"/>
      <c r="K1642" s="21"/>
      <c r="T1642" s="28"/>
      <c r="AS1642" s="24"/>
      <c r="AT1642" s="24"/>
      <c r="AU1642" s="24"/>
      <c r="AV1642" s="24"/>
      <c r="AX1642" s="29"/>
    </row>
    <row r="1643" spans="2:50">
      <c r="B1643" s="19"/>
      <c r="K1643" s="21"/>
      <c r="T1643" s="28"/>
      <c r="AS1643" s="24"/>
      <c r="AT1643" s="24"/>
      <c r="AU1643" s="24"/>
      <c r="AV1643" s="24"/>
      <c r="AX1643" s="29"/>
    </row>
    <row r="1644" spans="2:50">
      <c r="B1644" s="19"/>
      <c r="K1644" s="21"/>
      <c r="T1644" s="28"/>
      <c r="AS1644" s="24"/>
      <c r="AT1644" s="24"/>
      <c r="AU1644" s="24"/>
      <c r="AV1644" s="24"/>
      <c r="AX1644" s="29"/>
    </row>
    <row r="1645" spans="2:50">
      <c r="B1645" s="19"/>
      <c r="K1645" s="21"/>
      <c r="T1645" s="28"/>
      <c r="AS1645" s="24"/>
      <c r="AT1645" s="24"/>
      <c r="AU1645" s="24"/>
      <c r="AV1645" s="24"/>
      <c r="AX1645" s="29"/>
    </row>
    <row r="1646" spans="2:50">
      <c r="B1646" s="19"/>
      <c r="K1646" s="21"/>
      <c r="T1646" s="28"/>
      <c r="AS1646" s="24"/>
      <c r="AT1646" s="24"/>
      <c r="AU1646" s="24"/>
      <c r="AV1646" s="24"/>
      <c r="AX1646" s="29"/>
    </row>
    <row r="1647" spans="2:50">
      <c r="B1647" s="19"/>
      <c r="K1647" s="21"/>
      <c r="T1647" s="28"/>
      <c r="AS1647" s="24"/>
      <c r="AT1647" s="24"/>
      <c r="AU1647" s="24"/>
      <c r="AV1647" s="24"/>
      <c r="AX1647" s="29"/>
    </row>
    <row r="1648" spans="2:50">
      <c r="B1648" s="19"/>
      <c r="K1648" s="21"/>
      <c r="T1648" s="28"/>
      <c r="AS1648" s="24"/>
      <c r="AT1648" s="24"/>
      <c r="AU1648" s="24"/>
      <c r="AV1648" s="24"/>
      <c r="AX1648" s="29"/>
    </row>
    <row r="1649" spans="2:50">
      <c r="B1649" s="19"/>
      <c r="K1649" s="21"/>
      <c r="T1649" s="28"/>
      <c r="AS1649" s="24"/>
      <c r="AT1649" s="24"/>
      <c r="AU1649" s="24"/>
      <c r="AV1649" s="24"/>
      <c r="AX1649" s="29"/>
    </row>
    <row r="1650" spans="2:50">
      <c r="B1650" s="19"/>
      <c r="K1650" s="21"/>
      <c r="T1650" s="28"/>
      <c r="AS1650" s="24"/>
      <c r="AT1650" s="24"/>
      <c r="AU1650" s="24"/>
      <c r="AV1650" s="24"/>
      <c r="AX1650" s="29"/>
    </row>
    <row r="1651" spans="2:50">
      <c r="B1651" s="19"/>
      <c r="K1651" s="21"/>
      <c r="T1651" s="28"/>
      <c r="AS1651" s="24"/>
      <c r="AT1651" s="24"/>
      <c r="AU1651" s="24"/>
      <c r="AV1651" s="24"/>
      <c r="AX1651" s="29"/>
    </row>
    <row r="1652" spans="2:50">
      <c r="B1652" s="19"/>
      <c r="K1652" s="21"/>
      <c r="T1652" s="28"/>
      <c r="AS1652" s="24"/>
      <c r="AT1652" s="24"/>
      <c r="AU1652" s="24"/>
      <c r="AV1652" s="24"/>
      <c r="AX1652" s="29"/>
    </row>
    <row r="1653" spans="2:50">
      <c r="B1653" s="19"/>
      <c r="K1653" s="21"/>
      <c r="T1653" s="28"/>
      <c r="AS1653" s="24"/>
      <c r="AT1653" s="24"/>
      <c r="AU1653" s="24"/>
      <c r="AV1653" s="24"/>
      <c r="AX1653" s="29"/>
    </row>
    <row r="1654" spans="2:50">
      <c r="B1654" s="33"/>
      <c r="K1654" s="21"/>
      <c r="T1654" s="28"/>
      <c r="AS1654" s="24"/>
      <c r="AT1654" s="24"/>
      <c r="AU1654" s="24"/>
      <c r="AV1654" s="24"/>
      <c r="AX1654" s="29"/>
    </row>
    <row r="1655" spans="2:50">
      <c r="B1655" s="19"/>
      <c r="K1655" s="21"/>
      <c r="T1655" s="28"/>
      <c r="AS1655" s="24"/>
      <c r="AT1655" s="24"/>
      <c r="AU1655" s="24"/>
      <c r="AV1655" s="24"/>
      <c r="AX1655" s="29"/>
    </row>
    <row r="1656" spans="2:50">
      <c r="B1656" s="19"/>
      <c r="K1656" s="21"/>
      <c r="T1656" s="28"/>
      <c r="AS1656" s="24"/>
      <c r="AT1656" s="24"/>
      <c r="AU1656" s="24"/>
      <c r="AV1656" s="24"/>
      <c r="AX1656" s="29"/>
    </row>
    <row r="1657" spans="2:50">
      <c r="B1657" s="19"/>
      <c r="K1657" s="21"/>
      <c r="T1657" s="28"/>
      <c r="AS1657" s="24"/>
      <c r="AT1657" s="24"/>
      <c r="AU1657" s="24"/>
      <c r="AV1657" s="24"/>
      <c r="AX1657" s="29"/>
    </row>
    <row r="1658" spans="2:50">
      <c r="B1658" s="19"/>
      <c r="K1658" s="21"/>
      <c r="T1658" s="28"/>
      <c r="AS1658" s="24"/>
      <c r="AT1658" s="24"/>
      <c r="AU1658" s="24"/>
      <c r="AV1658" s="24"/>
      <c r="AX1658" s="29"/>
    </row>
    <row r="1659" spans="2:50">
      <c r="B1659" s="19"/>
      <c r="K1659" s="21"/>
      <c r="T1659" s="28"/>
      <c r="AS1659" s="24"/>
      <c r="AT1659" s="24"/>
      <c r="AU1659" s="24"/>
      <c r="AV1659" s="24"/>
      <c r="AX1659" s="29"/>
    </row>
    <row r="1660" spans="2:50">
      <c r="B1660" s="19"/>
      <c r="K1660" s="21"/>
      <c r="T1660" s="28"/>
      <c r="AS1660" s="24"/>
      <c r="AT1660" s="24"/>
      <c r="AU1660" s="24"/>
      <c r="AV1660" s="24"/>
      <c r="AX1660" s="29"/>
    </row>
    <row r="1661" spans="2:50">
      <c r="B1661" s="19"/>
      <c r="K1661" s="21"/>
      <c r="AS1661" s="24"/>
      <c r="AT1661" s="24"/>
      <c r="AU1661" s="24"/>
      <c r="AV1661" s="24"/>
      <c r="AX1661" s="29"/>
    </row>
    <row r="1662" spans="2:50">
      <c r="B1662" s="19"/>
      <c r="K1662" s="21"/>
      <c r="T1662" s="28"/>
      <c r="AS1662" s="24"/>
      <c r="AT1662" s="24"/>
      <c r="AU1662" s="24"/>
      <c r="AV1662" s="24"/>
      <c r="AX1662" s="29"/>
    </row>
    <row r="1663" spans="2:50">
      <c r="B1663" s="19"/>
      <c r="K1663" s="21"/>
      <c r="T1663" s="28"/>
      <c r="AS1663" s="24"/>
      <c r="AT1663" s="24"/>
      <c r="AU1663" s="24"/>
      <c r="AV1663" s="24"/>
      <c r="AX1663" s="29"/>
    </row>
    <row r="1664" spans="2:50">
      <c r="B1664" s="19"/>
      <c r="K1664" s="21"/>
      <c r="T1664" s="28"/>
      <c r="AS1664" s="24"/>
      <c r="AT1664" s="24"/>
      <c r="AU1664" s="24"/>
      <c r="AV1664" s="24"/>
      <c r="AX1664" s="29"/>
    </row>
    <row r="1665" spans="2:50">
      <c r="B1665" s="19"/>
      <c r="K1665" s="21"/>
      <c r="T1665" s="28"/>
      <c r="AS1665" s="24"/>
      <c r="AT1665" s="24"/>
      <c r="AU1665" s="24"/>
      <c r="AV1665" s="24"/>
      <c r="AX1665" s="29"/>
    </row>
    <row r="1666" spans="2:50">
      <c r="B1666" s="19"/>
      <c r="K1666" s="21"/>
      <c r="T1666" s="28"/>
      <c r="AS1666" s="24"/>
      <c r="AT1666" s="24"/>
      <c r="AU1666" s="24"/>
      <c r="AV1666" s="24"/>
      <c r="AX1666" s="29"/>
    </row>
    <row r="1667" spans="2:50">
      <c r="B1667" s="33"/>
      <c r="K1667" s="21"/>
      <c r="T1667" s="28"/>
      <c r="AS1667" s="24"/>
      <c r="AT1667" s="24"/>
      <c r="AU1667" s="24"/>
      <c r="AV1667" s="24"/>
      <c r="AX1667" s="29"/>
    </row>
    <row r="1668" spans="2:50">
      <c r="B1668" s="19"/>
      <c r="K1668" s="21"/>
      <c r="T1668" s="28"/>
      <c r="AS1668" s="24"/>
      <c r="AT1668" s="24"/>
      <c r="AU1668" s="24"/>
      <c r="AV1668" s="24"/>
      <c r="AX1668" s="29"/>
    </row>
    <row r="1669" spans="2:50">
      <c r="B1669" s="19"/>
      <c r="K1669" s="21"/>
      <c r="T1669" s="28"/>
      <c r="AS1669" s="24"/>
      <c r="AT1669" s="24"/>
      <c r="AU1669" s="24"/>
      <c r="AV1669" s="24"/>
      <c r="AX1669" s="29"/>
    </row>
    <row r="1670" spans="2:50">
      <c r="B1670" s="19"/>
      <c r="K1670" s="21"/>
      <c r="T1670" s="28"/>
      <c r="AS1670" s="24"/>
      <c r="AT1670" s="24"/>
      <c r="AU1670" s="24"/>
      <c r="AV1670" s="24"/>
      <c r="AX1670" s="29"/>
    </row>
    <row r="1671" spans="2:50">
      <c r="B1671" s="19"/>
      <c r="K1671" s="21"/>
      <c r="T1671" s="28"/>
      <c r="AS1671" s="24"/>
      <c r="AT1671" s="24"/>
      <c r="AU1671" s="24"/>
      <c r="AV1671" s="24"/>
      <c r="AX1671" s="29"/>
    </row>
    <row r="1672" spans="2:50">
      <c r="B1672" s="19"/>
      <c r="K1672" s="21"/>
      <c r="T1672" s="28"/>
      <c r="AS1672" s="24"/>
      <c r="AT1672" s="24"/>
      <c r="AU1672" s="24"/>
      <c r="AV1672" s="24"/>
      <c r="AX1672" s="29"/>
    </row>
    <row r="1673" spans="2:50">
      <c r="B1673" s="19"/>
      <c r="K1673" s="21"/>
      <c r="T1673" s="28"/>
      <c r="AS1673" s="24"/>
      <c r="AT1673" s="24"/>
      <c r="AU1673" s="24"/>
      <c r="AV1673" s="24"/>
      <c r="AX1673" s="29"/>
    </row>
    <row r="1674" spans="2:50">
      <c r="B1674" s="19"/>
      <c r="K1674" s="21"/>
      <c r="T1674" s="28"/>
      <c r="AS1674" s="24"/>
      <c r="AT1674" s="24"/>
      <c r="AU1674" s="24"/>
      <c r="AV1674" s="24"/>
      <c r="AX1674" s="29"/>
    </row>
    <row r="1675" spans="2:50">
      <c r="B1675" s="19"/>
      <c r="K1675" s="21"/>
      <c r="T1675" s="28"/>
      <c r="AS1675" s="24"/>
      <c r="AT1675" s="24"/>
      <c r="AU1675" s="24"/>
      <c r="AV1675" s="24"/>
      <c r="AX1675" s="29"/>
    </row>
    <row r="1676" spans="2:50">
      <c r="B1676" s="19"/>
      <c r="K1676" s="21"/>
      <c r="T1676" s="28"/>
      <c r="AS1676" s="24"/>
      <c r="AT1676" s="24"/>
      <c r="AU1676" s="24"/>
      <c r="AV1676" s="24"/>
      <c r="AX1676" s="29"/>
    </row>
    <row r="1677" spans="2:50">
      <c r="B1677" s="33"/>
      <c r="K1677" s="21"/>
      <c r="T1677" s="28"/>
      <c r="AS1677" s="24"/>
      <c r="AT1677" s="24"/>
      <c r="AU1677" s="24"/>
      <c r="AV1677" s="24"/>
      <c r="AX1677" s="29"/>
    </row>
    <row r="1678" spans="2:50">
      <c r="B1678" s="19"/>
      <c r="K1678" s="21"/>
      <c r="T1678" s="28"/>
      <c r="AS1678" s="24"/>
      <c r="AT1678" s="24"/>
      <c r="AU1678" s="24"/>
      <c r="AV1678" s="24"/>
      <c r="AX1678" s="29"/>
    </row>
    <row r="1679" spans="2:50">
      <c r="B1679" s="19"/>
      <c r="K1679" s="21"/>
      <c r="T1679" s="28"/>
      <c r="AS1679" s="24"/>
      <c r="AT1679" s="24"/>
      <c r="AU1679" s="24"/>
      <c r="AV1679" s="24"/>
      <c r="AX1679" s="29"/>
    </row>
    <row r="1680" spans="2:50">
      <c r="B1680" s="19"/>
      <c r="K1680" s="21"/>
      <c r="T1680" s="28"/>
      <c r="AS1680" s="24"/>
      <c r="AT1680" s="24"/>
      <c r="AU1680" s="24"/>
      <c r="AV1680" s="24"/>
      <c r="AX1680" s="29"/>
    </row>
    <row r="1681" spans="2:50">
      <c r="B1681" s="19"/>
      <c r="K1681" s="21"/>
      <c r="T1681" s="28"/>
      <c r="AS1681" s="24"/>
      <c r="AT1681" s="24"/>
      <c r="AU1681" s="24"/>
      <c r="AV1681" s="24"/>
      <c r="AX1681" s="29"/>
    </row>
    <row r="1682" spans="2:50">
      <c r="B1682" s="19"/>
      <c r="K1682" s="21"/>
      <c r="T1682" s="28"/>
      <c r="AS1682" s="24"/>
      <c r="AT1682" s="24"/>
      <c r="AU1682" s="24"/>
      <c r="AV1682" s="24"/>
      <c r="AX1682" s="29"/>
    </row>
    <row r="1683" spans="2:50">
      <c r="B1683" s="19"/>
      <c r="K1683" s="21"/>
      <c r="T1683" s="28"/>
      <c r="AS1683" s="24"/>
      <c r="AT1683" s="24"/>
      <c r="AU1683" s="24"/>
      <c r="AV1683" s="24"/>
      <c r="AX1683" s="29"/>
    </row>
    <row r="1684" spans="2:50">
      <c r="B1684" s="19"/>
      <c r="K1684" s="21"/>
      <c r="T1684" s="28"/>
      <c r="AS1684" s="24"/>
      <c r="AT1684" s="24"/>
      <c r="AU1684" s="24"/>
      <c r="AV1684" s="24"/>
      <c r="AX1684" s="29"/>
    </row>
    <row r="1685" spans="2:50">
      <c r="B1685" s="19"/>
      <c r="K1685" s="21"/>
      <c r="T1685" s="28"/>
      <c r="AS1685" s="24"/>
      <c r="AT1685" s="24"/>
      <c r="AU1685" s="24"/>
      <c r="AV1685" s="24"/>
      <c r="AX1685" s="29"/>
    </row>
    <row r="1686" spans="2:50">
      <c r="B1686" s="19"/>
      <c r="K1686" s="21"/>
      <c r="T1686" s="28"/>
      <c r="AS1686" s="24"/>
      <c r="AT1686" s="24"/>
      <c r="AU1686" s="24"/>
      <c r="AV1686" s="24"/>
      <c r="AX1686" s="29"/>
    </row>
    <row r="1687" spans="2:50">
      <c r="B1687" s="19"/>
      <c r="K1687" s="21"/>
      <c r="T1687" s="28"/>
      <c r="AS1687" s="24"/>
      <c r="AT1687" s="24"/>
      <c r="AU1687" s="24"/>
      <c r="AV1687" s="24"/>
      <c r="AX1687" s="29"/>
    </row>
    <row r="1688" spans="2:50">
      <c r="B1688" s="19"/>
      <c r="K1688" s="21"/>
      <c r="T1688" s="28"/>
      <c r="AS1688" s="24"/>
      <c r="AT1688" s="24"/>
      <c r="AU1688" s="24"/>
      <c r="AV1688" s="24"/>
      <c r="AX1688" s="29"/>
    </row>
    <row r="1689" spans="2:50">
      <c r="B1689" s="19"/>
      <c r="K1689" s="21"/>
      <c r="T1689" s="28"/>
      <c r="AS1689" s="24"/>
      <c r="AT1689" s="24"/>
      <c r="AU1689" s="24"/>
      <c r="AV1689" s="24"/>
      <c r="AX1689" s="29"/>
    </row>
    <row r="1690" spans="2:50">
      <c r="B1690" s="19"/>
      <c r="K1690" s="21"/>
      <c r="T1690" s="28"/>
      <c r="AS1690" s="24"/>
      <c r="AT1690" s="24"/>
      <c r="AU1690" s="24"/>
      <c r="AV1690" s="24"/>
      <c r="AX1690" s="29"/>
    </row>
    <row r="1691" spans="2:50">
      <c r="B1691" s="19"/>
      <c r="K1691" s="21"/>
      <c r="T1691" s="28"/>
      <c r="AS1691" s="24"/>
      <c r="AT1691" s="24"/>
      <c r="AU1691" s="24"/>
      <c r="AV1691" s="24"/>
      <c r="AX1691" s="29"/>
    </row>
    <row r="1692" spans="2:50">
      <c r="B1692" s="19"/>
      <c r="K1692" s="21"/>
      <c r="T1692" s="28"/>
      <c r="AS1692" s="24"/>
      <c r="AT1692" s="24"/>
      <c r="AU1692" s="24"/>
      <c r="AV1692" s="24"/>
      <c r="AX1692" s="29"/>
    </row>
    <row r="1693" spans="2:50">
      <c r="B1693" s="19"/>
      <c r="K1693" s="21"/>
      <c r="T1693" s="28"/>
      <c r="AS1693" s="24"/>
      <c r="AT1693" s="24"/>
      <c r="AU1693" s="24"/>
      <c r="AV1693" s="24"/>
      <c r="AX1693" s="29"/>
    </row>
    <row r="1694" spans="2:50">
      <c r="B1694" s="19"/>
      <c r="K1694" s="21"/>
      <c r="T1694" s="28"/>
      <c r="AS1694" s="24"/>
      <c r="AT1694" s="24"/>
      <c r="AU1694" s="24"/>
      <c r="AV1694" s="24"/>
      <c r="AX1694" s="29"/>
    </row>
    <row r="1695" spans="2:50">
      <c r="B1695" s="19"/>
      <c r="K1695" s="21"/>
      <c r="T1695" s="28"/>
      <c r="AS1695" s="24"/>
      <c r="AT1695" s="24"/>
      <c r="AU1695" s="24"/>
      <c r="AV1695" s="24"/>
      <c r="AX1695" s="29"/>
    </row>
    <row r="1696" spans="2:50">
      <c r="B1696" s="19"/>
      <c r="K1696" s="21"/>
      <c r="T1696" s="28"/>
      <c r="AS1696" s="24"/>
      <c r="AT1696" s="24"/>
      <c r="AU1696" s="24"/>
      <c r="AV1696" s="24"/>
      <c r="AX1696" s="29"/>
    </row>
    <row r="1697" spans="2:50">
      <c r="B1697" s="33"/>
      <c r="K1697" s="21"/>
      <c r="T1697" s="28"/>
      <c r="AS1697" s="24"/>
      <c r="AT1697" s="24"/>
      <c r="AU1697" s="24"/>
      <c r="AV1697" s="24"/>
      <c r="AX1697" s="29"/>
    </row>
    <row r="1698" spans="2:50">
      <c r="B1698" s="19"/>
      <c r="K1698" s="21"/>
      <c r="T1698" s="28"/>
      <c r="AS1698" s="24"/>
      <c r="AT1698" s="24"/>
      <c r="AU1698" s="24"/>
      <c r="AV1698" s="24"/>
      <c r="AX1698" s="29"/>
    </row>
    <row r="1699" spans="2:50">
      <c r="B1699" s="19"/>
      <c r="K1699" s="21"/>
      <c r="T1699" s="28"/>
      <c r="AS1699" s="24"/>
      <c r="AT1699" s="24"/>
      <c r="AU1699" s="24"/>
      <c r="AV1699" s="24"/>
      <c r="AX1699" s="29"/>
    </row>
    <row r="1700" spans="2:50">
      <c r="B1700" s="19"/>
      <c r="K1700" s="21"/>
      <c r="T1700" s="28"/>
      <c r="AS1700" s="24"/>
      <c r="AT1700" s="24"/>
      <c r="AU1700" s="24"/>
      <c r="AV1700" s="24"/>
      <c r="AX1700" s="29"/>
    </row>
    <row r="1701" spans="2:50">
      <c r="B1701" s="19"/>
      <c r="K1701" s="21"/>
      <c r="T1701" s="28"/>
      <c r="AS1701" s="24"/>
      <c r="AT1701" s="24"/>
      <c r="AU1701" s="24"/>
      <c r="AV1701" s="24"/>
      <c r="AX1701" s="29"/>
    </row>
    <row r="1702" spans="2:50">
      <c r="B1702" s="19"/>
      <c r="K1702" s="21"/>
      <c r="T1702" s="28"/>
      <c r="AS1702" s="24"/>
      <c r="AT1702" s="24"/>
      <c r="AU1702" s="24"/>
      <c r="AV1702" s="24"/>
      <c r="AX1702" s="29"/>
    </row>
    <row r="1703" spans="2:50">
      <c r="B1703" s="19"/>
      <c r="K1703" s="21"/>
      <c r="T1703" s="28"/>
      <c r="AS1703" s="24"/>
      <c r="AT1703" s="24"/>
      <c r="AU1703" s="24"/>
      <c r="AV1703" s="24"/>
      <c r="AX1703" s="29"/>
    </row>
    <row r="1704" spans="2:50">
      <c r="B1704" s="19"/>
      <c r="K1704" s="21"/>
      <c r="T1704" s="28"/>
      <c r="AS1704" s="24"/>
      <c r="AT1704" s="24"/>
      <c r="AU1704" s="24"/>
      <c r="AV1704" s="24"/>
      <c r="AX1704" s="29"/>
    </row>
    <row r="1705" spans="2:50">
      <c r="B1705" s="19"/>
      <c r="K1705" s="21"/>
      <c r="T1705" s="28"/>
      <c r="AS1705" s="24"/>
      <c r="AT1705" s="24"/>
      <c r="AU1705" s="24"/>
      <c r="AV1705" s="24"/>
      <c r="AX1705" s="29"/>
    </row>
    <row r="1706" spans="2:50">
      <c r="B1706" s="19"/>
      <c r="K1706" s="21"/>
      <c r="T1706" s="28"/>
      <c r="AS1706" s="24"/>
      <c r="AT1706" s="24"/>
      <c r="AU1706" s="24"/>
      <c r="AV1706" s="24"/>
      <c r="AX1706" s="29"/>
    </row>
    <row r="1707" spans="2:50">
      <c r="B1707" s="19"/>
      <c r="K1707" s="21"/>
      <c r="T1707" s="28"/>
      <c r="AS1707" s="24"/>
      <c r="AT1707" s="24"/>
      <c r="AU1707" s="24"/>
      <c r="AV1707" s="24"/>
      <c r="AX1707" s="29"/>
    </row>
    <row r="1708" spans="2:50">
      <c r="B1708" s="19"/>
      <c r="K1708" s="21"/>
      <c r="T1708" s="28"/>
      <c r="AS1708" s="24"/>
      <c r="AT1708" s="24"/>
      <c r="AU1708" s="24"/>
      <c r="AV1708" s="24"/>
      <c r="AX1708" s="29"/>
    </row>
    <row r="1709" spans="2:50">
      <c r="B1709" s="19"/>
      <c r="K1709" s="21"/>
      <c r="T1709" s="28"/>
      <c r="AS1709" s="24"/>
      <c r="AT1709" s="24"/>
      <c r="AU1709" s="24"/>
      <c r="AV1709" s="24"/>
      <c r="AX1709" s="29"/>
    </row>
    <row r="1710" spans="2:50">
      <c r="B1710" s="19"/>
      <c r="K1710" s="21"/>
      <c r="T1710" s="28"/>
      <c r="AS1710" s="24"/>
      <c r="AT1710" s="24"/>
      <c r="AU1710" s="24"/>
      <c r="AV1710" s="24"/>
      <c r="AX1710" s="29"/>
    </row>
    <row r="1711" spans="2:50">
      <c r="B1711" s="19"/>
      <c r="K1711" s="21"/>
      <c r="T1711" s="28"/>
      <c r="AS1711" s="24"/>
      <c r="AT1711" s="24"/>
      <c r="AU1711" s="24"/>
      <c r="AV1711" s="24"/>
      <c r="AX1711" s="29"/>
    </row>
    <row r="1712" spans="2:50">
      <c r="B1712" s="19"/>
      <c r="K1712" s="21"/>
      <c r="T1712" s="28"/>
      <c r="AS1712" s="24"/>
      <c r="AT1712" s="24"/>
      <c r="AU1712" s="24"/>
      <c r="AV1712" s="24"/>
      <c r="AX1712" s="29"/>
    </row>
    <row r="1713" spans="2:50">
      <c r="B1713" s="19"/>
      <c r="K1713" s="21"/>
      <c r="T1713" s="28"/>
      <c r="AS1713" s="24"/>
      <c r="AT1713" s="24"/>
      <c r="AU1713" s="24"/>
      <c r="AV1713" s="24"/>
      <c r="AX1713" s="29"/>
    </row>
    <row r="1714" spans="2:50">
      <c r="B1714" s="19"/>
      <c r="K1714" s="21"/>
      <c r="T1714" s="28"/>
      <c r="AS1714" s="24"/>
      <c r="AT1714" s="24"/>
      <c r="AU1714" s="24"/>
      <c r="AV1714" s="24"/>
      <c r="AX1714" s="29"/>
    </row>
    <row r="1715" spans="2:50">
      <c r="B1715" s="19"/>
      <c r="K1715" s="21"/>
      <c r="T1715" s="28"/>
      <c r="AS1715" s="24"/>
      <c r="AT1715" s="24"/>
      <c r="AU1715" s="24"/>
      <c r="AV1715" s="24"/>
      <c r="AX1715" s="29"/>
    </row>
    <row r="1716" spans="2:50">
      <c r="B1716" s="19"/>
      <c r="K1716" s="21"/>
      <c r="T1716" s="28"/>
      <c r="AS1716" s="24"/>
      <c r="AT1716" s="24"/>
      <c r="AU1716" s="24"/>
      <c r="AV1716" s="24"/>
      <c r="AX1716" s="29"/>
    </row>
    <row r="1717" spans="2:50">
      <c r="B1717" s="19"/>
      <c r="K1717" s="21"/>
      <c r="T1717" s="28"/>
      <c r="AS1717" s="24"/>
      <c r="AT1717" s="24"/>
      <c r="AU1717" s="24"/>
      <c r="AV1717" s="24"/>
      <c r="AX1717" s="29"/>
    </row>
    <row r="1718" spans="2:50">
      <c r="B1718" s="19"/>
      <c r="K1718" s="21"/>
      <c r="T1718" s="28"/>
      <c r="AS1718" s="24"/>
      <c r="AT1718" s="24"/>
      <c r="AU1718" s="24"/>
      <c r="AV1718" s="24"/>
      <c r="AX1718" s="29"/>
    </row>
    <row r="1719" spans="2:50">
      <c r="B1719" s="19"/>
      <c r="K1719" s="21"/>
      <c r="T1719" s="28"/>
      <c r="AS1719" s="24"/>
      <c r="AT1719" s="24"/>
      <c r="AU1719" s="24"/>
      <c r="AV1719" s="24"/>
      <c r="AX1719" s="29"/>
    </row>
    <row r="1720" spans="2:50">
      <c r="B1720" s="19"/>
      <c r="K1720" s="21"/>
      <c r="T1720" s="28"/>
      <c r="AS1720" s="24"/>
      <c r="AT1720" s="24"/>
      <c r="AU1720" s="24"/>
      <c r="AV1720" s="24"/>
      <c r="AX1720" s="29"/>
    </row>
    <row r="1721" spans="2:50">
      <c r="B1721" s="19"/>
      <c r="K1721" s="21"/>
      <c r="T1721" s="28"/>
      <c r="AS1721" s="24"/>
      <c r="AT1721" s="24"/>
      <c r="AU1721" s="24"/>
      <c r="AV1721" s="24"/>
      <c r="AX1721" s="29"/>
    </row>
    <row r="1722" spans="2:50">
      <c r="B1722" s="19"/>
      <c r="K1722" s="21"/>
      <c r="T1722" s="28"/>
      <c r="AS1722" s="24"/>
      <c r="AT1722" s="24"/>
      <c r="AU1722" s="24"/>
      <c r="AV1722" s="24"/>
      <c r="AX1722" s="29"/>
    </row>
    <row r="1723" spans="2:50">
      <c r="B1723" s="19"/>
      <c r="K1723" s="21"/>
      <c r="T1723" s="28"/>
      <c r="AS1723" s="24"/>
      <c r="AT1723" s="24"/>
      <c r="AU1723" s="24"/>
      <c r="AV1723" s="24"/>
      <c r="AX1723" s="29"/>
    </row>
    <row r="1724" spans="2:50">
      <c r="B1724" s="19"/>
      <c r="K1724" s="21"/>
      <c r="T1724" s="28"/>
      <c r="AS1724" s="24"/>
      <c r="AT1724" s="24"/>
      <c r="AU1724" s="24"/>
      <c r="AV1724" s="24"/>
      <c r="AX1724" s="29"/>
    </row>
    <row r="1725" spans="2:50">
      <c r="B1725" s="19"/>
      <c r="K1725" s="21"/>
      <c r="T1725" s="28"/>
      <c r="AS1725" s="24"/>
      <c r="AT1725" s="24"/>
      <c r="AU1725" s="24"/>
      <c r="AV1725" s="24"/>
      <c r="AX1725" s="29"/>
    </row>
    <row r="1726" spans="2:50">
      <c r="B1726" s="19"/>
      <c r="K1726" s="21"/>
      <c r="T1726" s="28"/>
      <c r="AS1726" s="24"/>
      <c r="AT1726" s="24"/>
      <c r="AU1726" s="24"/>
      <c r="AV1726" s="24"/>
      <c r="AX1726" s="29"/>
    </row>
    <row r="1727" spans="2:50">
      <c r="B1727" s="19"/>
      <c r="K1727" s="21"/>
      <c r="T1727" s="28"/>
      <c r="AS1727" s="24"/>
      <c r="AT1727" s="24"/>
      <c r="AU1727" s="24"/>
      <c r="AV1727" s="24"/>
      <c r="AX1727" s="29"/>
    </row>
    <row r="1728" spans="2:50">
      <c r="B1728" s="19"/>
      <c r="K1728" s="21"/>
      <c r="T1728" s="28"/>
      <c r="AS1728" s="24"/>
      <c r="AT1728" s="24"/>
      <c r="AU1728" s="24"/>
      <c r="AV1728" s="24"/>
      <c r="AX1728" s="29"/>
    </row>
    <row r="1729" spans="2:50">
      <c r="B1729" s="19"/>
      <c r="K1729" s="21"/>
      <c r="T1729" s="28"/>
      <c r="AS1729" s="24"/>
      <c r="AT1729" s="24"/>
      <c r="AU1729" s="24"/>
      <c r="AV1729" s="24"/>
      <c r="AX1729" s="29"/>
    </row>
    <row r="1730" spans="2:50">
      <c r="B1730" s="33"/>
      <c r="K1730" s="21"/>
      <c r="T1730" s="28"/>
      <c r="AS1730" s="24"/>
      <c r="AT1730" s="24"/>
      <c r="AU1730" s="24"/>
      <c r="AV1730" s="24"/>
      <c r="AX1730" s="29"/>
    </row>
    <row r="1731" spans="2:50">
      <c r="B1731" s="19"/>
      <c r="K1731" s="21"/>
      <c r="T1731" s="28"/>
      <c r="AS1731" s="24"/>
      <c r="AT1731" s="24"/>
      <c r="AU1731" s="24"/>
      <c r="AV1731" s="24"/>
      <c r="AX1731" s="29"/>
    </row>
    <row r="1732" spans="2:50">
      <c r="B1732" s="19"/>
      <c r="K1732" s="21"/>
      <c r="T1732" s="28"/>
      <c r="AS1732" s="24"/>
      <c r="AT1732" s="24"/>
      <c r="AU1732" s="24"/>
      <c r="AV1732" s="24"/>
      <c r="AX1732" s="29"/>
    </row>
    <row r="1733" spans="2:50">
      <c r="B1733" s="19"/>
      <c r="K1733" s="21"/>
      <c r="T1733" s="28"/>
      <c r="AS1733" s="24"/>
      <c r="AT1733" s="24"/>
      <c r="AU1733" s="24"/>
      <c r="AV1733" s="24"/>
      <c r="AX1733" s="29"/>
    </row>
    <row r="1734" spans="2:50">
      <c r="B1734" s="19"/>
      <c r="K1734" s="21"/>
      <c r="T1734" s="28"/>
      <c r="AS1734" s="24"/>
      <c r="AT1734" s="24"/>
      <c r="AU1734" s="24"/>
      <c r="AV1734" s="24"/>
      <c r="AX1734" s="29"/>
    </row>
    <row r="1735" spans="2:50">
      <c r="B1735" s="19"/>
      <c r="K1735" s="21"/>
      <c r="T1735" s="28"/>
      <c r="AS1735" s="24"/>
      <c r="AT1735" s="24"/>
      <c r="AU1735" s="24"/>
      <c r="AV1735" s="24"/>
      <c r="AX1735" s="29"/>
    </row>
    <row r="1736" spans="2:50">
      <c r="B1736" s="19"/>
      <c r="K1736" s="21"/>
      <c r="T1736" s="28"/>
      <c r="AS1736" s="24"/>
      <c r="AT1736" s="24"/>
      <c r="AU1736" s="24"/>
      <c r="AV1736" s="24"/>
      <c r="AX1736" s="29"/>
    </row>
    <row r="1737" spans="2:50">
      <c r="B1737" s="19"/>
      <c r="K1737" s="21"/>
      <c r="T1737" s="28"/>
      <c r="AS1737" s="24"/>
      <c r="AT1737" s="24"/>
      <c r="AU1737" s="24"/>
      <c r="AV1737" s="24"/>
      <c r="AX1737" s="29"/>
    </row>
    <row r="1738" spans="2:50">
      <c r="B1738" s="19"/>
      <c r="K1738" s="21"/>
      <c r="T1738" s="28"/>
      <c r="AS1738" s="24"/>
      <c r="AT1738" s="24"/>
      <c r="AU1738" s="24"/>
      <c r="AV1738" s="24"/>
      <c r="AX1738" s="29"/>
    </row>
    <row r="1739" spans="2:50">
      <c r="B1739" s="19"/>
      <c r="K1739" s="21"/>
      <c r="T1739" s="28"/>
      <c r="AS1739" s="24"/>
      <c r="AT1739" s="24"/>
      <c r="AU1739" s="24"/>
      <c r="AV1739" s="24"/>
      <c r="AX1739" s="29"/>
    </row>
    <row r="1740" spans="2:50">
      <c r="B1740" s="19"/>
      <c r="K1740" s="21"/>
      <c r="T1740" s="28"/>
      <c r="AS1740" s="24"/>
      <c r="AT1740" s="24"/>
      <c r="AU1740" s="24"/>
      <c r="AV1740" s="24"/>
      <c r="AX1740" s="29"/>
    </row>
    <row r="1741" spans="2:50">
      <c r="B1741" s="19"/>
      <c r="K1741" s="21"/>
      <c r="T1741" s="28"/>
      <c r="AS1741" s="24"/>
      <c r="AT1741" s="24"/>
      <c r="AU1741" s="24"/>
      <c r="AV1741" s="24"/>
      <c r="AX1741" s="29"/>
    </row>
    <row r="1742" spans="2:50">
      <c r="B1742" s="19"/>
      <c r="K1742" s="21"/>
      <c r="T1742" s="28"/>
      <c r="AS1742" s="24"/>
      <c r="AT1742" s="24"/>
      <c r="AU1742" s="24"/>
      <c r="AV1742" s="24"/>
      <c r="AX1742" s="29"/>
    </row>
    <row r="1743" spans="2:50">
      <c r="B1743" s="19"/>
      <c r="K1743" s="21"/>
      <c r="T1743" s="28"/>
      <c r="AS1743" s="24"/>
      <c r="AT1743" s="24"/>
      <c r="AU1743" s="24"/>
      <c r="AV1743" s="24"/>
      <c r="AX1743" s="29"/>
    </row>
    <row r="1744" spans="2:50">
      <c r="B1744" s="19"/>
      <c r="K1744" s="21"/>
      <c r="T1744" s="28"/>
      <c r="AS1744" s="24"/>
      <c r="AT1744" s="24"/>
      <c r="AU1744" s="24"/>
      <c r="AV1744" s="24"/>
      <c r="AX1744" s="29"/>
    </row>
    <row r="1745" spans="2:50">
      <c r="B1745" s="19"/>
      <c r="K1745" s="21"/>
      <c r="T1745" s="28"/>
      <c r="AS1745" s="24"/>
      <c r="AT1745" s="24"/>
      <c r="AU1745" s="24"/>
      <c r="AV1745" s="24"/>
      <c r="AX1745" s="29"/>
    </row>
    <row r="1746" spans="2:50">
      <c r="B1746" s="19"/>
      <c r="K1746" s="21"/>
      <c r="T1746" s="28"/>
      <c r="AS1746" s="24"/>
      <c r="AT1746" s="24"/>
      <c r="AU1746" s="24"/>
      <c r="AV1746" s="24"/>
      <c r="AX1746" s="29"/>
    </row>
    <row r="1747" spans="2:50">
      <c r="B1747" s="19"/>
      <c r="K1747" s="21"/>
      <c r="T1747" s="28"/>
      <c r="AS1747" s="24"/>
      <c r="AT1747" s="24"/>
      <c r="AU1747" s="24"/>
      <c r="AV1747" s="24"/>
      <c r="AX1747" s="29"/>
    </row>
    <row r="1748" spans="2:50">
      <c r="B1748" s="19"/>
      <c r="K1748" s="21"/>
      <c r="T1748" s="28"/>
      <c r="AS1748" s="24"/>
      <c r="AT1748" s="24"/>
      <c r="AU1748" s="24"/>
      <c r="AV1748" s="24"/>
      <c r="AX1748" s="29"/>
    </row>
    <row r="1749" spans="2:50">
      <c r="B1749" s="19"/>
      <c r="K1749" s="21"/>
      <c r="T1749" s="28"/>
      <c r="AS1749" s="24"/>
      <c r="AT1749" s="24"/>
      <c r="AU1749" s="24"/>
      <c r="AV1749" s="24"/>
      <c r="AX1749" s="29"/>
    </row>
    <row r="1750" spans="2:50">
      <c r="B1750" s="19"/>
      <c r="K1750" s="21"/>
      <c r="T1750" s="28"/>
      <c r="AS1750" s="24"/>
      <c r="AT1750" s="24"/>
      <c r="AU1750" s="24"/>
      <c r="AV1750" s="24"/>
      <c r="AX1750" s="29"/>
    </row>
    <row r="1751" spans="2:50">
      <c r="B1751" s="19"/>
      <c r="K1751" s="21"/>
      <c r="T1751" s="28"/>
      <c r="AS1751" s="24"/>
      <c r="AT1751" s="24"/>
      <c r="AU1751" s="24"/>
      <c r="AV1751" s="24"/>
      <c r="AX1751" s="29"/>
    </row>
    <row r="1752" spans="2:50">
      <c r="B1752" s="19"/>
      <c r="K1752" s="21"/>
      <c r="T1752" s="28"/>
      <c r="AS1752" s="24"/>
      <c r="AT1752" s="24"/>
      <c r="AU1752" s="24"/>
      <c r="AV1752" s="24"/>
      <c r="AX1752" s="29"/>
    </row>
    <row r="1753" spans="2:50">
      <c r="B1753" s="19"/>
      <c r="K1753" s="21"/>
      <c r="T1753" s="28"/>
      <c r="AS1753" s="24"/>
      <c r="AT1753" s="24"/>
      <c r="AU1753" s="24"/>
      <c r="AV1753" s="24"/>
      <c r="AX1753" s="29"/>
    </row>
    <row r="1754" spans="2:50">
      <c r="B1754" s="19"/>
      <c r="K1754" s="21"/>
      <c r="T1754" s="28"/>
      <c r="AS1754" s="24"/>
      <c r="AT1754" s="24"/>
      <c r="AU1754" s="24"/>
      <c r="AV1754" s="24"/>
      <c r="AX1754" s="29"/>
    </row>
    <row r="1755" spans="2:50">
      <c r="B1755" s="19"/>
      <c r="K1755" s="21"/>
      <c r="T1755" s="28"/>
      <c r="AS1755" s="24"/>
      <c r="AT1755" s="24"/>
      <c r="AU1755" s="24"/>
      <c r="AV1755" s="24"/>
      <c r="AX1755" s="29"/>
    </row>
    <row r="1756" spans="2:50">
      <c r="B1756" s="19"/>
      <c r="K1756" s="21"/>
      <c r="T1756" s="28"/>
      <c r="AS1756" s="24"/>
      <c r="AT1756" s="24"/>
      <c r="AU1756" s="24"/>
      <c r="AV1756" s="24"/>
      <c r="AX1756" s="29"/>
    </row>
    <row r="1757" spans="2:50">
      <c r="B1757" s="19"/>
      <c r="K1757" s="21"/>
      <c r="T1757" s="28"/>
      <c r="AS1757" s="24"/>
      <c r="AT1757" s="24"/>
      <c r="AU1757" s="24"/>
      <c r="AV1757" s="24"/>
      <c r="AX1757" s="29"/>
    </row>
    <row r="1758" spans="2:50">
      <c r="B1758" s="19"/>
      <c r="K1758" s="21"/>
      <c r="T1758" s="28"/>
      <c r="AS1758" s="24"/>
      <c r="AT1758" s="24"/>
      <c r="AU1758" s="24"/>
      <c r="AV1758" s="24"/>
      <c r="AX1758" s="29"/>
    </row>
    <row r="1759" spans="2:50">
      <c r="B1759" s="19"/>
      <c r="K1759" s="21"/>
      <c r="T1759" s="28"/>
      <c r="AS1759" s="24"/>
      <c r="AT1759" s="24"/>
      <c r="AU1759" s="24"/>
      <c r="AV1759" s="24"/>
      <c r="AX1759" s="29"/>
    </row>
    <row r="1760" spans="2:50">
      <c r="B1760" s="19"/>
      <c r="K1760" s="21"/>
      <c r="T1760" s="28"/>
      <c r="AS1760" s="24"/>
      <c r="AT1760" s="24"/>
      <c r="AU1760" s="24"/>
      <c r="AV1760" s="24"/>
      <c r="AX1760" s="29"/>
    </row>
    <row r="1761" spans="2:50">
      <c r="B1761" s="19"/>
      <c r="K1761" s="21"/>
      <c r="T1761" s="28"/>
      <c r="AS1761" s="24"/>
      <c r="AT1761" s="24"/>
      <c r="AU1761" s="24"/>
      <c r="AV1761" s="24"/>
      <c r="AX1761" s="29"/>
    </row>
    <row r="1762" spans="2:50">
      <c r="B1762" s="19"/>
      <c r="K1762" s="21"/>
      <c r="T1762" s="28"/>
      <c r="AS1762" s="24"/>
      <c r="AT1762" s="24"/>
      <c r="AU1762" s="24"/>
      <c r="AV1762" s="24"/>
      <c r="AX1762" s="29"/>
    </row>
    <row r="1763" spans="2:50">
      <c r="B1763" s="19"/>
      <c r="K1763" s="21"/>
      <c r="T1763" s="28"/>
      <c r="AS1763" s="24"/>
      <c r="AT1763" s="24"/>
      <c r="AU1763" s="24"/>
      <c r="AV1763" s="24"/>
      <c r="AX1763" s="29"/>
    </row>
    <row r="1764" spans="2:50">
      <c r="B1764" s="19"/>
      <c r="K1764" s="21"/>
      <c r="T1764" s="28"/>
      <c r="AS1764" s="24"/>
      <c r="AT1764" s="24"/>
      <c r="AU1764" s="24"/>
      <c r="AV1764" s="24"/>
      <c r="AX1764" s="29"/>
    </row>
    <row r="1765" spans="2:50">
      <c r="B1765" s="19"/>
      <c r="K1765" s="21"/>
      <c r="T1765" s="28"/>
      <c r="AS1765" s="24"/>
      <c r="AT1765" s="24"/>
      <c r="AU1765" s="24"/>
      <c r="AV1765" s="24"/>
      <c r="AX1765" s="29"/>
    </row>
    <row r="1766" spans="2:50">
      <c r="B1766" s="19"/>
      <c r="K1766" s="21"/>
      <c r="T1766" s="28"/>
      <c r="AS1766" s="24"/>
      <c r="AT1766" s="24"/>
      <c r="AU1766" s="24"/>
      <c r="AV1766" s="24"/>
      <c r="AX1766" s="29"/>
    </row>
    <row r="1767" spans="2:50">
      <c r="B1767" s="19"/>
      <c r="K1767" s="21"/>
      <c r="T1767" s="28"/>
      <c r="AS1767" s="24"/>
      <c r="AT1767" s="24"/>
      <c r="AU1767" s="24"/>
      <c r="AV1767" s="24"/>
      <c r="AX1767" s="29"/>
    </row>
    <row r="1768" spans="2:50">
      <c r="B1768" s="19"/>
      <c r="K1768" s="21"/>
      <c r="T1768" s="28"/>
      <c r="AS1768" s="24"/>
      <c r="AT1768" s="24"/>
      <c r="AU1768" s="24"/>
      <c r="AV1768" s="24"/>
      <c r="AX1768" s="29"/>
    </row>
    <row r="1769" spans="2:50">
      <c r="B1769" s="19"/>
      <c r="K1769" s="21"/>
      <c r="T1769" s="28"/>
      <c r="AS1769" s="24"/>
      <c r="AT1769" s="24"/>
      <c r="AU1769" s="24"/>
      <c r="AV1769" s="24"/>
      <c r="AX1769" s="29"/>
    </row>
    <row r="1770" spans="2:50">
      <c r="B1770" s="19"/>
      <c r="K1770" s="21"/>
      <c r="T1770" s="28"/>
      <c r="AS1770" s="24"/>
      <c r="AT1770" s="24"/>
      <c r="AU1770" s="24"/>
      <c r="AV1770" s="24"/>
      <c r="AX1770" s="29"/>
    </row>
    <row r="1771" spans="2:50">
      <c r="B1771" s="19"/>
      <c r="K1771" s="21"/>
      <c r="T1771" s="28"/>
      <c r="AS1771" s="24"/>
      <c r="AT1771" s="24"/>
      <c r="AU1771" s="24"/>
      <c r="AV1771" s="24"/>
      <c r="AX1771" s="29"/>
    </row>
    <row r="1772" spans="2:50">
      <c r="B1772" s="19"/>
      <c r="K1772" s="21"/>
      <c r="T1772" s="28"/>
      <c r="AS1772" s="24"/>
      <c r="AT1772" s="24"/>
      <c r="AU1772" s="24"/>
      <c r="AV1772" s="24"/>
      <c r="AX1772" s="29"/>
    </row>
    <row r="1773" spans="2:50">
      <c r="B1773" s="19"/>
      <c r="K1773" s="21"/>
      <c r="T1773" s="28"/>
      <c r="AS1773" s="24"/>
      <c r="AT1773" s="24"/>
      <c r="AU1773" s="24"/>
      <c r="AV1773" s="24"/>
      <c r="AX1773" s="29"/>
    </row>
    <row r="1774" spans="2:50">
      <c r="B1774" s="19"/>
      <c r="K1774" s="21"/>
      <c r="T1774" s="28"/>
      <c r="AS1774" s="24"/>
      <c r="AT1774" s="24"/>
      <c r="AU1774" s="24"/>
      <c r="AV1774" s="24"/>
      <c r="AX1774" s="29"/>
    </row>
    <row r="1775" spans="2:50">
      <c r="B1775" s="19"/>
      <c r="K1775" s="21"/>
      <c r="T1775" s="28"/>
      <c r="AS1775" s="24"/>
      <c r="AT1775" s="24"/>
      <c r="AU1775" s="24"/>
      <c r="AV1775" s="24"/>
      <c r="AX1775" s="29"/>
    </row>
    <row r="1776" spans="2:50">
      <c r="B1776" s="19"/>
      <c r="K1776" s="21"/>
      <c r="T1776" s="28"/>
      <c r="AS1776" s="24"/>
      <c r="AT1776" s="24"/>
      <c r="AU1776" s="24"/>
      <c r="AV1776" s="24"/>
      <c r="AX1776" s="29"/>
    </row>
    <row r="1777" spans="2:50">
      <c r="B1777" s="19"/>
      <c r="K1777" s="21"/>
      <c r="T1777" s="28"/>
      <c r="AS1777" s="24"/>
      <c r="AT1777" s="24"/>
      <c r="AU1777" s="24"/>
      <c r="AV1777" s="24"/>
      <c r="AX1777" s="29"/>
    </row>
    <row r="1778" spans="2:50">
      <c r="B1778" s="19"/>
      <c r="K1778" s="21"/>
      <c r="T1778" s="28"/>
      <c r="AS1778" s="24"/>
      <c r="AT1778" s="24"/>
      <c r="AU1778" s="24"/>
      <c r="AV1778" s="24"/>
      <c r="AX1778" s="29"/>
    </row>
    <row r="1779" spans="2:50">
      <c r="B1779" s="19"/>
      <c r="K1779" s="21"/>
      <c r="T1779" s="28"/>
      <c r="AS1779" s="24"/>
      <c r="AT1779" s="24"/>
      <c r="AU1779" s="24"/>
      <c r="AV1779" s="24"/>
      <c r="AX1779" s="29"/>
    </row>
    <row r="1780" spans="2:50">
      <c r="B1780" s="19"/>
      <c r="K1780" s="21"/>
      <c r="T1780" s="28"/>
      <c r="AS1780" s="24"/>
      <c r="AT1780" s="24"/>
      <c r="AU1780" s="24"/>
      <c r="AV1780" s="24"/>
      <c r="AX1780" s="29"/>
    </row>
    <row r="1781" spans="2:50">
      <c r="B1781" s="19"/>
      <c r="K1781" s="21"/>
      <c r="T1781" s="28"/>
      <c r="AS1781" s="24"/>
      <c r="AT1781" s="24"/>
      <c r="AU1781" s="24"/>
      <c r="AV1781" s="24"/>
      <c r="AX1781" s="29"/>
    </row>
    <row r="1782" spans="2:50">
      <c r="B1782" s="19"/>
      <c r="K1782" s="21"/>
      <c r="T1782" s="28"/>
      <c r="AS1782" s="24"/>
      <c r="AT1782" s="24"/>
      <c r="AU1782" s="24"/>
      <c r="AV1782" s="24"/>
      <c r="AX1782" s="29"/>
    </row>
    <row r="1783" spans="2:50">
      <c r="B1783" s="19"/>
      <c r="K1783" s="21"/>
      <c r="T1783" s="28"/>
      <c r="AS1783" s="24"/>
      <c r="AT1783" s="24"/>
      <c r="AU1783" s="24"/>
      <c r="AV1783" s="24"/>
      <c r="AX1783" s="29"/>
    </row>
    <row r="1784" spans="2:50">
      <c r="B1784" s="19"/>
      <c r="K1784" s="21"/>
      <c r="T1784" s="28"/>
      <c r="AS1784" s="24"/>
      <c r="AT1784" s="24"/>
      <c r="AU1784" s="24"/>
      <c r="AV1784" s="24"/>
      <c r="AX1784" s="29"/>
    </row>
    <row r="1785" spans="2:50">
      <c r="B1785" s="19"/>
      <c r="K1785" s="21"/>
      <c r="T1785" s="28"/>
      <c r="AS1785" s="24"/>
      <c r="AT1785" s="24"/>
      <c r="AU1785" s="24"/>
      <c r="AV1785" s="24"/>
      <c r="AX1785" s="29"/>
    </row>
    <row r="1786" spans="2:50">
      <c r="B1786" s="19"/>
      <c r="K1786" s="21"/>
      <c r="T1786" s="28"/>
      <c r="AS1786" s="24"/>
      <c r="AT1786" s="24"/>
      <c r="AU1786" s="24"/>
      <c r="AV1786" s="24"/>
      <c r="AX1786" s="29"/>
    </row>
    <row r="1787" spans="2:50">
      <c r="B1787" s="19"/>
      <c r="K1787" s="21"/>
      <c r="T1787" s="28"/>
      <c r="AS1787" s="24"/>
      <c r="AT1787" s="24"/>
      <c r="AU1787" s="24"/>
      <c r="AV1787" s="24"/>
      <c r="AX1787" s="29"/>
    </row>
    <row r="1788" spans="2:50">
      <c r="B1788" s="19"/>
      <c r="K1788" s="21"/>
      <c r="T1788" s="28"/>
      <c r="AS1788" s="24"/>
      <c r="AT1788" s="24"/>
      <c r="AU1788" s="24"/>
      <c r="AV1788" s="24"/>
      <c r="AX1788" s="29"/>
    </row>
    <row r="1789" spans="2:50">
      <c r="B1789" s="19"/>
      <c r="K1789" s="21"/>
      <c r="T1789" s="28"/>
      <c r="AS1789" s="24"/>
      <c r="AT1789" s="24"/>
      <c r="AU1789" s="24"/>
      <c r="AV1789" s="24"/>
      <c r="AX1789" s="29"/>
    </row>
    <row r="1790" spans="2:50">
      <c r="B1790" s="19"/>
      <c r="K1790" s="21"/>
      <c r="T1790" s="28"/>
      <c r="AS1790" s="24"/>
      <c r="AT1790" s="24"/>
      <c r="AU1790" s="24"/>
      <c r="AV1790" s="24"/>
      <c r="AX1790" s="29"/>
    </row>
    <row r="1791" spans="2:50">
      <c r="B1791" s="19"/>
      <c r="K1791" s="21"/>
      <c r="T1791" s="28"/>
      <c r="AS1791" s="24"/>
      <c r="AT1791" s="24"/>
      <c r="AU1791" s="24"/>
      <c r="AV1791" s="24"/>
      <c r="AX1791" s="29"/>
    </row>
    <row r="1792" spans="2:50">
      <c r="B1792" s="19"/>
      <c r="K1792" s="21"/>
      <c r="T1792" s="28"/>
      <c r="AS1792" s="24"/>
      <c r="AT1792" s="24"/>
      <c r="AU1792" s="24"/>
      <c r="AV1792" s="24"/>
      <c r="AX1792" s="29"/>
    </row>
    <row r="1793" spans="2:50">
      <c r="B1793" s="19"/>
      <c r="K1793" s="21"/>
      <c r="T1793" s="28"/>
      <c r="AS1793" s="24"/>
      <c r="AT1793" s="24"/>
      <c r="AU1793" s="24"/>
      <c r="AV1793" s="24"/>
      <c r="AX1793" s="29"/>
    </row>
    <row r="1794" spans="2:50">
      <c r="B1794" s="33"/>
      <c r="K1794" s="21"/>
      <c r="T1794" s="28"/>
      <c r="AS1794" s="24"/>
      <c r="AT1794" s="24"/>
      <c r="AU1794" s="24"/>
      <c r="AV1794" s="24"/>
      <c r="AX1794" s="29"/>
    </row>
    <row r="1795" spans="2:50">
      <c r="B1795" s="19"/>
      <c r="K1795" s="21"/>
      <c r="T1795" s="28"/>
      <c r="AS1795" s="24"/>
      <c r="AT1795" s="24"/>
      <c r="AU1795" s="24"/>
      <c r="AV1795" s="24"/>
      <c r="AX1795" s="29"/>
    </row>
    <row r="1796" spans="2:50">
      <c r="B1796" s="19"/>
      <c r="K1796" s="21"/>
      <c r="T1796" s="28"/>
      <c r="AS1796" s="24"/>
      <c r="AT1796" s="24"/>
      <c r="AU1796" s="24"/>
      <c r="AV1796" s="24"/>
      <c r="AX1796" s="29"/>
    </row>
    <row r="1797" spans="2:50">
      <c r="B1797" s="19"/>
      <c r="K1797" s="21"/>
      <c r="T1797" s="28"/>
      <c r="AS1797" s="24"/>
      <c r="AT1797" s="24"/>
      <c r="AU1797" s="24"/>
      <c r="AV1797" s="24"/>
      <c r="AX1797" s="29"/>
    </row>
    <row r="1798" spans="2:50">
      <c r="B1798" s="19"/>
      <c r="K1798" s="21"/>
      <c r="T1798" s="28"/>
      <c r="AS1798" s="24"/>
      <c r="AT1798" s="24"/>
      <c r="AU1798" s="24"/>
      <c r="AV1798" s="24"/>
      <c r="AX1798" s="29"/>
    </row>
    <row r="1799" spans="2:50">
      <c r="B1799" s="19"/>
      <c r="K1799" s="21"/>
      <c r="T1799" s="28"/>
      <c r="AS1799" s="24"/>
      <c r="AT1799" s="24"/>
      <c r="AU1799" s="24"/>
      <c r="AV1799" s="24"/>
      <c r="AX1799" s="29"/>
    </row>
    <row r="1800" spans="2:50">
      <c r="B1800" s="19"/>
      <c r="K1800" s="21"/>
      <c r="T1800" s="28"/>
      <c r="AS1800" s="24"/>
      <c r="AT1800" s="24"/>
      <c r="AU1800" s="24"/>
      <c r="AV1800" s="24"/>
      <c r="AX1800" s="29"/>
    </row>
    <row r="1801" spans="2:50">
      <c r="B1801" s="19"/>
      <c r="K1801" s="21"/>
      <c r="T1801" s="28"/>
      <c r="AS1801" s="24"/>
      <c r="AT1801" s="24"/>
      <c r="AU1801" s="24"/>
      <c r="AV1801" s="24"/>
      <c r="AX1801" s="29"/>
    </row>
    <row r="1802" spans="2:50">
      <c r="B1802" s="19"/>
      <c r="K1802" s="21"/>
      <c r="T1802" s="28"/>
      <c r="AS1802" s="24"/>
      <c r="AT1802" s="24"/>
      <c r="AU1802" s="24"/>
      <c r="AV1802" s="24"/>
      <c r="AX1802" s="29"/>
    </row>
    <row r="1803" spans="2:50">
      <c r="B1803" s="19"/>
      <c r="K1803" s="21"/>
      <c r="T1803" s="28"/>
      <c r="AS1803" s="24"/>
      <c r="AT1803" s="24"/>
      <c r="AU1803" s="24"/>
      <c r="AV1803" s="24"/>
      <c r="AX1803" s="29"/>
    </row>
    <row r="1804" spans="2:50">
      <c r="B1804" s="19"/>
      <c r="K1804" s="21"/>
      <c r="T1804" s="28"/>
      <c r="AS1804" s="24"/>
      <c r="AT1804" s="24"/>
      <c r="AU1804" s="24"/>
      <c r="AV1804" s="24"/>
      <c r="AX1804" s="29"/>
    </row>
    <row r="1805" spans="2:50">
      <c r="B1805" s="19"/>
      <c r="K1805" s="21"/>
      <c r="T1805" s="28"/>
      <c r="AS1805" s="24"/>
      <c r="AT1805" s="24"/>
      <c r="AU1805" s="24"/>
      <c r="AV1805" s="24"/>
      <c r="AX1805" s="29"/>
    </row>
    <row r="1806" spans="2:50">
      <c r="B1806" s="19"/>
      <c r="K1806" s="21"/>
      <c r="T1806" s="28"/>
      <c r="AS1806" s="24"/>
      <c r="AT1806" s="24"/>
      <c r="AU1806" s="24"/>
      <c r="AV1806" s="24"/>
      <c r="AX1806" s="29"/>
    </row>
    <row r="1807" spans="2:50">
      <c r="B1807" s="19"/>
      <c r="K1807" s="21"/>
      <c r="T1807" s="28"/>
      <c r="AS1807" s="24"/>
      <c r="AT1807" s="24"/>
      <c r="AU1807" s="24"/>
      <c r="AV1807" s="24"/>
      <c r="AX1807" s="29"/>
    </row>
    <row r="1808" spans="2:50">
      <c r="B1808" s="19"/>
      <c r="K1808" s="21"/>
      <c r="T1808" s="28"/>
      <c r="AS1808" s="24"/>
      <c r="AT1808" s="24"/>
      <c r="AU1808" s="24"/>
      <c r="AV1808" s="24"/>
      <c r="AX1808" s="29"/>
    </row>
    <row r="1809" spans="2:50">
      <c r="B1809" s="19"/>
      <c r="K1809" s="21"/>
      <c r="T1809" s="28"/>
      <c r="AS1809" s="24"/>
      <c r="AT1809" s="24"/>
      <c r="AU1809" s="24"/>
      <c r="AV1809" s="24"/>
      <c r="AX1809" s="29"/>
    </row>
    <row r="1810" spans="2:50">
      <c r="B1810" s="19"/>
      <c r="K1810" s="21"/>
      <c r="T1810" s="28"/>
      <c r="AS1810" s="24"/>
      <c r="AT1810" s="24"/>
      <c r="AU1810" s="24"/>
      <c r="AV1810" s="24"/>
      <c r="AX1810" s="29"/>
    </row>
    <row r="1811" spans="2:50">
      <c r="B1811" s="19"/>
      <c r="K1811" s="21"/>
      <c r="T1811" s="28"/>
      <c r="AS1811" s="24"/>
      <c r="AT1811" s="24"/>
      <c r="AU1811" s="24"/>
      <c r="AV1811" s="24"/>
      <c r="AX1811" s="29"/>
    </row>
    <row r="1812" spans="2:50">
      <c r="B1812" s="19"/>
      <c r="K1812" s="21"/>
      <c r="T1812" s="28"/>
      <c r="AS1812" s="24"/>
      <c r="AT1812" s="24"/>
      <c r="AU1812" s="24"/>
      <c r="AV1812" s="24"/>
      <c r="AX1812" s="29"/>
    </row>
    <row r="1813" spans="2:50">
      <c r="B1813" s="19"/>
      <c r="K1813" s="21"/>
      <c r="T1813" s="28"/>
      <c r="AS1813" s="24"/>
      <c r="AT1813" s="24"/>
      <c r="AU1813" s="24"/>
      <c r="AV1813" s="24"/>
      <c r="AX1813" s="29"/>
    </row>
    <row r="1814" spans="2:50">
      <c r="B1814" s="19"/>
      <c r="K1814" s="21"/>
      <c r="T1814" s="28"/>
      <c r="AS1814" s="24"/>
      <c r="AT1814" s="24"/>
      <c r="AU1814" s="24"/>
      <c r="AV1814" s="24"/>
      <c r="AX1814" s="29"/>
    </row>
    <row r="1815" spans="2:50">
      <c r="B1815" s="19"/>
      <c r="K1815" s="21"/>
      <c r="T1815" s="28"/>
      <c r="AS1815" s="24"/>
      <c r="AT1815" s="24"/>
      <c r="AU1815" s="24"/>
      <c r="AV1815" s="24"/>
      <c r="AX1815" s="29"/>
    </row>
    <row r="1816" spans="2:50">
      <c r="B1816" s="19"/>
      <c r="K1816" s="21"/>
      <c r="T1816" s="28"/>
      <c r="AS1816" s="24"/>
      <c r="AT1816" s="24"/>
      <c r="AU1816" s="24"/>
      <c r="AV1816" s="24"/>
      <c r="AX1816" s="29"/>
    </row>
    <row r="1817" spans="2:50">
      <c r="B1817" s="19"/>
      <c r="K1817" s="21"/>
      <c r="T1817" s="28"/>
      <c r="AS1817" s="24"/>
      <c r="AT1817" s="24"/>
      <c r="AU1817" s="24"/>
      <c r="AV1817" s="24"/>
      <c r="AX1817" s="29"/>
    </row>
    <row r="1818" spans="2:50">
      <c r="B1818" s="19"/>
      <c r="K1818" s="21"/>
      <c r="T1818" s="28"/>
      <c r="AS1818" s="24"/>
      <c r="AT1818" s="24"/>
      <c r="AU1818" s="24"/>
      <c r="AV1818" s="24"/>
      <c r="AX1818" s="29"/>
    </row>
    <row r="1819" spans="2:50">
      <c r="B1819" s="19"/>
      <c r="K1819" s="21"/>
      <c r="T1819" s="28"/>
      <c r="AS1819" s="24"/>
      <c r="AT1819" s="24"/>
      <c r="AU1819" s="24"/>
      <c r="AV1819" s="24"/>
      <c r="AX1819" s="29"/>
    </row>
    <row r="1820" spans="2:50">
      <c r="B1820" s="19"/>
      <c r="K1820" s="21"/>
      <c r="T1820" s="28"/>
      <c r="AS1820" s="24"/>
      <c r="AT1820" s="24"/>
      <c r="AU1820" s="24"/>
      <c r="AV1820" s="24"/>
      <c r="AX1820" s="29"/>
    </row>
    <row r="1821" spans="2:50">
      <c r="B1821" s="19"/>
      <c r="K1821" s="21"/>
      <c r="T1821" s="28"/>
      <c r="AS1821" s="24"/>
      <c r="AT1821" s="24"/>
      <c r="AU1821" s="24"/>
      <c r="AV1821" s="24"/>
      <c r="AX1821" s="29"/>
    </row>
    <row r="1822" spans="2:50">
      <c r="B1822" s="19"/>
      <c r="K1822" s="21"/>
      <c r="T1822" s="28"/>
      <c r="AS1822" s="24"/>
      <c r="AT1822" s="24"/>
      <c r="AU1822" s="24"/>
      <c r="AV1822" s="24"/>
      <c r="AX1822" s="29"/>
    </row>
    <row r="1823" spans="2:50">
      <c r="B1823" s="19"/>
      <c r="K1823" s="21"/>
      <c r="T1823" s="28"/>
      <c r="AS1823" s="24"/>
      <c r="AT1823" s="24"/>
      <c r="AU1823" s="24"/>
      <c r="AV1823" s="24"/>
      <c r="AX1823" s="29"/>
    </row>
    <row r="1824" spans="2:50">
      <c r="B1824" s="19"/>
      <c r="K1824" s="21"/>
      <c r="T1824" s="28"/>
      <c r="AS1824" s="24"/>
      <c r="AT1824" s="24"/>
      <c r="AU1824" s="24"/>
      <c r="AV1824" s="24"/>
      <c r="AX1824" s="29"/>
    </row>
    <row r="1825" spans="2:50">
      <c r="B1825" s="19"/>
      <c r="K1825" s="21"/>
      <c r="T1825" s="28"/>
      <c r="AS1825" s="24"/>
      <c r="AT1825" s="24"/>
      <c r="AU1825" s="24"/>
      <c r="AV1825" s="24"/>
      <c r="AX1825" s="29"/>
    </row>
    <row r="1826" spans="2:50">
      <c r="B1826" s="19"/>
      <c r="K1826" s="21"/>
      <c r="T1826" s="28"/>
      <c r="AS1826" s="24"/>
      <c r="AT1826" s="24"/>
      <c r="AU1826" s="24"/>
      <c r="AV1826" s="24"/>
      <c r="AX1826" s="29"/>
    </row>
    <row r="1827" spans="2:50">
      <c r="B1827" s="19"/>
      <c r="K1827" s="21"/>
      <c r="T1827" s="28"/>
      <c r="AS1827" s="24"/>
      <c r="AT1827" s="24"/>
      <c r="AU1827" s="24"/>
      <c r="AV1827" s="24"/>
      <c r="AX1827" s="29"/>
    </row>
    <row r="1828" spans="2:50">
      <c r="B1828" s="19"/>
      <c r="K1828" s="21"/>
      <c r="T1828" s="28"/>
      <c r="AS1828" s="24"/>
      <c r="AT1828" s="24"/>
      <c r="AU1828" s="24"/>
      <c r="AV1828" s="24"/>
      <c r="AX1828" s="29"/>
    </row>
    <row r="1829" spans="2:50">
      <c r="B1829" s="19"/>
      <c r="K1829" s="21"/>
      <c r="T1829" s="28"/>
      <c r="AS1829" s="24"/>
      <c r="AT1829" s="24"/>
      <c r="AU1829" s="24"/>
      <c r="AV1829" s="24"/>
      <c r="AX1829" s="29"/>
    </row>
    <row r="1830" spans="2:50">
      <c r="B1830" s="19"/>
      <c r="K1830" s="21"/>
      <c r="T1830" s="28"/>
      <c r="AS1830" s="24"/>
      <c r="AT1830" s="24"/>
      <c r="AU1830" s="24"/>
      <c r="AV1830" s="24"/>
      <c r="AX1830" s="29"/>
    </row>
    <row r="1831" spans="2:50">
      <c r="B1831" s="19"/>
      <c r="K1831" s="21"/>
      <c r="T1831" s="28"/>
      <c r="AS1831" s="24"/>
      <c r="AT1831" s="24"/>
      <c r="AU1831" s="24"/>
      <c r="AV1831" s="24"/>
      <c r="AX1831" s="29"/>
    </row>
    <row r="1832" spans="2:50">
      <c r="B1832" s="19"/>
      <c r="K1832" s="21"/>
      <c r="T1832" s="28"/>
      <c r="AS1832" s="24"/>
      <c r="AT1832" s="24"/>
      <c r="AU1832" s="24"/>
      <c r="AV1832" s="24"/>
      <c r="AX1832" s="29"/>
    </row>
    <row r="1833" spans="2:50">
      <c r="B1833" s="19"/>
      <c r="K1833" s="21"/>
      <c r="T1833" s="28"/>
      <c r="AS1833" s="24"/>
      <c r="AT1833" s="24"/>
      <c r="AU1833" s="24"/>
      <c r="AV1833" s="24"/>
      <c r="AX1833" s="29"/>
    </row>
    <row r="1834" spans="2:50">
      <c r="B1834" s="19"/>
      <c r="K1834" s="21"/>
      <c r="T1834" s="28"/>
      <c r="AS1834" s="24"/>
      <c r="AT1834" s="24"/>
      <c r="AU1834" s="24"/>
      <c r="AV1834" s="24"/>
      <c r="AX1834" s="29"/>
    </row>
    <row r="1835" spans="2:50">
      <c r="B1835" s="19"/>
      <c r="K1835" s="21"/>
      <c r="T1835" s="28"/>
      <c r="AS1835" s="24"/>
      <c r="AT1835" s="24"/>
      <c r="AU1835" s="24"/>
      <c r="AV1835" s="24"/>
      <c r="AX1835" s="29"/>
    </row>
    <row r="1836" spans="2:50">
      <c r="B1836" s="19"/>
      <c r="K1836" s="21"/>
      <c r="T1836" s="28"/>
      <c r="AS1836" s="24"/>
      <c r="AT1836" s="24"/>
      <c r="AU1836" s="24"/>
      <c r="AV1836" s="24"/>
      <c r="AX1836" s="29"/>
    </row>
    <row r="1837" spans="2:50">
      <c r="B1837" s="19"/>
      <c r="K1837" s="21"/>
      <c r="T1837" s="28"/>
      <c r="AS1837" s="24"/>
      <c r="AT1837" s="24"/>
      <c r="AU1837" s="24"/>
      <c r="AV1837" s="24"/>
      <c r="AX1837" s="29"/>
    </row>
    <row r="1838" spans="2:50">
      <c r="B1838" s="19"/>
      <c r="K1838" s="21"/>
      <c r="T1838" s="28"/>
      <c r="AS1838" s="24"/>
      <c r="AT1838" s="24"/>
      <c r="AU1838" s="24"/>
      <c r="AV1838" s="24"/>
      <c r="AX1838" s="29"/>
    </row>
    <row r="1839" spans="2:50">
      <c r="B1839" s="19"/>
      <c r="K1839" s="21"/>
      <c r="T1839" s="28"/>
      <c r="AS1839" s="24"/>
      <c r="AT1839" s="24"/>
      <c r="AU1839" s="24"/>
      <c r="AV1839" s="24"/>
      <c r="AX1839" s="29"/>
    </row>
    <row r="1840" spans="2:50">
      <c r="B1840" s="19"/>
      <c r="K1840" s="21"/>
      <c r="T1840" s="28"/>
      <c r="AS1840" s="24"/>
      <c r="AT1840" s="24"/>
      <c r="AU1840" s="24"/>
      <c r="AV1840" s="24"/>
      <c r="AX1840" s="29"/>
    </row>
    <row r="1841" spans="2:50">
      <c r="B1841" s="19"/>
      <c r="K1841" s="21"/>
      <c r="T1841" s="28"/>
      <c r="AS1841" s="24"/>
      <c r="AT1841" s="24"/>
      <c r="AU1841" s="24"/>
      <c r="AV1841" s="24"/>
      <c r="AX1841" s="29"/>
    </row>
    <row r="1842" spans="2:50">
      <c r="B1842" s="19"/>
      <c r="K1842" s="21"/>
      <c r="T1842" s="28"/>
      <c r="AS1842" s="24"/>
      <c r="AT1842" s="24"/>
      <c r="AU1842" s="24"/>
      <c r="AV1842" s="24"/>
      <c r="AX1842" s="29"/>
    </row>
    <row r="1843" spans="2:50">
      <c r="B1843" s="19"/>
      <c r="K1843" s="21"/>
      <c r="T1843" s="28"/>
      <c r="AS1843" s="24"/>
      <c r="AT1843" s="24"/>
      <c r="AU1843" s="24"/>
      <c r="AV1843" s="24"/>
      <c r="AX1843" s="29"/>
    </row>
    <row r="1844" spans="2:50">
      <c r="B1844" s="19"/>
      <c r="K1844" s="21"/>
      <c r="T1844" s="28"/>
      <c r="AS1844" s="24"/>
      <c r="AT1844" s="24"/>
      <c r="AU1844" s="24"/>
      <c r="AV1844" s="24"/>
      <c r="AX1844" s="29"/>
    </row>
    <row r="1845" spans="2:50">
      <c r="B1845" s="19"/>
      <c r="K1845" s="21"/>
      <c r="T1845" s="28"/>
      <c r="AS1845" s="24"/>
      <c r="AT1845" s="24"/>
      <c r="AU1845" s="24"/>
      <c r="AV1845" s="24"/>
      <c r="AX1845" s="29"/>
    </row>
    <row r="1846" spans="2:50">
      <c r="B1846" s="19"/>
      <c r="K1846" s="21"/>
      <c r="T1846" s="28"/>
      <c r="AS1846" s="24"/>
      <c r="AT1846" s="24"/>
      <c r="AU1846" s="24"/>
      <c r="AV1846" s="24"/>
      <c r="AX1846" s="29"/>
    </row>
    <row r="1847" spans="2:50">
      <c r="B1847" s="19"/>
      <c r="K1847" s="21"/>
      <c r="T1847" s="28"/>
      <c r="AS1847" s="24"/>
      <c r="AT1847" s="24"/>
      <c r="AU1847" s="24"/>
      <c r="AV1847" s="24"/>
      <c r="AX1847" s="29"/>
    </row>
    <row r="1848" spans="2:50">
      <c r="B1848" s="19"/>
      <c r="K1848" s="21"/>
      <c r="T1848" s="28"/>
      <c r="AS1848" s="24"/>
      <c r="AT1848" s="24"/>
      <c r="AU1848" s="24"/>
      <c r="AV1848" s="24"/>
      <c r="AX1848" s="29"/>
    </row>
    <row r="1849" spans="2:50">
      <c r="B1849" s="19"/>
      <c r="K1849" s="21"/>
      <c r="T1849" s="28"/>
      <c r="AS1849" s="24"/>
      <c r="AT1849" s="24"/>
      <c r="AU1849" s="24"/>
      <c r="AV1849" s="24"/>
      <c r="AX1849" s="29"/>
    </row>
    <row r="1850" spans="2:50">
      <c r="B1850" s="19"/>
      <c r="K1850" s="21"/>
      <c r="T1850" s="28"/>
      <c r="AS1850" s="24"/>
      <c r="AT1850" s="24"/>
      <c r="AU1850" s="24"/>
      <c r="AV1850" s="24"/>
      <c r="AX1850" s="29"/>
    </row>
    <row r="1851" spans="2:50">
      <c r="B1851" s="19"/>
      <c r="K1851" s="21"/>
      <c r="T1851" s="28"/>
      <c r="AS1851" s="24"/>
      <c r="AT1851" s="24"/>
      <c r="AU1851" s="24"/>
      <c r="AV1851" s="24"/>
      <c r="AX1851" s="29"/>
    </row>
    <row r="1852" spans="2:50">
      <c r="B1852" s="19"/>
      <c r="K1852" s="21"/>
      <c r="T1852" s="28"/>
      <c r="AS1852" s="24"/>
      <c r="AT1852" s="24"/>
      <c r="AU1852" s="24"/>
      <c r="AV1852" s="24"/>
      <c r="AX1852" s="29"/>
    </row>
    <row r="1853" spans="2:50">
      <c r="B1853" s="19"/>
      <c r="K1853" s="21"/>
      <c r="T1853" s="28"/>
      <c r="AS1853" s="24"/>
      <c r="AT1853" s="24"/>
      <c r="AU1853" s="24"/>
      <c r="AV1853" s="24"/>
      <c r="AX1853" s="29"/>
    </row>
    <row r="1854" spans="2:50">
      <c r="B1854" s="19"/>
      <c r="K1854" s="21"/>
      <c r="T1854" s="28"/>
      <c r="AS1854" s="24"/>
      <c r="AT1854" s="24"/>
      <c r="AU1854" s="24"/>
      <c r="AV1854" s="24"/>
      <c r="AX1854" s="29"/>
    </row>
    <row r="1855" spans="2:50">
      <c r="B1855" s="19"/>
      <c r="K1855" s="21"/>
      <c r="T1855" s="28"/>
      <c r="AS1855" s="24"/>
      <c r="AT1855" s="24"/>
      <c r="AU1855" s="24"/>
      <c r="AV1855" s="24"/>
      <c r="AX1855" s="29"/>
    </row>
    <row r="1856" spans="2:50">
      <c r="B1856" s="19"/>
      <c r="K1856" s="21"/>
      <c r="T1856" s="28"/>
      <c r="AS1856" s="24"/>
      <c r="AT1856" s="24"/>
      <c r="AU1856" s="24"/>
      <c r="AV1856" s="24"/>
      <c r="AX1856" s="29"/>
    </row>
    <row r="1857" spans="2:50">
      <c r="B1857" s="19"/>
      <c r="K1857" s="21"/>
      <c r="T1857" s="28"/>
      <c r="AS1857" s="24"/>
      <c r="AT1857" s="24"/>
      <c r="AU1857" s="24"/>
      <c r="AV1857" s="24"/>
      <c r="AX1857" s="29"/>
    </row>
    <row r="1858" spans="2:50">
      <c r="B1858" s="19"/>
      <c r="K1858" s="21"/>
      <c r="T1858" s="28"/>
      <c r="AS1858" s="24"/>
      <c r="AT1858" s="24"/>
      <c r="AU1858" s="24"/>
      <c r="AV1858" s="24"/>
      <c r="AX1858" s="29"/>
    </row>
    <row r="1859" spans="2:50">
      <c r="B1859" s="19"/>
      <c r="K1859" s="21"/>
      <c r="T1859" s="28"/>
      <c r="AS1859" s="24"/>
      <c r="AT1859" s="24"/>
      <c r="AU1859" s="24"/>
      <c r="AV1859" s="24"/>
      <c r="AX1859" s="29"/>
    </row>
    <row r="1860" spans="2:50">
      <c r="B1860" s="19"/>
      <c r="K1860" s="21"/>
      <c r="T1860" s="28"/>
      <c r="AS1860" s="24"/>
      <c r="AT1860" s="24"/>
      <c r="AU1860" s="24"/>
      <c r="AV1860" s="24"/>
      <c r="AX1860" s="29"/>
    </row>
    <row r="1861" spans="2:50">
      <c r="B1861" s="19"/>
      <c r="K1861" s="21"/>
      <c r="T1861" s="28"/>
      <c r="AS1861" s="24"/>
      <c r="AT1861" s="24"/>
      <c r="AU1861" s="24"/>
      <c r="AV1861" s="24"/>
      <c r="AX1861" s="29"/>
    </row>
    <row r="1862" spans="2:50">
      <c r="B1862" s="19"/>
      <c r="K1862" s="21"/>
      <c r="T1862" s="28"/>
      <c r="AS1862" s="24"/>
      <c r="AT1862" s="24"/>
      <c r="AU1862" s="24"/>
      <c r="AV1862" s="24"/>
      <c r="AX1862" s="29"/>
    </row>
    <row r="1863" spans="2:50">
      <c r="B1863" s="19"/>
      <c r="K1863" s="21"/>
      <c r="T1863" s="28"/>
      <c r="AS1863" s="24"/>
      <c r="AT1863" s="24"/>
      <c r="AU1863" s="24"/>
      <c r="AV1863" s="24"/>
      <c r="AX1863" s="29"/>
    </row>
    <row r="1864" spans="2:50">
      <c r="B1864" s="19"/>
      <c r="K1864" s="21"/>
      <c r="T1864" s="28"/>
      <c r="AS1864" s="24"/>
      <c r="AT1864" s="24"/>
      <c r="AU1864" s="24"/>
      <c r="AV1864" s="24"/>
      <c r="AX1864" s="29"/>
    </row>
    <row r="1865" spans="2:50">
      <c r="B1865" s="19"/>
      <c r="K1865" s="21"/>
      <c r="T1865" s="28"/>
      <c r="AS1865" s="24"/>
      <c r="AT1865" s="24"/>
      <c r="AU1865" s="24"/>
      <c r="AV1865" s="24"/>
      <c r="AX1865" s="29"/>
    </row>
    <row r="1866" spans="2:50">
      <c r="B1866" s="19"/>
      <c r="K1866" s="21"/>
      <c r="T1866" s="28"/>
      <c r="AS1866" s="24"/>
      <c r="AT1866" s="24"/>
      <c r="AU1866" s="24"/>
      <c r="AV1866" s="24"/>
      <c r="AX1866" s="29"/>
    </row>
    <row r="1867" spans="2:50">
      <c r="B1867" s="19"/>
      <c r="K1867" s="21"/>
      <c r="T1867" s="28"/>
      <c r="AS1867" s="24"/>
      <c r="AT1867" s="24"/>
      <c r="AU1867" s="24"/>
      <c r="AV1867" s="24"/>
      <c r="AX1867" s="29"/>
    </row>
    <row r="1868" spans="2:50">
      <c r="B1868" s="19"/>
      <c r="K1868" s="21"/>
      <c r="T1868" s="28"/>
      <c r="AS1868" s="24"/>
      <c r="AT1868" s="24"/>
      <c r="AU1868" s="24"/>
      <c r="AV1868" s="24"/>
      <c r="AX1868" s="29"/>
    </row>
    <row r="1869" spans="2:50">
      <c r="B1869" s="19"/>
      <c r="K1869" s="21"/>
      <c r="T1869" s="28"/>
      <c r="AS1869" s="24"/>
      <c r="AT1869" s="24"/>
      <c r="AU1869" s="24"/>
      <c r="AV1869" s="24"/>
      <c r="AX1869" s="29"/>
    </row>
    <row r="1870" spans="2:50">
      <c r="B1870" s="19"/>
      <c r="K1870" s="21"/>
      <c r="T1870" s="28"/>
      <c r="AS1870" s="24"/>
      <c r="AT1870" s="24"/>
      <c r="AU1870" s="24"/>
      <c r="AV1870" s="24"/>
      <c r="AX1870" s="29"/>
    </row>
    <row r="1871" spans="2:50">
      <c r="B1871" s="19"/>
      <c r="K1871" s="21"/>
      <c r="T1871" s="28"/>
      <c r="AS1871" s="24"/>
      <c r="AT1871" s="24"/>
      <c r="AU1871" s="24"/>
      <c r="AV1871" s="24"/>
      <c r="AX1871" s="29"/>
    </row>
    <row r="1872" spans="2:50">
      <c r="B1872" s="19"/>
      <c r="K1872" s="21"/>
      <c r="T1872" s="28"/>
      <c r="AS1872" s="24"/>
      <c r="AT1872" s="24"/>
      <c r="AU1872" s="24"/>
      <c r="AV1872" s="24"/>
      <c r="AX1872" s="29"/>
    </row>
    <row r="1873" spans="2:50">
      <c r="B1873" s="19"/>
      <c r="K1873" s="21"/>
      <c r="T1873" s="28"/>
      <c r="AS1873" s="24"/>
      <c r="AT1873" s="24"/>
      <c r="AU1873" s="24"/>
      <c r="AV1873" s="24"/>
      <c r="AX1873" s="29"/>
    </row>
    <row r="1874" spans="2:50">
      <c r="B1874" s="19"/>
      <c r="K1874" s="21"/>
      <c r="T1874" s="28"/>
      <c r="AS1874" s="24"/>
      <c r="AT1874" s="24"/>
      <c r="AU1874" s="24"/>
      <c r="AV1874" s="24"/>
      <c r="AX1874" s="29"/>
    </row>
    <row r="1875" spans="2:50">
      <c r="B1875" s="19"/>
      <c r="K1875" s="21"/>
      <c r="T1875" s="28"/>
      <c r="AS1875" s="24"/>
      <c r="AT1875" s="24"/>
      <c r="AU1875" s="24"/>
      <c r="AV1875" s="24"/>
      <c r="AX1875" s="29"/>
    </row>
    <row r="1876" spans="2:50">
      <c r="B1876" s="19"/>
      <c r="K1876" s="21"/>
      <c r="T1876" s="28"/>
      <c r="AS1876" s="24"/>
      <c r="AT1876" s="24"/>
      <c r="AU1876" s="24"/>
      <c r="AV1876" s="24"/>
      <c r="AX1876" s="29"/>
    </row>
    <row r="1877" spans="2:50">
      <c r="B1877" s="19"/>
      <c r="K1877" s="21"/>
      <c r="T1877" s="28"/>
      <c r="AS1877" s="24"/>
      <c r="AT1877" s="24"/>
      <c r="AU1877" s="24"/>
      <c r="AV1877" s="24"/>
      <c r="AX1877" s="29"/>
    </row>
    <row r="1878" spans="2:50">
      <c r="B1878" s="19"/>
      <c r="K1878" s="21"/>
      <c r="T1878" s="28"/>
      <c r="AS1878" s="24"/>
      <c r="AT1878" s="24"/>
      <c r="AU1878" s="24"/>
      <c r="AV1878" s="24"/>
      <c r="AX1878" s="29"/>
    </row>
    <row r="1879" spans="2:50">
      <c r="B1879" s="19"/>
      <c r="K1879" s="21"/>
      <c r="T1879" s="28"/>
      <c r="AS1879" s="24"/>
      <c r="AT1879" s="24"/>
      <c r="AU1879" s="24"/>
      <c r="AV1879" s="24"/>
      <c r="AX1879" s="29"/>
    </row>
    <row r="1880" spans="2:50">
      <c r="B1880" s="19"/>
      <c r="K1880" s="21"/>
      <c r="T1880" s="28"/>
      <c r="AS1880" s="24"/>
      <c r="AT1880" s="24"/>
      <c r="AU1880" s="24"/>
      <c r="AV1880" s="24"/>
      <c r="AX1880" s="29"/>
    </row>
    <row r="1881" spans="2:50">
      <c r="B1881" s="19"/>
      <c r="K1881" s="21"/>
      <c r="T1881" s="28"/>
      <c r="AS1881" s="24"/>
      <c r="AT1881" s="24"/>
      <c r="AU1881" s="24"/>
      <c r="AV1881" s="24"/>
      <c r="AX1881" s="29"/>
    </row>
    <row r="1882" spans="2:50">
      <c r="B1882" s="33"/>
      <c r="K1882" s="21"/>
      <c r="T1882" s="28"/>
      <c r="AS1882" s="24"/>
      <c r="AT1882" s="24"/>
      <c r="AU1882" s="24"/>
      <c r="AV1882" s="24"/>
      <c r="AX1882" s="29"/>
    </row>
    <row r="1883" spans="2:50">
      <c r="B1883" s="19"/>
      <c r="K1883" s="21"/>
      <c r="T1883" s="28"/>
      <c r="AS1883" s="24"/>
      <c r="AT1883" s="24"/>
      <c r="AU1883" s="24"/>
      <c r="AV1883" s="24"/>
      <c r="AX1883" s="29"/>
    </row>
    <row r="1884" spans="2:50">
      <c r="B1884" s="19"/>
      <c r="K1884" s="21"/>
      <c r="T1884" s="28"/>
      <c r="AS1884" s="24"/>
      <c r="AT1884" s="24"/>
      <c r="AU1884" s="24"/>
      <c r="AV1884" s="24"/>
      <c r="AX1884" s="29"/>
    </row>
    <row r="1885" spans="2:50">
      <c r="B1885" s="19"/>
      <c r="K1885" s="21"/>
      <c r="T1885" s="28"/>
      <c r="AS1885" s="24"/>
      <c r="AT1885" s="24"/>
      <c r="AU1885" s="24"/>
      <c r="AV1885" s="24"/>
      <c r="AX1885" s="29"/>
    </row>
    <row r="1886" spans="2:50">
      <c r="B1886" s="19"/>
      <c r="K1886" s="21"/>
      <c r="T1886" s="28"/>
      <c r="AS1886" s="24"/>
      <c r="AT1886" s="24"/>
      <c r="AU1886" s="24"/>
      <c r="AV1886" s="24"/>
      <c r="AX1886" s="29"/>
    </row>
    <row r="1887" spans="2:50">
      <c r="B1887" s="19"/>
      <c r="K1887" s="21"/>
      <c r="T1887" s="28"/>
      <c r="AS1887" s="24"/>
      <c r="AT1887" s="24"/>
      <c r="AU1887" s="24"/>
      <c r="AV1887" s="24"/>
      <c r="AX1887" s="29"/>
    </row>
    <row r="1888" spans="2:50">
      <c r="B1888" s="19"/>
      <c r="K1888" s="21"/>
      <c r="T1888" s="28"/>
      <c r="AS1888" s="24"/>
      <c r="AT1888" s="24"/>
      <c r="AU1888" s="24"/>
      <c r="AV1888" s="24"/>
      <c r="AX1888" s="29"/>
    </row>
    <row r="1889" spans="2:50">
      <c r="B1889" s="19"/>
      <c r="K1889" s="21"/>
      <c r="T1889" s="28"/>
      <c r="AS1889" s="24"/>
      <c r="AT1889" s="24"/>
      <c r="AU1889" s="24"/>
      <c r="AV1889" s="24"/>
      <c r="AX1889" s="29"/>
    </row>
    <row r="1890" spans="2:50">
      <c r="B1890" s="19"/>
      <c r="K1890" s="21"/>
      <c r="T1890" s="28"/>
      <c r="AS1890" s="24"/>
      <c r="AT1890" s="24"/>
      <c r="AU1890" s="24"/>
      <c r="AV1890" s="24"/>
      <c r="AX1890" s="29"/>
    </row>
    <row r="1891" spans="2:50">
      <c r="B1891" s="19"/>
      <c r="K1891" s="21"/>
      <c r="T1891" s="28"/>
      <c r="AS1891" s="24"/>
      <c r="AT1891" s="24"/>
      <c r="AU1891" s="24"/>
      <c r="AV1891" s="24"/>
      <c r="AX1891" s="29"/>
    </row>
    <row r="1892" spans="2:50">
      <c r="B1892" s="19"/>
      <c r="K1892" s="21"/>
      <c r="T1892" s="28"/>
      <c r="AS1892" s="24"/>
      <c r="AT1892" s="24"/>
      <c r="AU1892" s="24"/>
      <c r="AV1892" s="24"/>
      <c r="AX1892" s="29"/>
    </row>
    <row r="1893" spans="2:50">
      <c r="B1893" s="19"/>
      <c r="K1893" s="21"/>
      <c r="T1893" s="28"/>
      <c r="AS1893" s="24"/>
      <c r="AT1893" s="24"/>
      <c r="AU1893" s="24"/>
      <c r="AV1893" s="24"/>
      <c r="AX1893" s="29"/>
    </row>
    <row r="1894" spans="2:50">
      <c r="B1894" s="19"/>
      <c r="K1894" s="21"/>
      <c r="T1894" s="28"/>
      <c r="AS1894" s="24"/>
      <c r="AT1894" s="24"/>
      <c r="AU1894" s="24"/>
      <c r="AV1894" s="24"/>
      <c r="AX1894" s="29"/>
    </row>
    <row r="1895" spans="2:50">
      <c r="B1895" s="19"/>
      <c r="K1895" s="21"/>
      <c r="T1895" s="28"/>
      <c r="AS1895" s="24"/>
      <c r="AT1895" s="24"/>
      <c r="AU1895" s="24"/>
      <c r="AV1895" s="24"/>
      <c r="AX1895" s="29"/>
    </row>
    <row r="1896" spans="2:50">
      <c r="B1896" s="19"/>
      <c r="K1896" s="21"/>
      <c r="T1896" s="28"/>
      <c r="AS1896" s="24"/>
      <c r="AT1896" s="24"/>
      <c r="AU1896" s="24"/>
      <c r="AV1896" s="24"/>
      <c r="AX1896" s="29"/>
    </row>
    <row r="1897" spans="2:50">
      <c r="B1897" s="19"/>
      <c r="K1897" s="21"/>
      <c r="T1897" s="28"/>
      <c r="AS1897" s="24"/>
      <c r="AT1897" s="24"/>
      <c r="AU1897" s="24"/>
      <c r="AV1897" s="24"/>
      <c r="AX1897" s="29"/>
    </row>
    <row r="1898" spans="2:50">
      <c r="B1898" s="19"/>
      <c r="K1898" s="21"/>
      <c r="T1898" s="28"/>
      <c r="AS1898" s="24"/>
      <c r="AT1898" s="24"/>
      <c r="AU1898" s="24"/>
      <c r="AV1898" s="24"/>
      <c r="AX1898" s="29"/>
    </row>
    <row r="1899" spans="2:50">
      <c r="B1899" s="19"/>
      <c r="K1899" s="21"/>
      <c r="T1899" s="28"/>
      <c r="AS1899" s="24"/>
      <c r="AT1899" s="24"/>
      <c r="AU1899" s="24"/>
      <c r="AV1899" s="24"/>
      <c r="AX1899" s="29"/>
    </row>
    <row r="1900" spans="2:50">
      <c r="B1900" s="19"/>
      <c r="K1900" s="21"/>
      <c r="T1900" s="28"/>
      <c r="AS1900" s="24"/>
      <c r="AT1900" s="24"/>
      <c r="AU1900" s="24"/>
      <c r="AV1900" s="24"/>
      <c r="AX1900" s="29"/>
    </row>
    <row r="1901" spans="2:50">
      <c r="B1901" s="19"/>
      <c r="K1901" s="21"/>
      <c r="T1901" s="28"/>
      <c r="AS1901" s="24"/>
      <c r="AT1901" s="24"/>
      <c r="AU1901" s="24"/>
      <c r="AV1901" s="24"/>
      <c r="AX1901" s="29"/>
    </row>
    <row r="1902" spans="2:50">
      <c r="B1902" s="19"/>
      <c r="K1902" s="21"/>
      <c r="T1902" s="28"/>
      <c r="AS1902" s="24"/>
      <c r="AT1902" s="24"/>
      <c r="AU1902" s="24"/>
      <c r="AV1902" s="24"/>
      <c r="AX1902" s="29"/>
    </row>
    <row r="1903" spans="2:50">
      <c r="B1903" s="19"/>
      <c r="K1903" s="21"/>
      <c r="T1903" s="28"/>
      <c r="AS1903" s="24"/>
      <c r="AT1903" s="24"/>
      <c r="AU1903" s="24"/>
      <c r="AV1903" s="24"/>
      <c r="AX1903" s="29"/>
    </row>
    <row r="1904" spans="2:50">
      <c r="B1904" s="19"/>
      <c r="K1904" s="21"/>
      <c r="T1904" s="28"/>
      <c r="AS1904" s="24"/>
      <c r="AT1904" s="24"/>
      <c r="AU1904" s="24"/>
      <c r="AV1904" s="24"/>
      <c r="AX1904" s="29"/>
    </row>
    <row r="1905" spans="2:50">
      <c r="B1905" s="19"/>
      <c r="K1905" s="21"/>
      <c r="T1905" s="28"/>
      <c r="AS1905" s="24"/>
      <c r="AT1905" s="24"/>
      <c r="AU1905" s="24"/>
      <c r="AV1905" s="24"/>
      <c r="AX1905" s="29"/>
    </row>
    <row r="1906" spans="2:50">
      <c r="B1906" s="19"/>
      <c r="K1906" s="21"/>
      <c r="T1906" s="28"/>
      <c r="AS1906" s="24"/>
      <c r="AT1906" s="24"/>
      <c r="AU1906" s="24"/>
      <c r="AV1906" s="24"/>
      <c r="AX1906" s="29"/>
    </row>
    <row r="1907" spans="2:50">
      <c r="B1907" s="19"/>
      <c r="K1907" s="21"/>
      <c r="T1907" s="28"/>
      <c r="AS1907" s="24"/>
      <c r="AT1907" s="24"/>
      <c r="AU1907" s="24"/>
      <c r="AV1907" s="24"/>
      <c r="AX1907" s="29"/>
    </row>
    <row r="1908" spans="2:50">
      <c r="B1908" s="19"/>
      <c r="K1908" s="21"/>
      <c r="T1908" s="28"/>
      <c r="AS1908" s="24"/>
      <c r="AT1908" s="24"/>
      <c r="AU1908" s="24"/>
      <c r="AV1908" s="24"/>
      <c r="AX1908" s="29"/>
    </row>
    <row r="1909" spans="2:50">
      <c r="B1909" s="19"/>
      <c r="K1909" s="21"/>
      <c r="T1909" s="28"/>
      <c r="AS1909" s="24"/>
      <c r="AT1909" s="24"/>
      <c r="AU1909" s="24"/>
      <c r="AV1909" s="24"/>
      <c r="AX1909" s="29"/>
    </row>
    <row r="1910" spans="2:50">
      <c r="B1910" s="19"/>
      <c r="K1910" s="21"/>
      <c r="T1910" s="28"/>
      <c r="AS1910" s="24"/>
      <c r="AT1910" s="24"/>
      <c r="AU1910" s="24"/>
      <c r="AV1910" s="24"/>
      <c r="AX1910" s="29"/>
    </row>
    <row r="1911" spans="2:50">
      <c r="B1911" s="19"/>
      <c r="K1911" s="21"/>
      <c r="T1911" s="28"/>
      <c r="AS1911" s="24"/>
      <c r="AT1911" s="24"/>
      <c r="AU1911" s="24"/>
      <c r="AV1911" s="24"/>
      <c r="AX1911" s="29"/>
    </row>
    <row r="1912" spans="2:50">
      <c r="B1912" s="19"/>
      <c r="K1912" s="21"/>
      <c r="T1912" s="28"/>
      <c r="AS1912" s="24"/>
      <c r="AT1912" s="24"/>
      <c r="AU1912" s="24"/>
      <c r="AV1912" s="24"/>
      <c r="AX1912" s="29"/>
    </row>
    <row r="1913" spans="2:50">
      <c r="B1913" s="19"/>
      <c r="K1913" s="21"/>
      <c r="T1913" s="28"/>
      <c r="AS1913" s="24"/>
      <c r="AT1913" s="24"/>
      <c r="AU1913" s="24"/>
      <c r="AV1913" s="24"/>
      <c r="AX1913" s="29"/>
    </row>
    <row r="1914" spans="2:50">
      <c r="B1914" s="19"/>
      <c r="K1914" s="21"/>
      <c r="T1914" s="28"/>
      <c r="AS1914" s="24"/>
      <c r="AT1914" s="24"/>
      <c r="AU1914" s="24"/>
      <c r="AV1914" s="24"/>
      <c r="AX1914" s="29"/>
    </row>
    <row r="1915" spans="2:50">
      <c r="B1915" s="19"/>
      <c r="K1915" s="21"/>
      <c r="T1915" s="28"/>
      <c r="AS1915" s="24"/>
      <c r="AT1915" s="24"/>
      <c r="AU1915" s="24"/>
      <c r="AV1915" s="24"/>
      <c r="AX1915" s="29"/>
    </row>
    <row r="1916" spans="2:50">
      <c r="B1916" s="19"/>
      <c r="K1916" s="21"/>
      <c r="T1916" s="28"/>
      <c r="AS1916" s="24"/>
      <c r="AT1916" s="24"/>
      <c r="AU1916" s="24"/>
      <c r="AV1916" s="24"/>
      <c r="AX1916" s="29"/>
    </row>
    <row r="1917" spans="2:50">
      <c r="B1917" s="19"/>
      <c r="K1917" s="21"/>
      <c r="T1917" s="28"/>
      <c r="AS1917" s="24"/>
      <c r="AT1917" s="24"/>
      <c r="AU1917" s="24"/>
      <c r="AV1917" s="24"/>
      <c r="AX1917" s="29"/>
    </row>
    <row r="1918" spans="2:50">
      <c r="B1918" s="19"/>
      <c r="K1918" s="21"/>
      <c r="T1918" s="28"/>
      <c r="AS1918" s="24"/>
      <c r="AT1918" s="24"/>
      <c r="AU1918" s="24"/>
      <c r="AV1918" s="24"/>
      <c r="AX1918" s="29"/>
    </row>
    <row r="1919" spans="2:50">
      <c r="B1919" s="19"/>
      <c r="K1919" s="21"/>
      <c r="T1919" s="28"/>
      <c r="AS1919" s="24"/>
      <c r="AT1919" s="24"/>
      <c r="AU1919" s="24"/>
      <c r="AV1919" s="24"/>
      <c r="AX1919" s="29"/>
    </row>
    <row r="1920" spans="2:50">
      <c r="B1920" s="19"/>
      <c r="K1920" s="21"/>
      <c r="T1920" s="28"/>
      <c r="AS1920" s="24"/>
      <c r="AT1920" s="24"/>
      <c r="AU1920" s="24"/>
      <c r="AV1920" s="24"/>
      <c r="AX1920" s="29"/>
    </row>
    <row r="1921" spans="2:50">
      <c r="B1921" s="19"/>
      <c r="K1921" s="21"/>
      <c r="T1921" s="28"/>
      <c r="AS1921" s="24"/>
      <c r="AT1921" s="24"/>
      <c r="AU1921" s="24"/>
      <c r="AV1921" s="24"/>
      <c r="AX1921" s="29"/>
    </row>
    <row r="1922" spans="2:50">
      <c r="B1922" s="19"/>
      <c r="K1922" s="21"/>
      <c r="T1922" s="28"/>
      <c r="AS1922" s="24"/>
      <c r="AT1922" s="24"/>
      <c r="AU1922" s="24"/>
      <c r="AV1922" s="24"/>
      <c r="AX1922" s="29"/>
    </row>
    <row r="1923" spans="2:50">
      <c r="B1923" s="19"/>
      <c r="K1923" s="21"/>
      <c r="T1923" s="28"/>
      <c r="AS1923" s="24"/>
      <c r="AT1923" s="24"/>
      <c r="AU1923" s="24"/>
      <c r="AV1923" s="24"/>
      <c r="AX1923" s="29"/>
    </row>
    <row r="1924" spans="2:50">
      <c r="B1924" s="19"/>
      <c r="K1924" s="21"/>
      <c r="T1924" s="28"/>
      <c r="AS1924" s="24"/>
      <c r="AT1924" s="24"/>
      <c r="AU1924" s="24"/>
      <c r="AV1924" s="24"/>
      <c r="AX1924" s="29"/>
    </row>
    <row r="1925" spans="2:50">
      <c r="B1925" s="19"/>
      <c r="K1925" s="21"/>
      <c r="T1925" s="28"/>
      <c r="AS1925" s="24"/>
      <c r="AT1925" s="24"/>
      <c r="AU1925" s="24"/>
      <c r="AV1925" s="24"/>
      <c r="AX1925" s="29"/>
    </row>
    <row r="1926" spans="2:50">
      <c r="B1926" s="19"/>
      <c r="K1926" s="21"/>
      <c r="T1926" s="28"/>
      <c r="AS1926" s="24"/>
      <c r="AT1926" s="24"/>
      <c r="AU1926" s="24"/>
      <c r="AV1926" s="24"/>
      <c r="AX1926" s="29"/>
    </row>
    <row r="1927" spans="2:50">
      <c r="B1927" s="19"/>
      <c r="K1927" s="21"/>
      <c r="T1927" s="28"/>
      <c r="AS1927" s="24"/>
      <c r="AT1927" s="24"/>
      <c r="AU1927" s="24"/>
      <c r="AV1927" s="24"/>
      <c r="AX1927" s="29"/>
    </row>
    <row r="1928" spans="2:50">
      <c r="B1928" s="19"/>
      <c r="K1928" s="21"/>
      <c r="T1928" s="28"/>
      <c r="AS1928" s="24"/>
      <c r="AT1928" s="24"/>
      <c r="AU1928" s="24"/>
      <c r="AV1928" s="24"/>
      <c r="AX1928" s="29"/>
    </row>
    <row r="1929" spans="2:50">
      <c r="B1929" s="19"/>
      <c r="K1929" s="21"/>
      <c r="T1929" s="28"/>
      <c r="AS1929" s="24"/>
      <c r="AT1929" s="24"/>
      <c r="AU1929" s="24"/>
      <c r="AV1929" s="24"/>
      <c r="AX1929" s="29"/>
    </row>
    <row r="1930" spans="2:50">
      <c r="B1930" s="19"/>
      <c r="K1930" s="21"/>
      <c r="T1930" s="28"/>
      <c r="AS1930" s="24"/>
      <c r="AT1930" s="24"/>
      <c r="AU1930" s="24"/>
      <c r="AV1930" s="24"/>
      <c r="AX1930" s="29"/>
    </row>
    <row r="1931" spans="2:50">
      <c r="B1931" s="19"/>
      <c r="K1931" s="21"/>
      <c r="T1931" s="28"/>
      <c r="AS1931" s="24"/>
      <c r="AT1931" s="24"/>
      <c r="AU1931" s="24"/>
      <c r="AV1931" s="24"/>
      <c r="AX1931" s="29"/>
    </row>
    <row r="1932" spans="2:50">
      <c r="B1932" s="19"/>
      <c r="K1932" s="21"/>
      <c r="T1932" s="28"/>
      <c r="AS1932" s="24"/>
      <c r="AT1932" s="24"/>
      <c r="AU1932" s="24"/>
      <c r="AV1932" s="24"/>
      <c r="AX1932" s="29"/>
    </row>
    <row r="1933" spans="2:50">
      <c r="B1933" s="19"/>
      <c r="K1933" s="21"/>
      <c r="T1933" s="28"/>
      <c r="AS1933" s="24"/>
      <c r="AT1933" s="24"/>
      <c r="AU1933" s="24"/>
      <c r="AV1933" s="24"/>
      <c r="AX1933" s="29"/>
    </row>
    <row r="1934" spans="2:50">
      <c r="B1934" s="19"/>
      <c r="K1934" s="21"/>
      <c r="T1934" s="28"/>
      <c r="AS1934" s="24"/>
      <c r="AT1934" s="24"/>
      <c r="AU1934" s="24"/>
      <c r="AV1934" s="24"/>
      <c r="AX1934" s="29"/>
    </row>
    <row r="1935" spans="2:50">
      <c r="B1935" s="19"/>
      <c r="K1935" s="21"/>
      <c r="T1935" s="28"/>
      <c r="AS1935" s="24"/>
      <c r="AT1935" s="24"/>
      <c r="AU1935" s="24"/>
      <c r="AV1935" s="24"/>
      <c r="AX1935" s="29"/>
    </row>
    <row r="1936" spans="2:50">
      <c r="B1936" s="19"/>
      <c r="K1936" s="21"/>
      <c r="T1936" s="28"/>
      <c r="AS1936" s="24"/>
      <c r="AT1936" s="24"/>
      <c r="AU1936" s="24"/>
      <c r="AV1936" s="24"/>
      <c r="AX1936" s="29"/>
    </row>
    <row r="1937" spans="2:50">
      <c r="B1937" s="19"/>
      <c r="K1937" s="21"/>
      <c r="T1937" s="28"/>
      <c r="AS1937" s="24"/>
      <c r="AT1937" s="24"/>
      <c r="AU1937" s="24"/>
      <c r="AV1937" s="24"/>
      <c r="AX1937" s="29"/>
    </row>
    <row r="1938" spans="2:50">
      <c r="B1938" s="19"/>
      <c r="K1938" s="21"/>
      <c r="T1938" s="28"/>
      <c r="AS1938" s="24"/>
      <c r="AT1938" s="24"/>
      <c r="AU1938" s="24"/>
      <c r="AV1938" s="24"/>
      <c r="AX1938" s="29"/>
    </row>
    <row r="1939" spans="2:50">
      <c r="B1939" s="19"/>
      <c r="K1939" s="21"/>
      <c r="T1939" s="28"/>
      <c r="AS1939" s="24"/>
      <c r="AT1939" s="24"/>
      <c r="AU1939" s="24"/>
      <c r="AV1939" s="24"/>
      <c r="AX1939" s="29"/>
    </row>
    <row r="1940" spans="2:50">
      <c r="B1940" s="19"/>
      <c r="K1940" s="21"/>
      <c r="T1940" s="28"/>
      <c r="AS1940" s="24"/>
      <c r="AT1940" s="24"/>
      <c r="AU1940" s="24"/>
      <c r="AV1940" s="24"/>
      <c r="AX1940" s="29"/>
    </row>
    <row r="1941" spans="2:50">
      <c r="B1941" s="19"/>
      <c r="K1941" s="21"/>
      <c r="T1941" s="28"/>
      <c r="AS1941" s="24"/>
      <c r="AT1941" s="24"/>
      <c r="AU1941" s="24"/>
      <c r="AV1941" s="24"/>
      <c r="AX1941" s="29"/>
    </row>
    <row r="1942" spans="2:50">
      <c r="B1942" s="19"/>
      <c r="K1942" s="21"/>
      <c r="T1942" s="28"/>
      <c r="AS1942" s="24"/>
      <c r="AT1942" s="24"/>
      <c r="AU1942" s="24"/>
      <c r="AV1942" s="24"/>
      <c r="AX1942" s="29"/>
    </row>
    <row r="1943" spans="2:50">
      <c r="B1943" s="19"/>
      <c r="K1943" s="21"/>
      <c r="T1943" s="28"/>
      <c r="AS1943" s="24"/>
      <c r="AT1943" s="24"/>
      <c r="AU1943" s="24"/>
      <c r="AV1943" s="24"/>
      <c r="AX1943" s="29"/>
    </row>
    <row r="1944" spans="2:50">
      <c r="B1944" s="19"/>
      <c r="K1944" s="21"/>
      <c r="T1944" s="28"/>
      <c r="AS1944" s="24"/>
      <c r="AT1944" s="24"/>
      <c r="AU1944" s="24"/>
      <c r="AV1944" s="24"/>
      <c r="AX1944" s="29"/>
    </row>
    <row r="1945" spans="2:50">
      <c r="B1945" s="19"/>
      <c r="K1945" s="21"/>
      <c r="T1945" s="28"/>
      <c r="AS1945" s="24"/>
      <c r="AT1945" s="24"/>
      <c r="AU1945" s="24"/>
      <c r="AV1945" s="24"/>
      <c r="AX1945" s="29"/>
    </row>
    <row r="1946" spans="2:50">
      <c r="B1946" s="19"/>
      <c r="K1946" s="21"/>
      <c r="T1946" s="28"/>
      <c r="AS1946" s="24"/>
      <c r="AT1946" s="24"/>
      <c r="AU1946" s="24"/>
      <c r="AV1946" s="24"/>
      <c r="AX1946" s="29"/>
    </row>
    <row r="1947" spans="2:50">
      <c r="B1947" s="19"/>
      <c r="K1947" s="21"/>
      <c r="T1947" s="28"/>
      <c r="AS1947" s="24"/>
      <c r="AT1947" s="24"/>
      <c r="AU1947" s="24"/>
      <c r="AV1947" s="24"/>
      <c r="AX1947" s="29"/>
    </row>
    <row r="1948" spans="2:50">
      <c r="B1948" s="19"/>
      <c r="K1948" s="21"/>
      <c r="T1948" s="28"/>
      <c r="AS1948" s="24"/>
      <c r="AT1948" s="24"/>
      <c r="AU1948" s="24"/>
      <c r="AV1948" s="24"/>
      <c r="AX1948" s="29"/>
    </row>
    <row r="1949" spans="2:50">
      <c r="B1949" s="19"/>
      <c r="K1949" s="21"/>
      <c r="T1949" s="28"/>
      <c r="AS1949" s="24"/>
      <c r="AT1949" s="24"/>
      <c r="AU1949" s="24"/>
      <c r="AV1949" s="24"/>
      <c r="AX1949" s="29"/>
    </row>
    <row r="1950" spans="2:50">
      <c r="B1950" s="19"/>
      <c r="K1950" s="21"/>
      <c r="T1950" s="28"/>
      <c r="AS1950" s="24"/>
      <c r="AT1950" s="24"/>
      <c r="AU1950" s="24"/>
      <c r="AV1950" s="24"/>
      <c r="AX1950" s="29"/>
    </row>
    <row r="1951" spans="2:50">
      <c r="B1951" s="19"/>
      <c r="K1951" s="21"/>
      <c r="T1951" s="28"/>
      <c r="AS1951" s="24"/>
      <c r="AT1951" s="24"/>
      <c r="AU1951" s="24"/>
      <c r="AV1951" s="24"/>
      <c r="AX1951" s="29"/>
    </row>
    <row r="1952" spans="2:50">
      <c r="B1952" s="19"/>
      <c r="K1952" s="21"/>
      <c r="T1952" s="28"/>
      <c r="AS1952" s="24"/>
      <c r="AT1952" s="24"/>
      <c r="AU1952" s="24"/>
      <c r="AV1952" s="24"/>
      <c r="AX1952" s="29"/>
    </row>
    <row r="1953" spans="2:50">
      <c r="B1953" s="19"/>
      <c r="K1953" s="21"/>
      <c r="T1953" s="28"/>
      <c r="AS1953" s="24"/>
      <c r="AT1953" s="24"/>
      <c r="AU1953" s="24"/>
      <c r="AV1953" s="24"/>
      <c r="AX1953" s="29"/>
    </row>
    <row r="1954" spans="2:50">
      <c r="B1954" s="19"/>
      <c r="K1954" s="21"/>
      <c r="T1954" s="28"/>
      <c r="AS1954" s="24"/>
      <c r="AT1954" s="24"/>
      <c r="AU1954" s="24"/>
      <c r="AV1954" s="24"/>
      <c r="AX1954" s="29"/>
    </row>
    <row r="1955" spans="2:50">
      <c r="B1955" s="19"/>
      <c r="K1955" s="21"/>
      <c r="T1955" s="28"/>
      <c r="AS1955" s="24"/>
      <c r="AT1955" s="24"/>
      <c r="AU1955" s="24"/>
      <c r="AV1955" s="24"/>
      <c r="AX1955" s="29"/>
    </row>
    <row r="1956" spans="2:50">
      <c r="B1956" s="19"/>
      <c r="K1956" s="21"/>
      <c r="T1956" s="28"/>
      <c r="AS1956" s="24"/>
      <c r="AT1956" s="24"/>
      <c r="AU1956" s="24"/>
      <c r="AV1956" s="24"/>
      <c r="AX1956" s="29"/>
    </row>
    <row r="1957" spans="2:50">
      <c r="B1957" s="19"/>
      <c r="K1957" s="21"/>
      <c r="T1957" s="28"/>
      <c r="AS1957" s="24"/>
      <c r="AT1957" s="24"/>
      <c r="AU1957" s="24"/>
      <c r="AV1957" s="24"/>
      <c r="AX1957" s="29"/>
    </row>
    <row r="1958" spans="2:50">
      <c r="B1958" s="19"/>
      <c r="K1958" s="21"/>
      <c r="T1958" s="28"/>
      <c r="AS1958" s="24"/>
      <c r="AT1958" s="24"/>
      <c r="AU1958" s="24"/>
      <c r="AV1958" s="24"/>
      <c r="AX1958" s="29"/>
    </row>
    <row r="1959" spans="2:50">
      <c r="B1959" s="19"/>
      <c r="K1959" s="21"/>
      <c r="T1959" s="28"/>
      <c r="AS1959" s="24"/>
      <c r="AT1959" s="24"/>
      <c r="AU1959" s="24"/>
      <c r="AV1959" s="24"/>
      <c r="AX1959" s="29"/>
    </row>
    <row r="1960" spans="2:50">
      <c r="B1960" s="19"/>
      <c r="K1960" s="21"/>
      <c r="T1960" s="28"/>
      <c r="AS1960" s="24"/>
      <c r="AT1960" s="24"/>
      <c r="AU1960" s="24"/>
      <c r="AV1960" s="24"/>
      <c r="AX1960" s="29"/>
    </row>
    <row r="1961" spans="2:50">
      <c r="B1961" s="19"/>
      <c r="K1961" s="21"/>
      <c r="T1961" s="28"/>
      <c r="AS1961" s="24"/>
      <c r="AT1961" s="24"/>
      <c r="AU1961" s="24"/>
      <c r="AV1961" s="24"/>
      <c r="AX1961" s="29"/>
    </row>
    <row r="1962" spans="2:50">
      <c r="B1962" s="19"/>
      <c r="K1962" s="21"/>
      <c r="T1962" s="28"/>
      <c r="AS1962" s="24"/>
      <c r="AT1962" s="24"/>
      <c r="AU1962" s="24"/>
      <c r="AV1962" s="24"/>
      <c r="AX1962" s="29"/>
    </row>
    <row r="1963" spans="2:50">
      <c r="B1963" s="19"/>
      <c r="K1963" s="21"/>
      <c r="T1963" s="28"/>
      <c r="AS1963" s="24"/>
      <c r="AT1963" s="24"/>
      <c r="AU1963" s="24"/>
      <c r="AV1963" s="24"/>
      <c r="AX1963" s="29"/>
    </row>
    <row r="1964" spans="2:50">
      <c r="B1964" s="19"/>
      <c r="K1964" s="21"/>
      <c r="T1964" s="28"/>
      <c r="AS1964" s="24"/>
      <c r="AT1964" s="24"/>
      <c r="AU1964" s="24"/>
      <c r="AV1964" s="24"/>
      <c r="AX1964" s="29"/>
    </row>
    <row r="1965" spans="2:50">
      <c r="B1965" s="19"/>
      <c r="K1965" s="21"/>
      <c r="T1965" s="28"/>
      <c r="AS1965" s="24"/>
      <c r="AT1965" s="24"/>
      <c r="AU1965" s="24"/>
      <c r="AV1965" s="24"/>
      <c r="AX1965" s="29"/>
    </row>
    <row r="1966" spans="2:50">
      <c r="B1966" s="19"/>
      <c r="K1966" s="21"/>
      <c r="T1966" s="28"/>
      <c r="AS1966" s="24"/>
      <c r="AT1966" s="24"/>
      <c r="AU1966" s="24"/>
      <c r="AV1966" s="24"/>
      <c r="AX1966" s="29"/>
    </row>
    <row r="1967" spans="2:50">
      <c r="B1967" s="19"/>
      <c r="K1967" s="21"/>
      <c r="T1967" s="28"/>
      <c r="AS1967" s="24"/>
      <c r="AT1967" s="24"/>
      <c r="AU1967" s="24"/>
      <c r="AV1967" s="24"/>
      <c r="AX1967" s="29"/>
    </row>
    <row r="1968" spans="2:50">
      <c r="B1968" s="19"/>
      <c r="K1968" s="21"/>
      <c r="T1968" s="28"/>
      <c r="AS1968" s="24"/>
      <c r="AT1968" s="24"/>
      <c r="AU1968" s="24"/>
      <c r="AV1968" s="24"/>
      <c r="AX1968" s="29"/>
    </row>
    <row r="1969" spans="2:50">
      <c r="B1969" s="19"/>
      <c r="K1969" s="21"/>
      <c r="T1969" s="28"/>
      <c r="AS1969" s="24"/>
      <c r="AT1969" s="24"/>
      <c r="AU1969" s="24"/>
      <c r="AV1969" s="24"/>
      <c r="AX1969" s="29"/>
    </row>
    <row r="1970" spans="2:50">
      <c r="B1970" s="19"/>
      <c r="K1970" s="21"/>
      <c r="T1970" s="28"/>
      <c r="AS1970" s="24"/>
      <c r="AT1970" s="24"/>
      <c r="AU1970" s="24"/>
      <c r="AV1970" s="24"/>
      <c r="AX1970" s="29"/>
    </row>
    <row r="1971" spans="2:50">
      <c r="B1971" s="19"/>
      <c r="K1971" s="21"/>
      <c r="T1971" s="28"/>
      <c r="AS1971" s="24"/>
      <c r="AT1971" s="24"/>
      <c r="AU1971" s="24"/>
      <c r="AV1971" s="24"/>
      <c r="AX1971" s="29"/>
    </row>
    <row r="1972" spans="2:50">
      <c r="B1972" s="19"/>
      <c r="K1972" s="21"/>
      <c r="T1972" s="28"/>
      <c r="AS1972" s="24"/>
      <c r="AT1972" s="24"/>
      <c r="AU1972" s="24"/>
      <c r="AV1972" s="24"/>
      <c r="AX1972" s="29"/>
    </row>
    <row r="1973" spans="2:50">
      <c r="B1973" s="19"/>
      <c r="K1973" s="21"/>
      <c r="T1973" s="28"/>
      <c r="AS1973" s="24"/>
      <c r="AT1973" s="24"/>
      <c r="AU1973" s="24"/>
      <c r="AV1973" s="24"/>
      <c r="AX1973" s="29"/>
    </row>
    <row r="1974" spans="2:50">
      <c r="B1974" s="19"/>
      <c r="K1974" s="21"/>
      <c r="T1974" s="28"/>
      <c r="AS1974" s="24"/>
      <c r="AT1974" s="24"/>
      <c r="AU1974" s="24"/>
      <c r="AV1974" s="24"/>
      <c r="AX1974" s="29"/>
    </row>
    <row r="1975" spans="2:50">
      <c r="B1975" s="19"/>
      <c r="K1975" s="21"/>
      <c r="T1975" s="28"/>
      <c r="AS1975" s="24"/>
      <c r="AT1975" s="24"/>
      <c r="AU1975" s="24"/>
      <c r="AV1975" s="24"/>
      <c r="AX1975" s="29"/>
    </row>
    <row r="1976" spans="2:50">
      <c r="B1976" s="19"/>
      <c r="K1976" s="21"/>
      <c r="T1976" s="28"/>
      <c r="AS1976" s="24"/>
      <c r="AT1976" s="24"/>
      <c r="AU1976" s="24"/>
      <c r="AV1976" s="24"/>
      <c r="AX1976" s="29"/>
    </row>
    <row r="1977" spans="2:50">
      <c r="B1977" s="19"/>
      <c r="K1977" s="21"/>
      <c r="T1977" s="28"/>
      <c r="AS1977" s="24"/>
      <c r="AT1977" s="24"/>
      <c r="AU1977" s="24"/>
      <c r="AV1977" s="24"/>
      <c r="AX1977" s="29"/>
    </row>
    <row r="1978" spans="2:50">
      <c r="B1978" s="19"/>
      <c r="K1978" s="21"/>
      <c r="T1978" s="28"/>
      <c r="AS1978" s="24"/>
      <c r="AT1978" s="24"/>
      <c r="AU1978" s="24"/>
      <c r="AV1978" s="24"/>
      <c r="AX1978" s="29"/>
    </row>
    <row r="1979" spans="2:50">
      <c r="B1979" s="19"/>
      <c r="K1979" s="21"/>
      <c r="T1979" s="28"/>
      <c r="AS1979" s="24"/>
      <c r="AT1979" s="24"/>
      <c r="AU1979" s="24"/>
      <c r="AV1979" s="24"/>
      <c r="AX1979" s="29"/>
    </row>
    <row r="1980" spans="2:50">
      <c r="B1980" s="19"/>
      <c r="K1980" s="21"/>
      <c r="T1980" s="28"/>
      <c r="AS1980" s="24"/>
      <c r="AT1980" s="24"/>
      <c r="AU1980" s="24"/>
      <c r="AV1980" s="24"/>
      <c r="AX1980" s="29"/>
    </row>
    <row r="1981" spans="2:50">
      <c r="B1981" s="33"/>
      <c r="K1981" s="21"/>
      <c r="T1981" s="28"/>
      <c r="AS1981" s="24"/>
      <c r="AT1981" s="24"/>
      <c r="AU1981" s="24"/>
      <c r="AV1981" s="24"/>
      <c r="AX1981" s="29"/>
    </row>
    <row r="1982" spans="2:50">
      <c r="B1982" s="19"/>
      <c r="K1982" s="21"/>
      <c r="T1982" s="28"/>
      <c r="AS1982" s="24"/>
      <c r="AT1982" s="24"/>
      <c r="AU1982" s="24"/>
      <c r="AV1982" s="24"/>
      <c r="AX1982" s="29"/>
    </row>
    <row r="1983" spans="2:50">
      <c r="B1983" s="19"/>
      <c r="K1983" s="21"/>
      <c r="T1983" s="28"/>
      <c r="AS1983" s="24"/>
      <c r="AT1983" s="24"/>
      <c r="AU1983" s="24"/>
      <c r="AV1983" s="24"/>
      <c r="AX1983" s="29"/>
    </row>
    <row r="1984" spans="2:50">
      <c r="B1984" s="19"/>
      <c r="K1984" s="21"/>
      <c r="T1984" s="28"/>
      <c r="AS1984" s="24"/>
      <c r="AT1984" s="24"/>
      <c r="AU1984" s="24"/>
      <c r="AV1984" s="24"/>
      <c r="AX1984" s="29"/>
    </row>
    <row r="1985" spans="2:50">
      <c r="B1985" s="19"/>
      <c r="K1985" s="21"/>
      <c r="T1985" s="28"/>
      <c r="AS1985" s="24"/>
      <c r="AT1985" s="24"/>
      <c r="AU1985" s="24"/>
      <c r="AV1985" s="24"/>
      <c r="AX1985" s="29"/>
    </row>
    <row r="1986" spans="2:50">
      <c r="B1986" s="19"/>
      <c r="K1986" s="21"/>
      <c r="T1986" s="28"/>
      <c r="AS1986" s="24"/>
      <c r="AT1986" s="24"/>
      <c r="AU1986" s="24"/>
      <c r="AV1986" s="24"/>
      <c r="AX1986" s="29"/>
    </row>
    <row r="1987" spans="2:50">
      <c r="B1987" s="19"/>
      <c r="K1987" s="21"/>
      <c r="T1987" s="28"/>
      <c r="AS1987" s="24"/>
      <c r="AT1987" s="24"/>
      <c r="AU1987" s="24"/>
      <c r="AV1987" s="24"/>
      <c r="AX1987" s="29"/>
    </row>
    <row r="1988" spans="2:50">
      <c r="B1988" s="19"/>
      <c r="K1988" s="21"/>
      <c r="T1988" s="28"/>
      <c r="AS1988" s="24"/>
      <c r="AT1988" s="24"/>
      <c r="AU1988" s="24"/>
      <c r="AV1988" s="24"/>
      <c r="AX1988" s="29"/>
    </row>
    <row r="1989" spans="2:50">
      <c r="B1989" s="19"/>
      <c r="K1989" s="21"/>
      <c r="T1989" s="28"/>
      <c r="AS1989" s="24"/>
      <c r="AT1989" s="24"/>
      <c r="AU1989" s="24"/>
      <c r="AV1989" s="24"/>
      <c r="AX1989" s="29"/>
    </row>
    <row r="1990" spans="2:50">
      <c r="B1990" s="19"/>
      <c r="K1990" s="21"/>
      <c r="T1990" s="28"/>
      <c r="AS1990" s="24"/>
      <c r="AT1990" s="24"/>
      <c r="AU1990" s="24"/>
      <c r="AV1990" s="24"/>
      <c r="AX1990" s="29"/>
    </row>
    <row r="1991" spans="2:50" ht="15" customHeight="1">
      <c r="B1991" s="19"/>
      <c r="K1991" s="21"/>
      <c r="T1991" s="28"/>
      <c r="AS1991" s="24"/>
      <c r="AT1991" s="24"/>
      <c r="AU1991" s="24"/>
      <c r="AV1991" s="24"/>
      <c r="AX1991" s="29"/>
    </row>
    <row r="1992" spans="2:50">
      <c r="B1992" s="19"/>
      <c r="K1992" s="21"/>
      <c r="T1992" s="28"/>
      <c r="AS1992" s="24"/>
      <c r="AT1992" s="24"/>
      <c r="AU1992" s="24"/>
      <c r="AV1992" s="24"/>
      <c r="AX1992" s="29"/>
    </row>
    <row r="1993" spans="2:50">
      <c r="B1993" s="19"/>
      <c r="K1993" s="21"/>
      <c r="T1993" s="28"/>
      <c r="AS1993" s="24"/>
      <c r="AT1993" s="24"/>
      <c r="AU1993" s="24"/>
      <c r="AV1993" s="24"/>
      <c r="AX1993" s="29"/>
    </row>
    <row r="1994" spans="2:50">
      <c r="B1994" s="19"/>
      <c r="K1994" s="21"/>
      <c r="T1994" s="28"/>
      <c r="AS1994" s="24"/>
      <c r="AT1994" s="24"/>
      <c r="AU1994" s="24"/>
      <c r="AV1994" s="24"/>
      <c r="AX1994" s="29"/>
    </row>
    <row r="1995" spans="2:50">
      <c r="B1995" s="19"/>
      <c r="K1995" s="21"/>
      <c r="T1995" s="28"/>
      <c r="AS1995" s="24"/>
      <c r="AT1995" s="24"/>
      <c r="AU1995" s="24"/>
      <c r="AV1995" s="24"/>
      <c r="AX1995" s="29"/>
    </row>
    <row r="1996" spans="2:50">
      <c r="B1996" s="19"/>
      <c r="K1996" s="21"/>
      <c r="T1996" s="28"/>
      <c r="AS1996" s="24"/>
      <c r="AT1996" s="24"/>
      <c r="AU1996" s="24"/>
      <c r="AV1996" s="24"/>
      <c r="AX1996" s="29"/>
    </row>
    <row r="1997" spans="2:50">
      <c r="B1997" s="19"/>
      <c r="K1997" s="21"/>
      <c r="T1997" s="28"/>
      <c r="AS1997" s="24"/>
      <c r="AT1997" s="24"/>
      <c r="AU1997" s="24"/>
      <c r="AV1997" s="24"/>
      <c r="AX1997" s="29"/>
    </row>
    <row r="1998" spans="2:50">
      <c r="B1998" s="19"/>
      <c r="K1998" s="21"/>
      <c r="T1998" s="28"/>
      <c r="AS1998" s="24"/>
      <c r="AT1998" s="24"/>
      <c r="AU1998" s="24"/>
      <c r="AV1998" s="24"/>
      <c r="AX1998" s="29"/>
    </row>
    <row r="1999" spans="2:50">
      <c r="B1999" s="19"/>
      <c r="K1999" s="21"/>
      <c r="T1999" s="28"/>
      <c r="AS1999" s="24"/>
      <c r="AT1999" s="24"/>
      <c r="AU1999" s="24"/>
      <c r="AV1999" s="24"/>
      <c r="AX1999" s="29"/>
    </row>
    <row r="2000" spans="2:50">
      <c r="B2000" s="19"/>
      <c r="K2000" s="21"/>
      <c r="T2000" s="28"/>
      <c r="AS2000" s="24"/>
      <c r="AT2000" s="24"/>
      <c r="AU2000" s="24"/>
      <c r="AV2000" s="24"/>
      <c r="AX2000" s="29"/>
    </row>
    <row r="2001" spans="2:50">
      <c r="B2001" s="19"/>
      <c r="K2001" s="21"/>
      <c r="T2001" s="28"/>
      <c r="AS2001" s="24"/>
      <c r="AT2001" s="24"/>
      <c r="AU2001" s="24"/>
      <c r="AV2001" s="24"/>
      <c r="AX2001" s="29"/>
    </row>
    <row r="2002" spans="2:50">
      <c r="B2002" s="19"/>
      <c r="K2002" s="21"/>
      <c r="T2002" s="28"/>
      <c r="AS2002" s="24"/>
      <c r="AT2002" s="24"/>
      <c r="AU2002" s="24"/>
      <c r="AV2002" s="24"/>
      <c r="AX2002" s="29"/>
    </row>
    <row r="2003" spans="2:50">
      <c r="B2003" s="19"/>
      <c r="K2003" s="21"/>
      <c r="T2003" s="28"/>
      <c r="AS2003" s="24"/>
      <c r="AT2003" s="24"/>
      <c r="AU2003" s="24"/>
      <c r="AV2003" s="24"/>
      <c r="AX2003" s="29"/>
    </row>
    <row r="2004" spans="2:50">
      <c r="B2004" s="19"/>
      <c r="K2004" s="21"/>
      <c r="T2004" s="28"/>
      <c r="AS2004" s="24"/>
      <c r="AT2004" s="24"/>
      <c r="AU2004" s="24"/>
      <c r="AV2004" s="24"/>
      <c r="AX2004" s="29"/>
    </row>
    <row r="2005" spans="2:50">
      <c r="B2005" s="19"/>
      <c r="K2005" s="21"/>
      <c r="T2005" s="28"/>
      <c r="AS2005" s="24"/>
      <c r="AT2005" s="24"/>
      <c r="AU2005" s="24"/>
      <c r="AV2005" s="24"/>
      <c r="AX2005" s="29"/>
    </row>
    <row r="2006" spans="2:50">
      <c r="B2006" s="19"/>
      <c r="K2006" s="21"/>
      <c r="T2006" s="28"/>
      <c r="AS2006" s="24"/>
      <c r="AT2006" s="24"/>
      <c r="AU2006" s="24"/>
      <c r="AV2006" s="24"/>
      <c r="AX2006" s="29"/>
    </row>
    <row r="2007" spans="2:50">
      <c r="B2007" s="19"/>
      <c r="K2007" s="21"/>
      <c r="T2007" s="28"/>
      <c r="AS2007" s="24"/>
      <c r="AT2007" s="24"/>
      <c r="AU2007" s="24"/>
      <c r="AV2007" s="24"/>
      <c r="AX2007" s="29"/>
    </row>
    <row r="2008" spans="2:50">
      <c r="B2008" s="19"/>
      <c r="K2008" s="21"/>
      <c r="T2008" s="28"/>
      <c r="AS2008" s="24"/>
      <c r="AT2008" s="24"/>
      <c r="AU2008" s="24"/>
      <c r="AV2008" s="24"/>
      <c r="AX2008" s="29"/>
    </row>
    <row r="2009" spans="2:50">
      <c r="B2009" s="19"/>
      <c r="K2009" s="21"/>
      <c r="T2009" s="28"/>
      <c r="AS2009" s="24"/>
      <c r="AT2009" s="24"/>
      <c r="AU2009" s="24"/>
      <c r="AV2009" s="24"/>
      <c r="AX2009" s="29"/>
    </row>
    <row r="2010" spans="2:50">
      <c r="B2010" s="19"/>
      <c r="K2010" s="21"/>
      <c r="T2010" s="28"/>
      <c r="AS2010" s="24"/>
      <c r="AT2010" s="24"/>
      <c r="AU2010" s="24"/>
      <c r="AV2010" s="24"/>
      <c r="AX2010" s="29"/>
    </row>
    <row r="2011" spans="2:50">
      <c r="B2011" s="19"/>
      <c r="K2011" s="21"/>
      <c r="T2011" s="28"/>
      <c r="AS2011" s="24"/>
      <c r="AT2011" s="24"/>
      <c r="AU2011" s="24"/>
      <c r="AV2011" s="24"/>
      <c r="AX2011" s="29"/>
    </row>
    <row r="2012" spans="2:50">
      <c r="B2012" s="19"/>
      <c r="K2012" s="21"/>
      <c r="T2012" s="28"/>
      <c r="AS2012" s="24"/>
      <c r="AT2012" s="24"/>
      <c r="AU2012" s="24"/>
      <c r="AV2012" s="24"/>
      <c r="AX2012" s="29"/>
    </row>
    <row r="2013" spans="2:50">
      <c r="B2013" s="19"/>
      <c r="K2013" s="21"/>
      <c r="T2013" s="28"/>
      <c r="AS2013" s="24"/>
      <c r="AT2013" s="24"/>
      <c r="AU2013" s="24"/>
      <c r="AV2013" s="24"/>
      <c r="AX2013" s="29"/>
    </row>
    <row r="2014" spans="2:50">
      <c r="B2014" s="19"/>
      <c r="K2014" s="21"/>
      <c r="T2014" s="28"/>
      <c r="AS2014" s="24"/>
      <c r="AT2014" s="24"/>
      <c r="AU2014" s="24"/>
      <c r="AV2014" s="24"/>
      <c r="AX2014" s="29"/>
    </row>
    <row r="2015" spans="2:50">
      <c r="B2015" s="19"/>
      <c r="K2015" s="21"/>
      <c r="T2015" s="28"/>
      <c r="AS2015" s="24"/>
      <c r="AT2015" s="24"/>
      <c r="AU2015" s="24"/>
      <c r="AV2015" s="24"/>
      <c r="AX2015" s="29"/>
    </row>
    <row r="2016" spans="2:50">
      <c r="B2016" s="19"/>
      <c r="K2016" s="21"/>
      <c r="T2016" s="28"/>
      <c r="AS2016" s="24"/>
      <c r="AT2016" s="24"/>
      <c r="AU2016" s="24"/>
      <c r="AV2016" s="24"/>
      <c r="AX2016" s="29"/>
    </row>
    <row r="2017" spans="2:50">
      <c r="B2017" s="19"/>
      <c r="K2017" s="21"/>
      <c r="T2017" s="28"/>
      <c r="AS2017" s="24"/>
      <c r="AT2017" s="24"/>
      <c r="AU2017" s="24"/>
      <c r="AV2017" s="24"/>
      <c r="AX2017" s="29"/>
    </row>
    <row r="2018" spans="2:50">
      <c r="B2018" s="33"/>
      <c r="K2018" s="21"/>
      <c r="T2018" s="28"/>
      <c r="AS2018" s="24"/>
      <c r="AT2018" s="24"/>
      <c r="AU2018" s="24"/>
      <c r="AV2018" s="24"/>
      <c r="AX2018" s="29"/>
    </row>
    <row r="2019" spans="2:50">
      <c r="B2019" s="19"/>
      <c r="K2019" s="21"/>
      <c r="T2019" s="28"/>
      <c r="AS2019" s="24"/>
      <c r="AT2019" s="24"/>
      <c r="AU2019" s="24"/>
      <c r="AV2019" s="24"/>
      <c r="AX2019" s="29"/>
    </row>
    <row r="2020" spans="2:50">
      <c r="B2020" s="19"/>
      <c r="K2020" s="21"/>
      <c r="T2020" s="28"/>
      <c r="AS2020" s="24"/>
      <c r="AT2020" s="24"/>
      <c r="AU2020" s="24"/>
      <c r="AV2020" s="24"/>
      <c r="AX2020" s="29"/>
    </row>
    <row r="2021" spans="2:50">
      <c r="B2021" s="19"/>
      <c r="K2021" s="21"/>
      <c r="T2021" s="28"/>
      <c r="AS2021" s="24"/>
      <c r="AT2021" s="24"/>
      <c r="AU2021" s="24"/>
      <c r="AV2021" s="24"/>
      <c r="AX2021" s="29"/>
    </row>
    <row r="2022" spans="2:50">
      <c r="B2022" s="19"/>
      <c r="K2022" s="21"/>
      <c r="T2022" s="28"/>
      <c r="AS2022" s="24"/>
      <c r="AT2022" s="24"/>
      <c r="AU2022" s="24"/>
      <c r="AV2022" s="24"/>
      <c r="AX2022" s="29"/>
    </row>
    <row r="2023" spans="2:50">
      <c r="B2023" s="19"/>
      <c r="K2023" s="21"/>
      <c r="T2023" s="28"/>
      <c r="AS2023" s="24"/>
      <c r="AT2023" s="24"/>
      <c r="AU2023" s="24"/>
      <c r="AV2023" s="24"/>
      <c r="AX2023" s="29"/>
    </row>
    <row r="2024" spans="2:50">
      <c r="B2024" s="19"/>
      <c r="K2024" s="21"/>
      <c r="T2024" s="28"/>
      <c r="AS2024" s="24"/>
      <c r="AT2024" s="24"/>
      <c r="AU2024" s="24"/>
      <c r="AV2024" s="24"/>
      <c r="AX2024" s="29"/>
    </row>
    <row r="2025" spans="2:50">
      <c r="B2025" s="19"/>
      <c r="K2025" s="21"/>
      <c r="T2025" s="28"/>
      <c r="AS2025" s="24"/>
      <c r="AT2025" s="24"/>
      <c r="AU2025" s="24"/>
      <c r="AV2025" s="24"/>
      <c r="AX2025" s="29"/>
    </row>
    <row r="2026" spans="2:50">
      <c r="B2026" s="19"/>
      <c r="K2026" s="21"/>
      <c r="T2026" s="28"/>
      <c r="AS2026" s="24"/>
      <c r="AT2026" s="24"/>
      <c r="AU2026" s="24"/>
      <c r="AV2026" s="24"/>
      <c r="AX2026" s="29"/>
    </row>
    <row r="2027" spans="2:50">
      <c r="B2027" s="19"/>
      <c r="K2027" s="21"/>
      <c r="T2027" s="28"/>
      <c r="AS2027" s="24"/>
      <c r="AT2027" s="24"/>
      <c r="AU2027" s="24"/>
      <c r="AV2027" s="24"/>
      <c r="AX2027" s="29"/>
    </row>
    <row r="2028" spans="2:50">
      <c r="B2028" s="19"/>
      <c r="K2028" s="21"/>
      <c r="T2028" s="28"/>
      <c r="AS2028" s="24"/>
      <c r="AT2028" s="24"/>
      <c r="AU2028" s="24"/>
      <c r="AV2028" s="24"/>
      <c r="AX2028" s="29"/>
    </row>
    <row r="2029" spans="2:50">
      <c r="B2029" s="19"/>
      <c r="K2029" s="21"/>
      <c r="T2029" s="28"/>
      <c r="AS2029" s="24"/>
      <c r="AT2029" s="24"/>
      <c r="AU2029" s="24"/>
      <c r="AV2029" s="24"/>
      <c r="AX2029" s="29"/>
    </row>
    <row r="2030" spans="2:50">
      <c r="B2030" s="19"/>
      <c r="K2030" s="21"/>
      <c r="T2030" s="28"/>
      <c r="AS2030" s="24"/>
      <c r="AT2030" s="24"/>
      <c r="AU2030" s="24"/>
      <c r="AV2030" s="24"/>
      <c r="AX2030" s="29"/>
    </row>
    <row r="2031" spans="2:50">
      <c r="B2031" s="19"/>
      <c r="K2031" s="21"/>
      <c r="T2031" s="28"/>
      <c r="AS2031" s="24"/>
      <c r="AT2031" s="24"/>
      <c r="AU2031" s="24"/>
      <c r="AV2031" s="24"/>
      <c r="AX2031" s="29"/>
    </row>
    <row r="2032" spans="2:50">
      <c r="B2032" s="19"/>
      <c r="K2032" s="21"/>
      <c r="T2032" s="28"/>
      <c r="AS2032" s="24"/>
      <c r="AT2032" s="24"/>
      <c r="AU2032" s="24"/>
      <c r="AV2032" s="24"/>
      <c r="AX2032" s="29"/>
    </row>
    <row r="2033" spans="2:50">
      <c r="B2033" s="19"/>
      <c r="K2033" s="21"/>
      <c r="T2033" s="28"/>
      <c r="AS2033" s="24"/>
      <c r="AT2033" s="24"/>
      <c r="AU2033" s="24"/>
      <c r="AV2033" s="24"/>
      <c r="AX2033" s="29"/>
    </row>
    <row r="2034" spans="2:50">
      <c r="B2034" s="19"/>
      <c r="K2034" s="21"/>
      <c r="T2034" s="28"/>
      <c r="AS2034" s="24"/>
      <c r="AT2034" s="24"/>
      <c r="AU2034" s="24"/>
      <c r="AV2034" s="24"/>
      <c r="AX2034" s="29"/>
    </row>
    <row r="2035" spans="2:50">
      <c r="B2035" s="19"/>
      <c r="K2035" s="21"/>
      <c r="T2035" s="28"/>
      <c r="AS2035" s="24"/>
      <c r="AT2035" s="24"/>
      <c r="AU2035" s="24"/>
      <c r="AV2035" s="24"/>
      <c r="AX2035" s="29"/>
    </row>
    <row r="2036" spans="2:50">
      <c r="B2036" s="19"/>
      <c r="K2036" s="21"/>
      <c r="T2036" s="28"/>
      <c r="AS2036" s="24"/>
      <c r="AT2036" s="24"/>
      <c r="AU2036" s="24"/>
      <c r="AV2036" s="24"/>
      <c r="AX2036" s="29"/>
    </row>
    <row r="2037" spans="2:50">
      <c r="B2037" s="19"/>
      <c r="K2037" s="21"/>
      <c r="T2037" s="28"/>
      <c r="AS2037" s="24"/>
      <c r="AT2037" s="24"/>
      <c r="AU2037" s="24"/>
      <c r="AV2037" s="24"/>
      <c r="AX2037" s="29"/>
    </row>
    <row r="2038" spans="2:50">
      <c r="B2038" s="19"/>
      <c r="K2038" s="21"/>
      <c r="T2038" s="28"/>
      <c r="AS2038" s="24"/>
      <c r="AT2038" s="24"/>
      <c r="AU2038" s="24"/>
      <c r="AV2038" s="24"/>
      <c r="AX2038" s="29"/>
    </row>
    <row r="2039" spans="2:50">
      <c r="B2039" s="19"/>
      <c r="K2039" s="21"/>
      <c r="T2039" s="28"/>
      <c r="AS2039" s="24"/>
      <c r="AT2039" s="24"/>
      <c r="AU2039" s="24"/>
      <c r="AV2039" s="24"/>
      <c r="AX2039" s="29"/>
    </row>
    <row r="2040" spans="2:50">
      <c r="B2040" s="19"/>
      <c r="K2040" s="21"/>
      <c r="T2040" s="28"/>
      <c r="AS2040" s="24"/>
      <c r="AT2040" s="24"/>
      <c r="AU2040" s="24"/>
      <c r="AV2040" s="24"/>
      <c r="AX2040" s="29"/>
    </row>
    <row r="2041" spans="2:50">
      <c r="B2041" s="19"/>
      <c r="K2041" s="21"/>
      <c r="T2041" s="28"/>
      <c r="AS2041" s="24"/>
      <c r="AT2041" s="24"/>
      <c r="AU2041" s="24"/>
      <c r="AV2041" s="24"/>
      <c r="AX2041" s="29"/>
    </row>
    <row r="2042" spans="2:50">
      <c r="B2042" s="19"/>
      <c r="K2042" s="21"/>
      <c r="T2042" s="28"/>
      <c r="AS2042" s="24"/>
      <c r="AT2042" s="24"/>
      <c r="AU2042" s="24"/>
      <c r="AV2042" s="24"/>
      <c r="AX2042" s="29"/>
    </row>
    <row r="2043" spans="2:50">
      <c r="B2043" s="19"/>
      <c r="K2043" s="21"/>
      <c r="T2043" s="28"/>
      <c r="AS2043" s="24"/>
      <c r="AT2043" s="24"/>
      <c r="AU2043" s="24"/>
      <c r="AV2043" s="24"/>
      <c r="AX2043" s="29"/>
    </row>
    <row r="2044" spans="2:50">
      <c r="B2044" s="19"/>
      <c r="K2044" s="21"/>
      <c r="T2044" s="28"/>
      <c r="AS2044" s="24"/>
      <c r="AT2044" s="24"/>
      <c r="AU2044" s="24"/>
      <c r="AV2044" s="24"/>
      <c r="AX2044" s="29"/>
    </row>
    <row r="2045" spans="2:50">
      <c r="B2045" s="19"/>
      <c r="K2045" s="21"/>
      <c r="T2045" s="28"/>
      <c r="AS2045" s="24"/>
      <c r="AT2045" s="24"/>
      <c r="AU2045" s="24"/>
      <c r="AV2045" s="24"/>
      <c r="AX2045" s="29"/>
    </row>
    <row r="2046" spans="2:50">
      <c r="B2046" s="19"/>
      <c r="K2046" s="21"/>
      <c r="T2046" s="28"/>
      <c r="AS2046" s="24"/>
      <c r="AT2046" s="24"/>
      <c r="AU2046" s="24"/>
      <c r="AV2046" s="24"/>
      <c r="AX2046" s="29"/>
    </row>
    <row r="2047" spans="2:50">
      <c r="B2047" s="19"/>
      <c r="K2047" s="21"/>
      <c r="T2047" s="28"/>
      <c r="AS2047" s="24"/>
      <c r="AT2047" s="24"/>
      <c r="AU2047" s="24"/>
      <c r="AV2047" s="24"/>
      <c r="AX2047" s="29"/>
    </row>
    <row r="2048" spans="2:50">
      <c r="B2048" s="19"/>
      <c r="K2048" s="21"/>
      <c r="T2048" s="28"/>
      <c r="AS2048" s="24"/>
      <c r="AT2048" s="24"/>
      <c r="AU2048" s="24"/>
      <c r="AV2048" s="24"/>
      <c r="AX2048" s="29"/>
    </row>
    <row r="2049" spans="2:50">
      <c r="B2049" s="19"/>
      <c r="K2049" s="21"/>
      <c r="T2049" s="28"/>
      <c r="AS2049" s="24"/>
      <c r="AT2049" s="24"/>
      <c r="AU2049" s="24"/>
      <c r="AV2049" s="24"/>
      <c r="AX2049" s="29"/>
    </row>
    <row r="2050" spans="2:50">
      <c r="B2050" s="19"/>
      <c r="K2050" s="21"/>
      <c r="T2050" s="28"/>
      <c r="AS2050" s="24"/>
      <c r="AT2050" s="24"/>
      <c r="AU2050" s="24"/>
      <c r="AV2050" s="24"/>
      <c r="AX2050" s="29"/>
    </row>
    <row r="2051" spans="2:50">
      <c r="B2051" s="19"/>
      <c r="K2051" s="21"/>
      <c r="T2051" s="28"/>
      <c r="AS2051" s="24"/>
      <c r="AT2051" s="24"/>
      <c r="AU2051" s="24"/>
      <c r="AV2051" s="24"/>
      <c r="AX2051" s="29"/>
    </row>
    <row r="2052" spans="2:50">
      <c r="B2052" s="19"/>
      <c r="K2052" s="21"/>
      <c r="T2052" s="28"/>
      <c r="AS2052" s="24"/>
      <c r="AT2052" s="24"/>
      <c r="AU2052" s="24"/>
      <c r="AV2052" s="24"/>
      <c r="AX2052" s="29"/>
    </row>
    <row r="2053" spans="2:50">
      <c r="B2053" s="19"/>
      <c r="K2053" s="21"/>
      <c r="T2053" s="28"/>
      <c r="AS2053" s="24"/>
      <c r="AT2053" s="24"/>
      <c r="AU2053" s="24"/>
      <c r="AV2053" s="24"/>
      <c r="AX2053" s="29"/>
    </row>
    <row r="2054" spans="2:50">
      <c r="B2054" s="19"/>
      <c r="K2054" s="21"/>
      <c r="T2054" s="28"/>
      <c r="AS2054" s="24"/>
      <c r="AT2054" s="24"/>
      <c r="AU2054" s="24"/>
      <c r="AV2054" s="24"/>
      <c r="AX2054" s="29"/>
    </row>
    <row r="2055" spans="2:50">
      <c r="B2055" s="19"/>
      <c r="K2055" s="21"/>
      <c r="T2055" s="28"/>
      <c r="AS2055" s="24"/>
      <c r="AT2055" s="24"/>
      <c r="AU2055" s="24"/>
      <c r="AV2055" s="24"/>
      <c r="AX2055" s="29"/>
    </row>
    <row r="2056" spans="2:50">
      <c r="B2056" s="19"/>
      <c r="K2056" s="21"/>
      <c r="T2056" s="28"/>
      <c r="AS2056" s="24"/>
      <c r="AT2056" s="24"/>
      <c r="AU2056" s="24"/>
      <c r="AV2056" s="24"/>
      <c r="AX2056" s="29"/>
    </row>
    <row r="2057" spans="2:50">
      <c r="B2057" s="19"/>
      <c r="K2057" s="21"/>
      <c r="T2057" s="28"/>
      <c r="AS2057" s="24"/>
      <c r="AT2057" s="24"/>
      <c r="AU2057" s="24"/>
      <c r="AV2057" s="24"/>
      <c r="AX2057" s="29"/>
    </row>
    <row r="2058" spans="2:50">
      <c r="B2058" s="19"/>
      <c r="K2058" s="21"/>
      <c r="T2058" s="28"/>
      <c r="AS2058" s="24"/>
      <c r="AT2058" s="24"/>
      <c r="AU2058" s="24"/>
      <c r="AV2058" s="24"/>
      <c r="AX2058" s="29"/>
    </row>
    <row r="2059" spans="2:50">
      <c r="B2059" s="19"/>
      <c r="K2059" s="21"/>
      <c r="T2059" s="28"/>
      <c r="AS2059" s="24"/>
      <c r="AT2059" s="24"/>
      <c r="AU2059" s="24"/>
      <c r="AV2059" s="24"/>
      <c r="AX2059" s="29"/>
    </row>
    <row r="2060" spans="2:50">
      <c r="B2060" s="19"/>
      <c r="K2060" s="21"/>
      <c r="T2060" s="28"/>
      <c r="AS2060" s="24"/>
      <c r="AT2060" s="24"/>
      <c r="AU2060" s="24"/>
      <c r="AV2060" s="24"/>
      <c r="AX2060" s="29"/>
    </row>
    <row r="2061" spans="2:50">
      <c r="B2061" s="19"/>
      <c r="K2061" s="21"/>
      <c r="T2061" s="28"/>
      <c r="AS2061" s="24"/>
      <c r="AT2061" s="24"/>
      <c r="AU2061" s="24"/>
      <c r="AV2061" s="24"/>
      <c r="AX2061" s="29"/>
    </row>
    <row r="2062" spans="2:50">
      <c r="B2062" s="19"/>
      <c r="K2062" s="21"/>
      <c r="T2062" s="28"/>
      <c r="AS2062" s="24"/>
      <c r="AT2062" s="24"/>
      <c r="AU2062" s="24"/>
      <c r="AV2062" s="24"/>
      <c r="AX2062" s="29"/>
    </row>
    <row r="2063" spans="2:50">
      <c r="B2063" s="19"/>
      <c r="K2063" s="21"/>
      <c r="T2063" s="28"/>
      <c r="AS2063" s="24"/>
      <c r="AT2063" s="24"/>
      <c r="AU2063" s="24"/>
      <c r="AV2063" s="24"/>
      <c r="AX2063" s="29"/>
    </row>
    <row r="2064" spans="2:50">
      <c r="B2064" s="19"/>
      <c r="K2064" s="21"/>
      <c r="T2064" s="28"/>
      <c r="AS2064" s="24"/>
      <c r="AT2064" s="24"/>
      <c r="AU2064" s="24"/>
      <c r="AV2064" s="24"/>
      <c r="AX2064" s="29"/>
    </row>
    <row r="2065" spans="2:50">
      <c r="B2065" s="19"/>
      <c r="K2065" s="21"/>
      <c r="T2065" s="28"/>
      <c r="AS2065" s="24"/>
      <c r="AT2065" s="24"/>
      <c r="AU2065" s="24"/>
      <c r="AV2065" s="24"/>
      <c r="AX2065" s="29"/>
    </row>
    <row r="2066" spans="2:50">
      <c r="B2066" s="19"/>
      <c r="K2066" s="21"/>
      <c r="T2066" s="28"/>
      <c r="AS2066" s="24"/>
      <c r="AT2066" s="24"/>
      <c r="AU2066" s="24"/>
      <c r="AV2066" s="24"/>
      <c r="AX2066" s="29"/>
    </row>
    <row r="2067" spans="2:50">
      <c r="B2067" s="19"/>
      <c r="K2067" s="21"/>
      <c r="T2067" s="28"/>
      <c r="AS2067" s="24"/>
      <c r="AT2067" s="24"/>
      <c r="AU2067" s="24"/>
      <c r="AV2067" s="24"/>
      <c r="AX2067" s="29"/>
    </row>
    <row r="2068" spans="2:50">
      <c r="B2068" s="19"/>
      <c r="K2068" s="21"/>
      <c r="T2068" s="28"/>
      <c r="AS2068" s="24"/>
      <c r="AT2068" s="24"/>
      <c r="AU2068" s="24"/>
      <c r="AV2068" s="24"/>
      <c r="AX2068" s="29"/>
    </row>
    <row r="2069" spans="2:50">
      <c r="B2069" s="19"/>
      <c r="K2069" s="21"/>
      <c r="T2069" s="28"/>
      <c r="AS2069" s="24"/>
      <c r="AT2069" s="24"/>
      <c r="AU2069" s="24"/>
      <c r="AV2069" s="24"/>
      <c r="AX2069" s="29"/>
    </row>
    <row r="2070" spans="2:50">
      <c r="B2070" s="19"/>
      <c r="K2070" s="21"/>
      <c r="T2070" s="28"/>
      <c r="AS2070" s="24"/>
      <c r="AT2070" s="24"/>
      <c r="AU2070" s="24"/>
      <c r="AV2070" s="24"/>
      <c r="AX2070" s="29"/>
    </row>
    <row r="2071" spans="2:50">
      <c r="B2071" s="19"/>
      <c r="K2071" s="21"/>
      <c r="T2071" s="28"/>
      <c r="AS2071" s="24"/>
      <c r="AT2071" s="24"/>
      <c r="AU2071" s="24"/>
      <c r="AV2071" s="24"/>
      <c r="AX2071" s="29"/>
    </row>
    <row r="2072" spans="2:50">
      <c r="B2072" s="19"/>
      <c r="K2072" s="21"/>
      <c r="T2072" s="28"/>
      <c r="AS2072" s="24"/>
      <c r="AT2072" s="24"/>
      <c r="AU2072" s="24"/>
      <c r="AV2072" s="24"/>
      <c r="AX2072" s="29"/>
    </row>
    <row r="2073" spans="2:50">
      <c r="B2073" s="19"/>
      <c r="K2073" s="21"/>
      <c r="T2073" s="28"/>
      <c r="AS2073" s="24"/>
      <c r="AT2073" s="24"/>
      <c r="AU2073" s="24"/>
      <c r="AV2073" s="24"/>
      <c r="AX2073" s="29"/>
    </row>
    <row r="2074" spans="2:50">
      <c r="B2074" s="19"/>
      <c r="K2074" s="21"/>
      <c r="T2074" s="28"/>
      <c r="AS2074" s="24"/>
      <c r="AT2074" s="24"/>
      <c r="AU2074" s="24"/>
      <c r="AV2074" s="24"/>
      <c r="AX2074" s="29"/>
    </row>
    <row r="2075" spans="2:50">
      <c r="B2075" s="19"/>
      <c r="K2075" s="21"/>
      <c r="T2075" s="28"/>
      <c r="AS2075" s="24"/>
      <c r="AT2075" s="24"/>
      <c r="AU2075" s="24"/>
      <c r="AV2075" s="24"/>
      <c r="AX2075" s="29"/>
    </row>
    <row r="2076" spans="2:50">
      <c r="B2076" s="19"/>
      <c r="K2076" s="21"/>
      <c r="T2076" s="28"/>
      <c r="AS2076" s="24"/>
      <c r="AT2076" s="24"/>
      <c r="AU2076" s="24"/>
      <c r="AV2076" s="24"/>
      <c r="AX2076" s="29"/>
    </row>
    <row r="2077" spans="2:50">
      <c r="B2077" s="19"/>
      <c r="K2077" s="21"/>
      <c r="T2077" s="28"/>
      <c r="AS2077" s="24"/>
      <c r="AT2077" s="24"/>
      <c r="AU2077" s="24"/>
      <c r="AV2077" s="24"/>
      <c r="AX2077" s="29"/>
    </row>
    <row r="2078" spans="2:50">
      <c r="B2078" s="19"/>
      <c r="K2078" s="21"/>
      <c r="T2078" s="28"/>
      <c r="AS2078" s="24"/>
      <c r="AT2078" s="24"/>
      <c r="AU2078" s="24"/>
      <c r="AV2078" s="24"/>
      <c r="AX2078" s="29"/>
    </row>
    <row r="2079" spans="2:50">
      <c r="B2079" s="19"/>
      <c r="K2079" s="21"/>
      <c r="T2079" s="28"/>
      <c r="AS2079" s="24"/>
      <c r="AT2079" s="24"/>
      <c r="AU2079" s="24"/>
      <c r="AV2079" s="24"/>
      <c r="AX2079" s="29"/>
    </row>
    <row r="2080" spans="2:50">
      <c r="B2080" s="19"/>
      <c r="K2080" s="21"/>
      <c r="T2080" s="28"/>
      <c r="AS2080" s="24"/>
      <c r="AT2080" s="24"/>
      <c r="AU2080" s="24"/>
      <c r="AV2080" s="24"/>
      <c r="AX2080" s="29"/>
    </row>
    <row r="2081" spans="2:50">
      <c r="B2081" s="19"/>
      <c r="K2081" s="21"/>
      <c r="T2081" s="28"/>
      <c r="AS2081" s="24"/>
      <c r="AT2081" s="24"/>
      <c r="AU2081" s="24"/>
      <c r="AV2081" s="24"/>
      <c r="AX2081" s="29"/>
    </row>
    <row r="2082" spans="2:50">
      <c r="B2082" s="19"/>
      <c r="K2082" s="21"/>
      <c r="T2082" s="28"/>
      <c r="AS2082" s="24"/>
      <c r="AT2082" s="24"/>
      <c r="AU2082" s="24"/>
      <c r="AV2082" s="24"/>
      <c r="AX2082" s="29"/>
    </row>
    <row r="2083" spans="2:50">
      <c r="B2083" s="19"/>
      <c r="K2083" s="21"/>
      <c r="T2083" s="28"/>
      <c r="AS2083" s="24"/>
      <c r="AT2083" s="24"/>
      <c r="AU2083" s="24"/>
      <c r="AV2083" s="24"/>
      <c r="AX2083" s="29"/>
    </row>
    <row r="2084" spans="2:50">
      <c r="B2084" s="19"/>
      <c r="K2084" s="21"/>
      <c r="T2084" s="28"/>
      <c r="AS2084" s="24"/>
      <c r="AT2084" s="24"/>
      <c r="AU2084" s="24"/>
      <c r="AV2084" s="24"/>
      <c r="AX2084" s="29"/>
    </row>
    <row r="2085" spans="2:50">
      <c r="B2085" s="19"/>
      <c r="K2085" s="21"/>
      <c r="T2085" s="28"/>
      <c r="AS2085" s="24"/>
      <c r="AT2085" s="24"/>
      <c r="AU2085" s="24"/>
      <c r="AV2085" s="24"/>
      <c r="AX2085" s="29"/>
    </row>
    <row r="2086" spans="2:50">
      <c r="B2086" s="19"/>
      <c r="K2086" s="21"/>
      <c r="T2086" s="28"/>
      <c r="AS2086" s="24"/>
      <c r="AT2086" s="24"/>
      <c r="AU2086" s="24"/>
      <c r="AV2086" s="24"/>
      <c r="AX2086" s="29"/>
    </row>
    <row r="2087" spans="2:50">
      <c r="B2087" s="19"/>
      <c r="K2087" s="21"/>
      <c r="T2087" s="28"/>
      <c r="AS2087" s="24"/>
      <c r="AT2087" s="24"/>
      <c r="AU2087" s="24"/>
      <c r="AV2087" s="24"/>
      <c r="AX2087" s="29"/>
    </row>
    <row r="2088" spans="2:50">
      <c r="B2088" s="19"/>
      <c r="K2088" s="21"/>
      <c r="T2088" s="28"/>
      <c r="AS2088" s="24"/>
      <c r="AT2088" s="24"/>
      <c r="AU2088" s="24"/>
      <c r="AV2088" s="24"/>
      <c r="AX2088" s="29"/>
    </row>
    <row r="2089" spans="2:50">
      <c r="B2089" s="19"/>
      <c r="K2089" s="21"/>
      <c r="T2089" s="28"/>
      <c r="AS2089" s="24"/>
      <c r="AT2089" s="24"/>
      <c r="AU2089" s="24"/>
      <c r="AV2089" s="24"/>
      <c r="AX2089" s="29"/>
    </row>
    <row r="2090" spans="2:50">
      <c r="B2090" s="19"/>
      <c r="K2090" s="21"/>
      <c r="T2090" s="28"/>
      <c r="AS2090" s="24"/>
      <c r="AT2090" s="24"/>
      <c r="AU2090" s="24"/>
      <c r="AV2090" s="24"/>
      <c r="AX2090" s="29"/>
    </row>
    <row r="2091" spans="2:50">
      <c r="B2091" s="19"/>
      <c r="K2091" s="21"/>
      <c r="T2091" s="28"/>
      <c r="AS2091" s="24"/>
      <c r="AT2091" s="24"/>
      <c r="AU2091" s="24"/>
      <c r="AV2091" s="24"/>
      <c r="AX2091" s="29"/>
    </row>
    <row r="2092" spans="2:50">
      <c r="B2092" s="19"/>
      <c r="K2092" s="21"/>
      <c r="T2092" s="28"/>
      <c r="AS2092" s="24"/>
      <c r="AT2092" s="24"/>
      <c r="AU2092" s="24"/>
      <c r="AV2092" s="24"/>
      <c r="AX2092" s="29"/>
    </row>
    <row r="2093" spans="2:50">
      <c r="B2093" s="19"/>
      <c r="K2093" s="21"/>
      <c r="T2093" s="28"/>
      <c r="AS2093" s="24"/>
      <c r="AT2093" s="24"/>
      <c r="AU2093" s="24"/>
      <c r="AV2093" s="24"/>
      <c r="AX2093" s="29"/>
    </row>
    <row r="2094" spans="2:50">
      <c r="B2094" s="19"/>
      <c r="K2094" s="21"/>
      <c r="T2094" s="28"/>
      <c r="AS2094" s="24"/>
      <c r="AT2094" s="24"/>
      <c r="AU2094" s="24"/>
      <c r="AV2094" s="24"/>
      <c r="AX2094" s="29"/>
    </row>
    <row r="2095" spans="2:50">
      <c r="B2095" s="19"/>
      <c r="K2095" s="21"/>
      <c r="T2095" s="28"/>
      <c r="AS2095" s="24"/>
      <c r="AT2095" s="24"/>
      <c r="AU2095" s="24"/>
      <c r="AV2095" s="24"/>
      <c r="AX2095" s="29"/>
    </row>
    <row r="2096" spans="2:50">
      <c r="B2096" s="19"/>
      <c r="K2096" s="21"/>
      <c r="T2096" s="28"/>
      <c r="AS2096" s="24"/>
      <c r="AT2096" s="24"/>
      <c r="AU2096" s="24"/>
      <c r="AV2096" s="24"/>
      <c r="AX2096" s="29"/>
    </row>
    <row r="2097" spans="2:50">
      <c r="B2097" s="19"/>
      <c r="K2097" s="21"/>
      <c r="T2097" s="28"/>
      <c r="AS2097" s="24"/>
      <c r="AT2097" s="24"/>
      <c r="AU2097" s="24"/>
      <c r="AV2097" s="24"/>
      <c r="AX2097" s="29"/>
    </row>
    <row r="2098" spans="2:50">
      <c r="B2098" s="19"/>
      <c r="K2098" s="21"/>
      <c r="T2098" s="28"/>
      <c r="AS2098" s="24"/>
      <c r="AT2098" s="24"/>
      <c r="AU2098" s="24"/>
      <c r="AV2098" s="24"/>
      <c r="AX2098" s="29"/>
    </row>
    <row r="2099" spans="2:50">
      <c r="B2099" s="19"/>
      <c r="K2099" s="21"/>
      <c r="T2099" s="28"/>
      <c r="AS2099" s="24"/>
      <c r="AT2099" s="24"/>
      <c r="AU2099" s="24"/>
      <c r="AV2099" s="24"/>
      <c r="AX2099" s="29"/>
    </row>
    <row r="2100" spans="2:50">
      <c r="B2100" s="19"/>
      <c r="K2100" s="21"/>
      <c r="T2100" s="28"/>
      <c r="AS2100" s="24"/>
      <c r="AT2100" s="24"/>
      <c r="AU2100" s="24"/>
      <c r="AV2100" s="24"/>
      <c r="AX2100" s="29"/>
    </row>
    <row r="2101" spans="2:50">
      <c r="B2101" s="19"/>
      <c r="K2101" s="21"/>
      <c r="T2101" s="28"/>
      <c r="AS2101" s="24"/>
      <c r="AT2101" s="24"/>
      <c r="AU2101" s="24"/>
      <c r="AV2101" s="24"/>
      <c r="AX2101" s="29"/>
    </row>
    <row r="2102" spans="2:50">
      <c r="B2102" s="19"/>
      <c r="K2102" s="21"/>
      <c r="T2102" s="28"/>
      <c r="AS2102" s="24"/>
      <c r="AT2102" s="24"/>
      <c r="AU2102" s="24"/>
      <c r="AV2102" s="24"/>
      <c r="AX2102" s="29"/>
    </row>
    <row r="2103" spans="2:50">
      <c r="B2103" s="19"/>
      <c r="K2103" s="21"/>
      <c r="T2103" s="28"/>
      <c r="AS2103" s="24"/>
      <c r="AT2103" s="24"/>
      <c r="AU2103" s="24"/>
      <c r="AV2103" s="24"/>
      <c r="AX2103" s="29"/>
    </row>
    <row r="2104" spans="2:50">
      <c r="B2104" s="19"/>
      <c r="K2104" s="21"/>
      <c r="T2104" s="28"/>
      <c r="AS2104" s="24"/>
      <c r="AT2104" s="24"/>
      <c r="AU2104" s="24"/>
      <c r="AV2104" s="24"/>
      <c r="AX2104" s="29"/>
    </row>
    <row r="2105" spans="2:50">
      <c r="B2105" s="19"/>
      <c r="K2105" s="21"/>
      <c r="T2105" s="28"/>
      <c r="AS2105" s="24"/>
      <c r="AT2105" s="24"/>
      <c r="AU2105" s="24"/>
      <c r="AV2105" s="24"/>
      <c r="AX2105" s="29"/>
    </row>
    <row r="2106" spans="2:50">
      <c r="B2106" s="19"/>
      <c r="K2106" s="21"/>
      <c r="T2106" s="28"/>
      <c r="AS2106" s="24"/>
      <c r="AT2106" s="24"/>
      <c r="AU2106" s="24"/>
      <c r="AV2106" s="24"/>
      <c r="AX2106" s="29"/>
    </row>
    <row r="2107" spans="2:50">
      <c r="B2107" s="19"/>
      <c r="K2107" s="21"/>
      <c r="T2107" s="28"/>
      <c r="AS2107" s="24"/>
      <c r="AT2107" s="24"/>
      <c r="AU2107" s="24"/>
      <c r="AV2107" s="24"/>
      <c r="AX2107" s="29"/>
    </row>
    <row r="2108" spans="2:50">
      <c r="B2108" s="19"/>
      <c r="K2108" s="21"/>
      <c r="T2108" s="28"/>
      <c r="AS2108" s="24"/>
      <c r="AT2108" s="24"/>
      <c r="AU2108" s="24"/>
      <c r="AV2108" s="24"/>
      <c r="AX2108" s="29"/>
    </row>
    <row r="2109" spans="2:50">
      <c r="B2109" s="19"/>
      <c r="K2109" s="21"/>
      <c r="T2109" s="28"/>
      <c r="AS2109" s="24"/>
      <c r="AT2109" s="24"/>
      <c r="AU2109" s="24"/>
      <c r="AV2109" s="24"/>
      <c r="AX2109" s="29"/>
    </row>
    <row r="2110" spans="2:50">
      <c r="B2110" s="19"/>
      <c r="K2110" s="21"/>
      <c r="T2110" s="28"/>
      <c r="AS2110" s="24"/>
      <c r="AT2110" s="24"/>
      <c r="AU2110" s="24"/>
      <c r="AV2110" s="24"/>
      <c r="AX2110" s="29"/>
    </row>
    <row r="2111" spans="2:50">
      <c r="B2111" s="19"/>
      <c r="K2111" s="21"/>
      <c r="T2111" s="28"/>
      <c r="AS2111" s="24"/>
      <c r="AT2111" s="24"/>
      <c r="AU2111" s="24"/>
      <c r="AV2111" s="24"/>
      <c r="AX2111" s="29"/>
    </row>
    <row r="2112" spans="2:50">
      <c r="B2112" s="19"/>
      <c r="K2112" s="21"/>
      <c r="T2112" s="28"/>
      <c r="AS2112" s="24"/>
      <c r="AT2112" s="24"/>
      <c r="AU2112" s="24"/>
      <c r="AV2112" s="24"/>
      <c r="AX2112" s="29"/>
    </row>
    <row r="2113" spans="2:50">
      <c r="B2113" s="19"/>
      <c r="K2113" s="21"/>
      <c r="T2113" s="28"/>
      <c r="AS2113" s="24"/>
      <c r="AT2113" s="24"/>
      <c r="AU2113" s="24"/>
      <c r="AV2113" s="24"/>
      <c r="AX2113" s="29"/>
    </row>
    <row r="2114" spans="2:50">
      <c r="B2114" s="19"/>
      <c r="K2114" s="21"/>
      <c r="T2114" s="28"/>
      <c r="AS2114" s="24"/>
      <c r="AT2114" s="24"/>
      <c r="AU2114" s="24"/>
      <c r="AV2114" s="24"/>
      <c r="AX2114" s="29"/>
    </row>
    <row r="2115" spans="2:50">
      <c r="B2115" s="19"/>
      <c r="K2115" s="21"/>
      <c r="T2115" s="28"/>
      <c r="AS2115" s="24"/>
      <c r="AT2115" s="24"/>
      <c r="AU2115" s="24"/>
      <c r="AV2115" s="24"/>
      <c r="AX2115" s="29"/>
    </row>
    <row r="2116" spans="2:50">
      <c r="B2116" s="19"/>
      <c r="K2116" s="21"/>
      <c r="T2116" s="28"/>
      <c r="AS2116" s="24"/>
      <c r="AT2116" s="24"/>
      <c r="AU2116" s="24"/>
      <c r="AV2116" s="24"/>
      <c r="AX2116" s="29"/>
    </row>
    <row r="2117" spans="2:50">
      <c r="B2117" s="19"/>
      <c r="K2117" s="21"/>
      <c r="T2117" s="28"/>
      <c r="AS2117" s="24"/>
      <c r="AT2117" s="24"/>
      <c r="AU2117" s="24"/>
      <c r="AV2117" s="24"/>
      <c r="AX2117" s="29"/>
    </row>
    <row r="2118" spans="2:50">
      <c r="B2118" s="19"/>
      <c r="K2118" s="21"/>
      <c r="T2118" s="28"/>
      <c r="AS2118" s="24"/>
      <c r="AT2118" s="24"/>
      <c r="AU2118" s="24"/>
      <c r="AV2118" s="24"/>
      <c r="AX2118" s="29"/>
    </row>
    <row r="2119" spans="2:50">
      <c r="B2119" s="19"/>
      <c r="K2119" s="21"/>
      <c r="T2119" s="28"/>
      <c r="AS2119" s="24"/>
      <c r="AT2119" s="24"/>
      <c r="AU2119" s="24"/>
      <c r="AV2119" s="24"/>
      <c r="AX2119" s="29"/>
    </row>
    <row r="2120" spans="2:50">
      <c r="B2120" s="19"/>
      <c r="K2120" s="21"/>
      <c r="T2120" s="28"/>
      <c r="AS2120" s="24"/>
      <c r="AT2120" s="24"/>
      <c r="AU2120" s="24"/>
      <c r="AV2120" s="24"/>
      <c r="AX2120" s="29"/>
    </row>
    <row r="2121" spans="2:50">
      <c r="B2121" s="19"/>
      <c r="K2121" s="21"/>
      <c r="T2121" s="28"/>
      <c r="AS2121" s="24"/>
      <c r="AT2121" s="24"/>
      <c r="AU2121" s="24"/>
      <c r="AV2121" s="24"/>
      <c r="AX2121" s="29"/>
    </row>
    <row r="2122" spans="2:50">
      <c r="B2122" s="19"/>
      <c r="K2122" s="21"/>
      <c r="T2122" s="28"/>
      <c r="AS2122" s="24"/>
      <c r="AT2122" s="24"/>
      <c r="AU2122" s="24"/>
      <c r="AV2122" s="24"/>
      <c r="AX2122" s="29"/>
    </row>
    <row r="2123" spans="2:50">
      <c r="B2123" s="19"/>
      <c r="K2123" s="21"/>
      <c r="T2123" s="28"/>
      <c r="AS2123" s="24"/>
      <c r="AT2123" s="24"/>
      <c r="AU2123" s="24"/>
      <c r="AV2123" s="24"/>
      <c r="AX2123" s="29"/>
    </row>
    <row r="2124" spans="2:50">
      <c r="B2124" s="19"/>
      <c r="K2124" s="21"/>
      <c r="T2124" s="28"/>
      <c r="AS2124" s="24"/>
      <c r="AT2124" s="24"/>
      <c r="AU2124" s="24"/>
      <c r="AV2124" s="24"/>
      <c r="AX2124" s="29"/>
    </row>
    <row r="2125" spans="2:50">
      <c r="B2125" s="19"/>
      <c r="K2125" s="21"/>
      <c r="T2125" s="28"/>
      <c r="AS2125" s="24"/>
      <c r="AT2125" s="24"/>
      <c r="AU2125" s="24"/>
      <c r="AV2125" s="24"/>
      <c r="AX2125" s="29"/>
    </row>
    <row r="2126" spans="2:50">
      <c r="B2126" s="19"/>
      <c r="K2126" s="21"/>
      <c r="T2126" s="28"/>
      <c r="AS2126" s="24"/>
      <c r="AT2126" s="24"/>
      <c r="AU2126" s="24"/>
      <c r="AV2126" s="24"/>
      <c r="AX2126" s="29"/>
    </row>
    <row r="2127" spans="2:50">
      <c r="B2127" s="19"/>
      <c r="K2127" s="21"/>
      <c r="T2127" s="28"/>
      <c r="AS2127" s="24"/>
      <c r="AT2127" s="24"/>
      <c r="AU2127" s="24"/>
      <c r="AV2127" s="24"/>
      <c r="AX2127" s="29"/>
    </row>
    <row r="2128" spans="2:50">
      <c r="B2128" s="19"/>
      <c r="K2128" s="21"/>
      <c r="T2128" s="28"/>
      <c r="AS2128" s="24"/>
      <c r="AT2128" s="24"/>
      <c r="AU2128" s="24"/>
      <c r="AV2128" s="24"/>
      <c r="AX2128" s="29"/>
    </row>
    <row r="2129" spans="2:50">
      <c r="B2129" s="19"/>
      <c r="K2129" s="21"/>
      <c r="T2129" s="28"/>
      <c r="AS2129" s="24"/>
      <c r="AT2129" s="24"/>
      <c r="AU2129" s="24"/>
      <c r="AV2129" s="24"/>
      <c r="AX2129" s="29"/>
    </row>
    <row r="2130" spans="2:50">
      <c r="B2130" s="19"/>
      <c r="K2130" s="21"/>
      <c r="T2130" s="28"/>
      <c r="AS2130" s="24"/>
      <c r="AT2130" s="24"/>
      <c r="AU2130" s="24"/>
      <c r="AV2130" s="24"/>
      <c r="AX2130" s="29"/>
    </row>
    <row r="2131" spans="2:50">
      <c r="B2131" s="19"/>
      <c r="K2131" s="21"/>
      <c r="T2131" s="28"/>
      <c r="AS2131" s="24"/>
      <c r="AT2131" s="24"/>
      <c r="AU2131" s="24"/>
      <c r="AV2131" s="24"/>
      <c r="AX2131" s="29"/>
    </row>
    <row r="2132" spans="2:50">
      <c r="B2132" s="19"/>
      <c r="K2132" s="21"/>
      <c r="T2132" s="28"/>
      <c r="AS2132" s="24"/>
      <c r="AT2132" s="24"/>
      <c r="AU2132" s="24"/>
      <c r="AV2132" s="24"/>
      <c r="AX2132" s="29"/>
    </row>
    <row r="2133" spans="2:50">
      <c r="B2133" s="19"/>
      <c r="K2133" s="21"/>
      <c r="T2133" s="28"/>
      <c r="AS2133" s="24"/>
      <c r="AT2133" s="24"/>
      <c r="AU2133" s="24"/>
      <c r="AV2133" s="24"/>
      <c r="AX2133" s="29"/>
    </row>
    <row r="2134" spans="2:50">
      <c r="B2134" s="19"/>
      <c r="K2134" s="21"/>
      <c r="T2134" s="28"/>
      <c r="AS2134" s="24"/>
      <c r="AT2134" s="24"/>
      <c r="AU2134" s="24"/>
      <c r="AV2134" s="24"/>
      <c r="AX2134" s="29"/>
    </row>
    <row r="2135" spans="2:50">
      <c r="B2135" s="19"/>
      <c r="K2135" s="21"/>
      <c r="T2135" s="28"/>
      <c r="AS2135" s="24"/>
      <c r="AT2135" s="24"/>
      <c r="AU2135" s="24"/>
      <c r="AV2135" s="24"/>
      <c r="AX2135" s="29"/>
    </row>
    <row r="2136" spans="2:50">
      <c r="B2136" s="19"/>
      <c r="K2136" s="21"/>
      <c r="T2136" s="28"/>
      <c r="AS2136" s="24"/>
      <c r="AT2136" s="24"/>
      <c r="AU2136" s="24"/>
      <c r="AV2136" s="24"/>
      <c r="AX2136" s="29"/>
    </row>
    <row r="2137" spans="2:50">
      <c r="B2137" s="19"/>
      <c r="K2137" s="21"/>
      <c r="T2137" s="28"/>
      <c r="AS2137" s="24"/>
      <c r="AT2137" s="24"/>
      <c r="AU2137" s="24"/>
      <c r="AV2137" s="24"/>
      <c r="AX2137" s="29"/>
    </row>
    <row r="2138" spans="2:50">
      <c r="B2138" s="19"/>
      <c r="K2138" s="21"/>
      <c r="T2138" s="28"/>
      <c r="AS2138" s="24"/>
      <c r="AT2138" s="24"/>
      <c r="AU2138" s="24"/>
      <c r="AV2138" s="24"/>
      <c r="AX2138" s="29"/>
    </row>
    <row r="2139" spans="2:50">
      <c r="B2139" s="19"/>
      <c r="K2139" s="21"/>
      <c r="T2139" s="28"/>
      <c r="AS2139" s="24"/>
      <c r="AT2139" s="24"/>
      <c r="AU2139" s="24"/>
      <c r="AV2139" s="24"/>
      <c r="AX2139" s="29"/>
    </row>
    <row r="2140" spans="2:50">
      <c r="B2140" s="19"/>
      <c r="K2140" s="21"/>
      <c r="T2140" s="28"/>
      <c r="AS2140" s="24"/>
      <c r="AT2140" s="24"/>
      <c r="AU2140" s="24"/>
      <c r="AV2140" s="24"/>
      <c r="AX2140" s="29"/>
    </row>
    <row r="2141" spans="2:50">
      <c r="B2141" s="19"/>
      <c r="K2141" s="21"/>
      <c r="T2141" s="28"/>
      <c r="AS2141" s="24"/>
      <c r="AT2141" s="24"/>
      <c r="AU2141" s="24"/>
      <c r="AV2141" s="24"/>
      <c r="AX2141" s="29"/>
    </row>
    <row r="2142" spans="2:50">
      <c r="B2142" s="19"/>
      <c r="K2142" s="21"/>
      <c r="T2142" s="28"/>
      <c r="AS2142" s="24"/>
      <c r="AT2142" s="24"/>
      <c r="AU2142" s="24"/>
      <c r="AV2142" s="24"/>
      <c r="AX2142" s="29"/>
    </row>
    <row r="2143" spans="2:50">
      <c r="B2143" s="19"/>
      <c r="K2143" s="21"/>
      <c r="T2143" s="28"/>
      <c r="AS2143" s="24"/>
      <c r="AT2143" s="24"/>
      <c r="AU2143" s="24"/>
      <c r="AV2143" s="24"/>
      <c r="AX2143" s="29"/>
    </row>
    <row r="2144" spans="2:50">
      <c r="B2144" s="19"/>
      <c r="K2144" s="21"/>
      <c r="T2144" s="28"/>
      <c r="AS2144" s="24"/>
      <c r="AT2144" s="24"/>
      <c r="AU2144" s="24"/>
      <c r="AV2144" s="24"/>
      <c r="AX2144" s="29"/>
    </row>
    <row r="2145" spans="2:50">
      <c r="B2145" s="19"/>
      <c r="K2145" s="21"/>
      <c r="T2145" s="28"/>
      <c r="AS2145" s="24"/>
      <c r="AT2145" s="24"/>
      <c r="AU2145" s="24"/>
      <c r="AV2145" s="24"/>
      <c r="AX2145" s="29"/>
    </row>
    <row r="2146" spans="2:50">
      <c r="B2146" s="19"/>
      <c r="K2146" s="21"/>
      <c r="T2146" s="28"/>
      <c r="AS2146" s="24"/>
      <c r="AT2146" s="24"/>
      <c r="AU2146" s="24"/>
      <c r="AV2146" s="24"/>
      <c r="AX2146" s="29"/>
    </row>
    <row r="2147" spans="2:50">
      <c r="B2147" s="19"/>
      <c r="K2147" s="21"/>
      <c r="T2147" s="28"/>
      <c r="AS2147" s="24"/>
      <c r="AT2147" s="24"/>
      <c r="AU2147" s="24"/>
      <c r="AV2147" s="24"/>
      <c r="AX2147" s="29"/>
    </row>
    <row r="2148" spans="2:50">
      <c r="B2148" s="19"/>
      <c r="K2148" s="21"/>
      <c r="T2148" s="28"/>
      <c r="AS2148" s="24"/>
      <c r="AT2148" s="24"/>
      <c r="AU2148" s="24"/>
      <c r="AV2148" s="24"/>
      <c r="AX2148" s="29"/>
    </row>
    <row r="2149" spans="2:50">
      <c r="B2149" s="19"/>
      <c r="K2149" s="21"/>
      <c r="T2149" s="28"/>
      <c r="AS2149" s="24"/>
      <c r="AT2149" s="24"/>
      <c r="AU2149" s="24"/>
      <c r="AV2149" s="24"/>
      <c r="AX2149" s="29"/>
    </row>
    <row r="2150" spans="2:50">
      <c r="B2150" s="19"/>
      <c r="K2150" s="21"/>
      <c r="T2150" s="28"/>
      <c r="AS2150" s="24"/>
      <c r="AT2150" s="24"/>
      <c r="AU2150" s="24"/>
      <c r="AV2150" s="24"/>
      <c r="AX2150" s="29"/>
    </row>
    <row r="2151" spans="2:50">
      <c r="B2151" s="19"/>
      <c r="K2151" s="21"/>
      <c r="T2151" s="28"/>
      <c r="AS2151" s="24"/>
      <c r="AT2151" s="24"/>
      <c r="AU2151" s="24"/>
      <c r="AV2151" s="24"/>
      <c r="AX2151" s="29"/>
    </row>
    <row r="2152" spans="2:50">
      <c r="B2152" s="19"/>
      <c r="K2152" s="21"/>
      <c r="T2152" s="28"/>
      <c r="AS2152" s="24"/>
      <c r="AT2152" s="24"/>
      <c r="AU2152" s="24"/>
      <c r="AV2152" s="24"/>
      <c r="AX2152" s="29"/>
    </row>
    <row r="2153" spans="2:50">
      <c r="B2153" s="19"/>
      <c r="K2153" s="21"/>
      <c r="T2153" s="28"/>
      <c r="AS2153" s="24"/>
      <c r="AT2153" s="24"/>
      <c r="AU2153" s="24"/>
      <c r="AV2153" s="24"/>
      <c r="AX2153" s="29"/>
    </row>
    <row r="2154" spans="2:50">
      <c r="B2154" s="19"/>
      <c r="K2154" s="21"/>
      <c r="T2154" s="28"/>
      <c r="AS2154" s="24"/>
      <c r="AT2154" s="24"/>
      <c r="AU2154" s="24"/>
      <c r="AV2154" s="24"/>
      <c r="AX2154" s="29"/>
    </row>
    <row r="2155" spans="2:50">
      <c r="B2155" s="33"/>
      <c r="K2155" s="21"/>
      <c r="T2155" s="28"/>
      <c r="AS2155" s="24"/>
      <c r="AT2155" s="24"/>
      <c r="AU2155" s="24"/>
      <c r="AV2155" s="24"/>
      <c r="AX2155" s="29"/>
    </row>
    <row r="2156" spans="2:50">
      <c r="B2156" s="19"/>
      <c r="K2156" s="21"/>
      <c r="T2156" s="28"/>
      <c r="AS2156" s="24"/>
      <c r="AT2156" s="24"/>
      <c r="AU2156" s="24"/>
      <c r="AV2156" s="24"/>
      <c r="AX2156" s="29"/>
    </row>
    <row r="2157" spans="2:50">
      <c r="B2157" s="19"/>
      <c r="K2157" s="21"/>
      <c r="T2157" s="28"/>
      <c r="AS2157" s="24"/>
      <c r="AT2157" s="24"/>
      <c r="AU2157" s="24"/>
      <c r="AV2157" s="24"/>
      <c r="AX2157" s="29"/>
    </row>
    <row r="2158" spans="2:50">
      <c r="B2158" s="19"/>
      <c r="K2158" s="21"/>
      <c r="T2158" s="28"/>
      <c r="AS2158" s="24"/>
      <c r="AT2158" s="24"/>
      <c r="AU2158" s="24"/>
      <c r="AV2158" s="24"/>
      <c r="AX2158" s="29"/>
    </row>
    <row r="2159" spans="2:50">
      <c r="B2159" s="19"/>
      <c r="K2159" s="21"/>
      <c r="T2159" s="28"/>
      <c r="AS2159" s="24"/>
      <c r="AT2159" s="24"/>
      <c r="AU2159" s="24"/>
      <c r="AV2159" s="24"/>
      <c r="AX2159" s="29"/>
    </row>
    <row r="2160" spans="2:50">
      <c r="B2160" s="19"/>
      <c r="K2160" s="21"/>
      <c r="T2160" s="28"/>
      <c r="AS2160" s="24"/>
      <c r="AT2160" s="24"/>
      <c r="AU2160" s="24"/>
      <c r="AV2160" s="24"/>
      <c r="AX2160" s="29"/>
    </row>
    <row r="2161" spans="2:50">
      <c r="B2161" s="19"/>
      <c r="K2161" s="21"/>
      <c r="T2161" s="28"/>
      <c r="AS2161" s="24"/>
      <c r="AT2161" s="24"/>
      <c r="AU2161" s="24"/>
      <c r="AV2161" s="24"/>
      <c r="AX2161" s="29"/>
    </row>
    <row r="2162" spans="2:50">
      <c r="B2162" s="19"/>
      <c r="K2162" s="21"/>
      <c r="T2162" s="28"/>
      <c r="AS2162" s="24"/>
      <c r="AT2162" s="24"/>
      <c r="AU2162" s="24"/>
      <c r="AV2162" s="24"/>
      <c r="AX2162" s="29"/>
    </row>
    <row r="2163" spans="2:50">
      <c r="B2163" s="19"/>
      <c r="K2163" s="21"/>
      <c r="T2163" s="28"/>
      <c r="AS2163" s="24"/>
      <c r="AT2163" s="24"/>
      <c r="AU2163" s="24"/>
      <c r="AV2163" s="24"/>
      <c r="AX2163" s="29"/>
    </row>
    <row r="2164" spans="2:50">
      <c r="B2164" s="19"/>
      <c r="K2164" s="21"/>
      <c r="T2164" s="28"/>
      <c r="AS2164" s="24"/>
      <c r="AT2164" s="24"/>
      <c r="AU2164" s="24"/>
      <c r="AV2164" s="24"/>
      <c r="AX2164" s="29"/>
    </row>
    <row r="2165" spans="2:50">
      <c r="B2165" s="19"/>
      <c r="K2165" s="21"/>
      <c r="T2165" s="28"/>
      <c r="AS2165" s="24"/>
      <c r="AT2165" s="24"/>
      <c r="AU2165" s="24"/>
      <c r="AV2165" s="24"/>
      <c r="AX2165" s="29"/>
    </row>
    <row r="2166" spans="2:50">
      <c r="B2166" s="19"/>
      <c r="K2166" s="21"/>
      <c r="T2166" s="28"/>
      <c r="AS2166" s="24"/>
      <c r="AT2166" s="24"/>
      <c r="AU2166" s="24"/>
      <c r="AV2166" s="24"/>
      <c r="AX2166" s="29"/>
    </row>
    <row r="2167" spans="2:50">
      <c r="B2167" s="19"/>
      <c r="K2167" s="21"/>
      <c r="T2167" s="28"/>
      <c r="AS2167" s="24"/>
      <c r="AT2167" s="24"/>
      <c r="AU2167" s="24"/>
      <c r="AV2167" s="24"/>
      <c r="AX2167" s="29"/>
    </row>
    <row r="2168" spans="2:50">
      <c r="K2168" s="21"/>
      <c r="T2168" s="28"/>
      <c r="AS2168" s="24"/>
      <c r="AT2168" s="24"/>
      <c r="AU2168" s="24"/>
      <c r="AV2168" s="24"/>
      <c r="AX2168" s="29"/>
    </row>
    <row r="2169" spans="2:50">
      <c r="K2169" s="21"/>
      <c r="T2169" s="28"/>
      <c r="AS2169" s="24"/>
      <c r="AT2169" s="24"/>
      <c r="AU2169" s="24"/>
      <c r="AV2169" s="24"/>
      <c r="AX2169" s="29"/>
    </row>
    <row r="2170" spans="2:50">
      <c r="K2170" s="21"/>
      <c r="T2170" s="28"/>
      <c r="AS2170" s="24"/>
      <c r="AT2170" s="24"/>
      <c r="AU2170" s="24"/>
      <c r="AV2170" s="24"/>
      <c r="AX2170" s="29"/>
    </row>
    <row r="2171" spans="2:50">
      <c r="K2171" s="21"/>
      <c r="T2171" s="28"/>
      <c r="AS2171" s="24"/>
      <c r="AT2171" s="24"/>
      <c r="AU2171" s="24"/>
      <c r="AV2171" s="24"/>
      <c r="AX2171" s="29"/>
    </row>
    <row r="2172" spans="2:50">
      <c r="K2172" s="21"/>
      <c r="T2172" s="28"/>
      <c r="AS2172" s="24"/>
      <c r="AT2172" s="24"/>
      <c r="AU2172" s="24"/>
      <c r="AV2172" s="24"/>
      <c r="AX2172" s="29"/>
    </row>
    <row r="2173" spans="2:50">
      <c r="K2173" s="21"/>
      <c r="T2173" s="28"/>
      <c r="AS2173" s="24"/>
      <c r="AT2173" s="24"/>
      <c r="AU2173" s="24"/>
      <c r="AV2173" s="24"/>
      <c r="AX2173" s="29"/>
    </row>
    <row r="2174" spans="2:50">
      <c r="K2174" s="21"/>
      <c r="T2174" s="28"/>
      <c r="AS2174" s="24"/>
      <c r="AT2174" s="24"/>
      <c r="AU2174" s="24"/>
      <c r="AV2174" s="24"/>
      <c r="AX2174" s="29"/>
    </row>
    <row r="2175" spans="2:50">
      <c r="K2175" s="21"/>
      <c r="T2175" s="28"/>
      <c r="AS2175" s="24"/>
      <c r="AT2175" s="24"/>
      <c r="AU2175" s="24"/>
      <c r="AV2175" s="24"/>
      <c r="AX2175" s="29"/>
    </row>
    <row r="2176" spans="2:50">
      <c r="K2176" s="21"/>
      <c r="T2176" s="28"/>
      <c r="AS2176" s="24"/>
      <c r="AT2176" s="24"/>
      <c r="AU2176" s="24"/>
      <c r="AV2176" s="24"/>
      <c r="AX2176" s="29"/>
    </row>
    <row r="2177" spans="2:50">
      <c r="K2177" s="21"/>
      <c r="T2177" s="28"/>
      <c r="AS2177" s="24"/>
      <c r="AT2177" s="24"/>
      <c r="AU2177" s="24"/>
      <c r="AV2177" s="24"/>
      <c r="AX2177" s="29"/>
    </row>
    <row r="2178" spans="2:50">
      <c r="K2178" s="21"/>
      <c r="T2178" s="28"/>
      <c r="AS2178" s="24"/>
      <c r="AT2178" s="24"/>
      <c r="AU2178" s="24"/>
      <c r="AV2178" s="24"/>
      <c r="AX2178" s="29"/>
    </row>
    <row r="2179" spans="2:50">
      <c r="K2179" s="21"/>
      <c r="T2179" s="28"/>
      <c r="AS2179" s="24"/>
      <c r="AT2179" s="24"/>
      <c r="AU2179" s="24"/>
      <c r="AV2179" s="24"/>
      <c r="AX2179" s="29"/>
    </row>
    <row r="2180" spans="2:50">
      <c r="K2180" s="21"/>
      <c r="T2180" s="28"/>
      <c r="AS2180" s="24"/>
      <c r="AT2180" s="24"/>
      <c r="AU2180" s="24"/>
      <c r="AV2180" s="24"/>
      <c r="AX2180" s="29"/>
    </row>
    <row r="2181" spans="2:50">
      <c r="K2181" s="21"/>
      <c r="T2181" s="28"/>
      <c r="AS2181" s="24"/>
      <c r="AT2181" s="24"/>
      <c r="AU2181" s="24"/>
      <c r="AV2181" s="24"/>
      <c r="AX2181" s="29"/>
    </row>
    <row r="2182" spans="2:50">
      <c r="K2182" s="21"/>
      <c r="T2182" s="28"/>
      <c r="AS2182" s="24"/>
      <c r="AT2182" s="24"/>
      <c r="AU2182" s="24"/>
      <c r="AV2182" s="24"/>
      <c r="AX2182" s="29"/>
    </row>
    <row r="2183" spans="2:50">
      <c r="K2183" s="21"/>
      <c r="T2183" s="28"/>
      <c r="AS2183" s="24"/>
      <c r="AT2183" s="24"/>
      <c r="AU2183" s="24"/>
      <c r="AV2183" s="24"/>
      <c r="AX2183" s="29"/>
    </row>
    <row r="2184" spans="2:50">
      <c r="K2184" s="21"/>
      <c r="T2184" s="28"/>
      <c r="AS2184" s="24"/>
      <c r="AT2184" s="24"/>
      <c r="AU2184" s="24"/>
      <c r="AV2184" s="24"/>
      <c r="AX2184" s="29"/>
    </row>
    <row r="2185" spans="2:50">
      <c r="B2185" s="19"/>
      <c r="K2185" s="21"/>
      <c r="T2185" s="28"/>
      <c r="AS2185" s="24"/>
      <c r="AT2185" s="24"/>
      <c r="AU2185" s="24"/>
      <c r="AV2185" s="24"/>
      <c r="AX2185" s="29"/>
    </row>
    <row r="2186" spans="2:50">
      <c r="B2186" s="19"/>
      <c r="K2186" s="21"/>
      <c r="T2186" s="28"/>
      <c r="AS2186" s="24"/>
      <c r="AT2186" s="24"/>
      <c r="AU2186" s="24"/>
      <c r="AV2186" s="24"/>
      <c r="AX2186" s="29"/>
    </row>
    <row r="2187" spans="2:50">
      <c r="B2187" s="19"/>
      <c r="K2187" s="21"/>
      <c r="T2187" s="28"/>
      <c r="AS2187" s="24"/>
      <c r="AT2187" s="24"/>
      <c r="AU2187" s="24"/>
      <c r="AV2187" s="24"/>
      <c r="AX2187" s="29"/>
    </row>
    <row r="2188" spans="2:50">
      <c r="B2188" s="19"/>
      <c r="K2188" s="21"/>
      <c r="T2188" s="28"/>
      <c r="AS2188" s="24"/>
      <c r="AT2188" s="24"/>
      <c r="AU2188" s="24"/>
      <c r="AV2188" s="24"/>
      <c r="AX2188" s="29"/>
    </row>
    <row r="2189" spans="2:50">
      <c r="B2189" s="19"/>
      <c r="K2189" s="21"/>
      <c r="T2189" s="28"/>
      <c r="AS2189" s="24"/>
      <c r="AT2189" s="24"/>
      <c r="AU2189" s="24"/>
      <c r="AV2189" s="24"/>
      <c r="AX2189" s="29"/>
    </row>
    <row r="2190" spans="2:50">
      <c r="B2190" s="19"/>
      <c r="K2190" s="21"/>
      <c r="T2190" s="28"/>
      <c r="AS2190" s="24"/>
      <c r="AT2190" s="24"/>
      <c r="AU2190" s="24"/>
      <c r="AV2190" s="24"/>
      <c r="AX2190" s="29"/>
    </row>
    <row r="2191" spans="2:50">
      <c r="B2191" s="19"/>
      <c r="K2191" s="21"/>
      <c r="T2191" s="28"/>
      <c r="AS2191" s="24"/>
      <c r="AT2191" s="24"/>
      <c r="AU2191" s="24"/>
      <c r="AV2191" s="24"/>
      <c r="AX2191" s="29"/>
    </row>
    <row r="2192" spans="2:50">
      <c r="B2192" s="19"/>
      <c r="K2192" s="21"/>
      <c r="T2192" s="28"/>
      <c r="AS2192" s="24"/>
      <c r="AT2192" s="24"/>
      <c r="AU2192" s="24"/>
      <c r="AV2192" s="24"/>
      <c r="AX2192" s="29"/>
    </row>
    <row r="2193" spans="2:50">
      <c r="B2193" s="19"/>
      <c r="K2193" s="21"/>
      <c r="T2193" s="28"/>
      <c r="AS2193" s="24"/>
      <c r="AT2193" s="24"/>
      <c r="AU2193" s="24"/>
      <c r="AV2193" s="24"/>
      <c r="AX2193" s="29"/>
    </row>
    <row r="2194" spans="2:50">
      <c r="B2194" s="19"/>
      <c r="K2194" s="21"/>
      <c r="T2194" s="28"/>
      <c r="AS2194" s="24"/>
      <c r="AT2194" s="24"/>
      <c r="AU2194" s="24"/>
      <c r="AV2194" s="24"/>
      <c r="AX2194" s="29"/>
    </row>
    <row r="2195" spans="2:50">
      <c r="B2195" s="33"/>
      <c r="K2195" s="21"/>
      <c r="T2195" s="28"/>
      <c r="AS2195" s="24"/>
      <c r="AT2195" s="24"/>
      <c r="AU2195" s="24"/>
      <c r="AV2195" s="24"/>
      <c r="AX2195" s="29"/>
    </row>
    <row r="2196" spans="2:50">
      <c r="B2196" s="19"/>
      <c r="K2196" s="21"/>
      <c r="T2196" s="28"/>
      <c r="AS2196" s="24"/>
      <c r="AT2196" s="24"/>
      <c r="AU2196" s="24"/>
      <c r="AV2196" s="24"/>
      <c r="AX2196" s="29"/>
    </row>
    <row r="2197" spans="2:50">
      <c r="B2197" s="19"/>
      <c r="K2197" s="21"/>
      <c r="T2197" s="28"/>
      <c r="AS2197" s="24"/>
      <c r="AT2197" s="24"/>
      <c r="AU2197" s="24"/>
      <c r="AV2197" s="24"/>
      <c r="AX2197" s="29"/>
    </row>
    <row r="2198" spans="2:50">
      <c r="B2198" s="19"/>
      <c r="K2198" s="21"/>
      <c r="T2198" s="28"/>
      <c r="AS2198" s="24"/>
      <c r="AT2198" s="24"/>
      <c r="AU2198" s="24"/>
      <c r="AV2198" s="24"/>
      <c r="AX2198" s="29"/>
    </row>
    <row r="2199" spans="2:50">
      <c r="B2199" s="19"/>
      <c r="K2199" s="21"/>
      <c r="T2199" s="28"/>
      <c r="AS2199" s="24"/>
      <c r="AT2199" s="24"/>
      <c r="AU2199" s="24"/>
      <c r="AV2199" s="24"/>
      <c r="AX2199" s="29"/>
    </row>
    <row r="2200" spans="2:50">
      <c r="B2200" s="19"/>
      <c r="K2200" s="21"/>
      <c r="T2200" s="28"/>
      <c r="AS2200" s="24"/>
      <c r="AT2200" s="24"/>
      <c r="AU2200" s="24"/>
      <c r="AV2200" s="24"/>
      <c r="AX2200" s="29"/>
    </row>
    <row r="2201" spans="2:50">
      <c r="B2201" s="19"/>
      <c r="K2201" s="21"/>
      <c r="T2201" s="28"/>
      <c r="AS2201" s="24"/>
      <c r="AT2201" s="24"/>
      <c r="AU2201" s="24"/>
      <c r="AV2201" s="24"/>
      <c r="AX2201" s="29"/>
    </row>
    <row r="2202" spans="2:50">
      <c r="B2202" s="19"/>
      <c r="K2202" s="21"/>
      <c r="T2202" s="28"/>
      <c r="AS2202" s="24"/>
      <c r="AT2202" s="24"/>
      <c r="AU2202" s="24"/>
      <c r="AV2202" s="24"/>
      <c r="AX2202" s="29"/>
    </row>
    <row r="2203" spans="2:50">
      <c r="B2203" s="19"/>
      <c r="K2203" s="21"/>
      <c r="T2203" s="28"/>
      <c r="AS2203" s="24"/>
      <c r="AT2203" s="24"/>
      <c r="AU2203" s="24"/>
      <c r="AV2203" s="24"/>
      <c r="AX2203" s="29"/>
    </row>
    <row r="2204" spans="2:50">
      <c r="B2204" s="19"/>
      <c r="K2204" s="21"/>
      <c r="T2204" s="28"/>
      <c r="AS2204" s="24"/>
      <c r="AT2204" s="24"/>
      <c r="AU2204" s="24"/>
      <c r="AV2204" s="24"/>
      <c r="AX2204" s="29"/>
    </row>
    <row r="2205" spans="2:50">
      <c r="B2205" s="19"/>
      <c r="K2205" s="21"/>
      <c r="T2205" s="28"/>
      <c r="AS2205" s="24"/>
      <c r="AT2205" s="24"/>
      <c r="AU2205" s="24"/>
      <c r="AV2205" s="24"/>
      <c r="AX2205" s="29"/>
    </row>
    <row r="2206" spans="2:50">
      <c r="B2206" s="19"/>
      <c r="K2206" s="21"/>
      <c r="T2206" s="28"/>
      <c r="AS2206" s="24"/>
      <c r="AT2206" s="24"/>
      <c r="AU2206" s="24"/>
      <c r="AV2206" s="24"/>
      <c r="AX2206" s="29"/>
    </row>
    <row r="2207" spans="2:50">
      <c r="B2207" s="19"/>
      <c r="K2207" s="21"/>
      <c r="T2207" s="28"/>
      <c r="AS2207" s="24"/>
      <c r="AT2207" s="24"/>
      <c r="AU2207" s="24"/>
      <c r="AV2207" s="24"/>
      <c r="AX2207" s="29"/>
    </row>
    <row r="2208" spans="2:50">
      <c r="B2208" s="19"/>
      <c r="K2208" s="21"/>
      <c r="T2208" s="28"/>
      <c r="AS2208" s="24"/>
      <c r="AT2208" s="24"/>
      <c r="AU2208" s="24"/>
      <c r="AV2208" s="24"/>
      <c r="AX2208" s="29"/>
    </row>
    <row r="2209" spans="2:50">
      <c r="B2209" s="19"/>
      <c r="K2209" s="21"/>
      <c r="T2209" s="28"/>
      <c r="AS2209" s="24"/>
      <c r="AT2209" s="24"/>
      <c r="AU2209" s="24"/>
      <c r="AV2209" s="24"/>
      <c r="AX2209" s="29"/>
    </row>
    <row r="2210" spans="2:50">
      <c r="B2210" s="19"/>
      <c r="K2210" s="21"/>
      <c r="T2210" s="28"/>
      <c r="AS2210" s="24"/>
      <c r="AT2210" s="24"/>
      <c r="AU2210" s="24"/>
      <c r="AV2210" s="24"/>
      <c r="AX2210" s="29"/>
    </row>
    <row r="2211" spans="2:50">
      <c r="B2211" s="19"/>
      <c r="K2211" s="21"/>
      <c r="T2211" s="28"/>
      <c r="AS2211" s="24"/>
      <c r="AT2211" s="24"/>
      <c r="AU2211" s="24"/>
      <c r="AV2211" s="24"/>
      <c r="AX2211" s="29"/>
    </row>
    <row r="2212" spans="2:50">
      <c r="B2212" s="19"/>
      <c r="K2212" s="21"/>
      <c r="T2212" s="28"/>
      <c r="AS2212" s="24"/>
      <c r="AT2212" s="24"/>
      <c r="AU2212" s="24"/>
      <c r="AV2212" s="24"/>
      <c r="AX2212" s="29"/>
    </row>
    <row r="2213" spans="2:50">
      <c r="B2213" s="19"/>
      <c r="K2213" s="21"/>
      <c r="T2213" s="28"/>
      <c r="AS2213" s="24"/>
      <c r="AT2213" s="24"/>
      <c r="AU2213" s="24"/>
      <c r="AV2213" s="24"/>
      <c r="AX2213" s="29"/>
    </row>
    <row r="2214" spans="2:50">
      <c r="B2214" s="19"/>
      <c r="K2214" s="21"/>
      <c r="T2214" s="28"/>
      <c r="AS2214" s="24"/>
      <c r="AT2214" s="24"/>
      <c r="AU2214" s="24"/>
      <c r="AV2214" s="24"/>
      <c r="AX2214" s="29"/>
    </row>
    <row r="2215" spans="2:50">
      <c r="B2215" s="19"/>
      <c r="K2215" s="21"/>
      <c r="T2215" s="28"/>
      <c r="AS2215" s="24"/>
      <c r="AT2215" s="24"/>
      <c r="AU2215" s="24"/>
      <c r="AV2215" s="24"/>
      <c r="AX2215" s="29"/>
    </row>
    <row r="2216" spans="2:50">
      <c r="B2216" s="19"/>
      <c r="K2216" s="21"/>
      <c r="T2216" s="28"/>
      <c r="AS2216" s="24"/>
      <c r="AT2216" s="24"/>
      <c r="AU2216" s="24"/>
      <c r="AV2216" s="24"/>
      <c r="AX2216" s="29"/>
    </row>
    <row r="2217" spans="2:50">
      <c r="B2217" s="19"/>
      <c r="K2217" s="21"/>
      <c r="T2217" s="28"/>
      <c r="AS2217" s="24"/>
      <c r="AT2217" s="24"/>
      <c r="AU2217" s="24"/>
      <c r="AV2217" s="24"/>
      <c r="AX2217" s="29"/>
    </row>
    <row r="2218" spans="2:50">
      <c r="B2218" s="19"/>
      <c r="K2218" s="21"/>
      <c r="T2218" s="28"/>
      <c r="AS2218" s="24"/>
      <c r="AT2218" s="24"/>
      <c r="AU2218" s="24"/>
      <c r="AV2218" s="24"/>
      <c r="AX2218" s="29"/>
    </row>
    <row r="2219" spans="2:50">
      <c r="B2219" s="19"/>
      <c r="K2219" s="21"/>
      <c r="T2219" s="28"/>
      <c r="AS2219" s="24"/>
      <c r="AT2219" s="24"/>
      <c r="AU2219" s="24"/>
      <c r="AV2219" s="24"/>
      <c r="AX2219" s="29"/>
    </row>
    <row r="2220" spans="2:50">
      <c r="B2220" s="19"/>
      <c r="K2220" s="21"/>
      <c r="T2220" s="28"/>
      <c r="AS2220" s="24"/>
      <c r="AT2220" s="24"/>
      <c r="AU2220" s="24"/>
      <c r="AV2220" s="24"/>
      <c r="AX2220" s="29"/>
    </row>
    <row r="2221" spans="2:50">
      <c r="B2221" s="19"/>
      <c r="K2221" s="21"/>
      <c r="T2221" s="28"/>
      <c r="AS2221" s="24"/>
      <c r="AT2221" s="24"/>
      <c r="AU2221" s="24"/>
      <c r="AV2221" s="24"/>
      <c r="AX2221" s="29"/>
    </row>
    <row r="2222" spans="2:50">
      <c r="B2222" s="19"/>
      <c r="K2222" s="21"/>
      <c r="T2222" s="28"/>
      <c r="AS2222" s="24"/>
      <c r="AT2222" s="24"/>
      <c r="AU2222" s="24"/>
      <c r="AV2222" s="24"/>
      <c r="AX2222" s="29"/>
    </row>
    <row r="2223" spans="2:50">
      <c r="B2223" s="19"/>
      <c r="K2223" s="21"/>
      <c r="T2223" s="28"/>
      <c r="AS2223" s="24"/>
      <c r="AT2223" s="24"/>
      <c r="AU2223" s="24"/>
      <c r="AV2223" s="24"/>
      <c r="AX2223" s="29"/>
    </row>
    <row r="2224" spans="2:50">
      <c r="B2224" s="19"/>
      <c r="K2224" s="21"/>
      <c r="T2224" s="28"/>
      <c r="AS2224" s="24"/>
      <c r="AT2224" s="24"/>
      <c r="AU2224" s="24"/>
      <c r="AV2224" s="24"/>
      <c r="AX2224" s="29"/>
    </row>
    <row r="2225" spans="2:50">
      <c r="B2225" s="19"/>
      <c r="K2225" s="21"/>
      <c r="T2225" s="28"/>
      <c r="AS2225" s="24"/>
      <c r="AT2225" s="24"/>
      <c r="AU2225" s="24"/>
      <c r="AV2225" s="24"/>
      <c r="AX2225" s="29"/>
    </row>
    <row r="2226" spans="2:50">
      <c r="B2226" s="19"/>
      <c r="K2226" s="21"/>
      <c r="T2226" s="28"/>
      <c r="AS2226" s="24"/>
      <c r="AT2226" s="24"/>
      <c r="AU2226" s="24"/>
      <c r="AV2226" s="24"/>
      <c r="AX2226" s="29"/>
    </row>
    <row r="2227" spans="2:50">
      <c r="B2227" s="19"/>
      <c r="K2227" s="21"/>
      <c r="T2227" s="28"/>
      <c r="AS2227" s="24"/>
      <c r="AT2227" s="24"/>
      <c r="AU2227" s="24"/>
      <c r="AV2227" s="24"/>
      <c r="AX2227" s="29"/>
    </row>
    <row r="2228" spans="2:50">
      <c r="B2228" s="19"/>
      <c r="K2228" s="21"/>
      <c r="T2228" s="28"/>
      <c r="AS2228" s="24"/>
      <c r="AT2228" s="24"/>
      <c r="AU2228" s="24"/>
      <c r="AV2228" s="24"/>
      <c r="AX2228" s="29"/>
    </row>
    <row r="2229" spans="2:50">
      <c r="B2229" s="19"/>
      <c r="K2229" s="21"/>
      <c r="T2229" s="28"/>
      <c r="AS2229" s="24"/>
      <c r="AT2229" s="24"/>
      <c r="AU2229" s="24"/>
      <c r="AV2229" s="24"/>
      <c r="AX2229" s="29"/>
    </row>
    <row r="2230" spans="2:50">
      <c r="B2230" s="19"/>
      <c r="K2230" s="21"/>
      <c r="T2230" s="28"/>
      <c r="AS2230" s="24"/>
      <c r="AT2230" s="24"/>
      <c r="AU2230" s="24"/>
      <c r="AV2230" s="24"/>
      <c r="AX2230" s="29"/>
    </row>
    <row r="2231" spans="2:50">
      <c r="B2231" s="19"/>
      <c r="K2231" s="21"/>
      <c r="T2231" s="28"/>
      <c r="AS2231" s="24"/>
      <c r="AT2231" s="24"/>
      <c r="AU2231" s="24"/>
      <c r="AV2231" s="24"/>
      <c r="AX2231" s="29"/>
    </row>
    <row r="2232" spans="2:50">
      <c r="B2232" s="19"/>
      <c r="K2232" s="21"/>
      <c r="T2232" s="28"/>
      <c r="AS2232" s="24"/>
      <c r="AT2232" s="24"/>
      <c r="AU2232" s="24"/>
      <c r="AV2232" s="24"/>
      <c r="AX2232" s="29"/>
    </row>
    <row r="2233" spans="2:50">
      <c r="B2233" s="30"/>
      <c r="K2233" s="21"/>
      <c r="T2233" s="28"/>
      <c r="AS2233" s="24"/>
      <c r="AT2233" s="24"/>
      <c r="AU2233" s="24"/>
      <c r="AV2233" s="24"/>
      <c r="AX2233" s="29"/>
    </row>
    <row r="2234" spans="2:50">
      <c r="B2234" s="19"/>
      <c r="K2234" s="21"/>
      <c r="T2234" s="28"/>
      <c r="AS2234" s="24"/>
      <c r="AT2234" s="24"/>
      <c r="AU2234" s="24"/>
      <c r="AV2234" s="24"/>
      <c r="AX2234" s="29"/>
    </row>
    <row r="2235" spans="2:50">
      <c r="B2235" s="19"/>
      <c r="K2235" s="21"/>
      <c r="T2235" s="28"/>
      <c r="AS2235" s="24"/>
      <c r="AT2235" s="24"/>
      <c r="AU2235" s="24"/>
      <c r="AV2235" s="24"/>
      <c r="AX2235" s="29"/>
    </row>
    <row r="2236" spans="2:50">
      <c r="B2236" s="19"/>
      <c r="K2236" s="21"/>
      <c r="T2236" s="28"/>
      <c r="AS2236" s="24"/>
      <c r="AT2236" s="24"/>
      <c r="AU2236" s="24"/>
      <c r="AV2236" s="24"/>
      <c r="AX2236" s="29"/>
    </row>
    <row r="2237" spans="2:50">
      <c r="B2237" s="30"/>
      <c r="K2237" s="21"/>
      <c r="T2237" s="28"/>
      <c r="AS2237" s="24"/>
      <c r="AT2237" s="24"/>
      <c r="AU2237" s="24"/>
      <c r="AV2237" s="24"/>
      <c r="AX2237" s="29"/>
    </row>
    <row r="2238" spans="2:50">
      <c r="B2238" s="19"/>
      <c r="K2238" s="21"/>
      <c r="T2238" s="28"/>
      <c r="AS2238" s="24"/>
      <c r="AT2238" s="24"/>
      <c r="AU2238" s="24"/>
      <c r="AV2238" s="24"/>
      <c r="AX2238" s="29"/>
    </row>
    <row r="2239" spans="2:50">
      <c r="B2239" s="19"/>
      <c r="K2239" s="21"/>
      <c r="T2239" s="28"/>
      <c r="AS2239" s="24"/>
      <c r="AT2239" s="24"/>
      <c r="AU2239" s="24"/>
      <c r="AV2239" s="24"/>
      <c r="AX2239" s="29"/>
    </row>
    <row r="2240" spans="2:50">
      <c r="B2240" s="30"/>
      <c r="K2240" s="21"/>
      <c r="T2240" s="28"/>
      <c r="AS2240" s="24"/>
      <c r="AT2240" s="24"/>
      <c r="AU2240" s="24"/>
      <c r="AV2240" s="24"/>
      <c r="AX2240" s="29"/>
    </row>
    <row r="2241" spans="2:50">
      <c r="B2241" s="19"/>
      <c r="K2241" s="21"/>
      <c r="T2241" s="28"/>
      <c r="AS2241" s="24"/>
      <c r="AT2241" s="24"/>
      <c r="AU2241" s="24"/>
      <c r="AV2241" s="24"/>
      <c r="AX2241" s="29"/>
    </row>
    <row r="2242" spans="2:50">
      <c r="B2242" s="19"/>
      <c r="K2242" s="21"/>
      <c r="T2242" s="28"/>
      <c r="AS2242" s="24"/>
      <c r="AT2242" s="24"/>
      <c r="AU2242" s="24"/>
      <c r="AV2242" s="24"/>
      <c r="AX2242" s="29"/>
    </row>
    <row r="2243" spans="2:50">
      <c r="B2243" s="19"/>
      <c r="K2243" s="21"/>
      <c r="T2243" s="28"/>
      <c r="AS2243" s="24"/>
      <c r="AT2243" s="24"/>
      <c r="AU2243" s="24"/>
      <c r="AV2243" s="24"/>
      <c r="AX2243" s="29"/>
    </row>
    <row r="2244" spans="2:50">
      <c r="B2244" s="30"/>
      <c r="K2244" s="21"/>
      <c r="T2244" s="28"/>
      <c r="AS2244" s="24"/>
      <c r="AT2244" s="24"/>
      <c r="AU2244" s="24"/>
      <c r="AV2244" s="24"/>
      <c r="AX2244" s="29"/>
    </row>
    <row r="2245" spans="2:50">
      <c r="B2245" s="19"/>
      <c r="K2245" s="21"/>
      <c r="T2245" s="28"/>
      <c r="AS2245" s="24"/>
      <c r="AT2245" s="24"/>
      <c r="AU2245" s="24"/>
      <c r="AV2245" s="24"/>
      <c r="AX2245" s="29"/>
    </row>
    <row r="2246" spans="2:50">
      <c r="B2246" s="30"/>
      <c r="K2246" s="21"/>
      <c r="T2246" s="28"/>
      <c r="AS2246" s="24"/>
      <c r="AT2246" s="24"/>
      <c r="AU2246" s="24"/>
      <c r="AV2246" s="24"/>
      <c r="AX2246" s="29"/>
    </row>
    <row r="2247" spans="2:50">
      <c r="B2247" s="30"/>
      <c r="K2247" s="21"/>
      <c r="T2247" s="28"/>
      <c r="AS2247" s="24"/>
      <c r="AT2247" s="24"/>
      <c r="AU2247" s="24"/>
      <c r="AV2247" s="24"/>
      <c r="AX2247" s="29"/>
    </row>
    <row r="2248" spans="2:50">
      <c r="B2248" s="30"/>
      <c r="K2248" s="21"/>
      <c r="T2248" s="28"/>
      <c r="AS2248" s="24"/>
      <c r="AT2248" s="24"/>
      <c r="AU2248" s="24"/>
      <c r="AV2248" s="24"/>
      <c r="AX2248" s="29"/>
    </row>
    <row r="2249" spans="2:50">
      <c r="B2249" s="19"/>
      <c r="K2249" s="21"/>
      <c r="T2249" s="28"/>
      <c r="AS2249" s="24"/>
      <c r="AT2249" s="24"/>
      <c r="AU2249" s="24"/>
      <c r="AV2249" s="24"/>
      <c r="AX2249" s="29"/>
    </row>
    <row r="2250" spans="2:50">
      <c r="B2250" s="19"/>
      <c r="K2250" s="21"/>
      <c r="T2250" s="28"/>
      <c r="AS2250" s="24"/>
      <c r="AT2250" s="24"/>
      <c r="AU2250" s="24"/>
      <c r="AV2250" s="24"/>
      <c r="AX2250" s="29"/>
    </row>
    <row r="2251" spans="2:50">
      <c r="B2251" s="19"/>
      <c r="K2251" s="21"/>
      <c r="T2251" s="28"/>
      <c r="AS2251" s="24"/>
      <c r="AT2251" s="24"/>
      <c r="AU2251" s="24"/>
      <c r="AV2251" s="24"/>
      <c r="AX2251" s="29"/>
    </row>
    <row r="2252" spans="2:50">
      <c r="B2252" s="19"/>
      <c r="K2252" s="21"/>
      <c r="T2252" s="28"/>
      <c r="AS2252" s="24"/>
      <c r="AT2252" s="24"/>
      <c r="AU2252" s="24"/>
      <c r="AV2252" s="24"/>
      <c r="AX2252" s="29"/>
    </row>
    <row r="2253" spans="2:50">
      <c r="B2253" s="19"/>
      <c r="K2253" s="21"/>
      <c r="T2253" s="28"/>
      <c r="AS2253" s="24"/>
      <c r="AT2253" s="24"/>
      <c r="AU2253" s="24"/>
      <c r="AV2253" s="24"/>
      <c r="AX2253" s="29"/>
    </row>
    <row r="2254" spans="2:50">
      <c r="B2254" s="19"/>
      <c r="K2254" s="21"/>
      <c r="T2254" s="28"/>
      <c r="AS2254" s="24"/>
      <c r="AT2254" s="24"/>
      <c r="AU2254" s="24"/>
      <c r="AV2254" s="24"/>
      <c r="AX2254" s="29"/>
    </row>
    <row r="2255" spans="2:50">
      <c r="B2255" s="19"/>
      <c r="K2255" s="21"/>
      <c r="T2255" s="28"/>
      <c r="AS2255" s="24"/>
      <c r="AT2255" s="24"/>
      <c r="AU2255" s="24"/>
      <c r="AV2255" s="24"/>
      <c r="AX2255" s="29"/>
    </row>
    <row r="2256" spans="2:50">
      <c r="B2256" s="19"/>
      <c r="K2256" s="21"/>
      <c r="T2256" s="28"/>
      <c r="AS2256" s="24"/>
      <c r="AT2256" s="24"/>
      <c r="AU2256" s="24"/>
      <c r="AV2256" s="24"/>
      <c r="AX2256" s="29"/>
    </row>
    <row r="2257" spans="2:50">
      <c r="B2257" s="19"/>
      <c r="K2257" s="21"/>
      <c r="T2257" s="28"/>
      <c r="AS2257" s="24"/>
      <c r="AT2257" s="24"/>
      <c r="AU2257" s="24"/>
      <c r="AV2257" s="24"/>
      <c r="AX2257" s="29"/>
    </row>
    <row r="2258" spans="2:50">
      <c r="B2258" s="19"/>
      <c r="K2258" s="21"/>
      <c r="T2258" s="28"/>
      <c r="AS2258" s="24"/>
      <c r="AT2258" s="24"/>
      <c r="AU2258" s="24"/>
      <c r="AV2258" s="24"/>
      <c r="AX2258" s="29"/>
    </row>
    <row r="2259" spans="2:50">
      <c r="B2259" s="19"/>
      <c r="K2259" s="21"/>
      <c r="T2259" s="28"/>
      <c r="AS2259" s="24"/>
      <c r="AT2259" s="24"/>
      <c r="AU2259" s="24"/>
      <c r="AV2259" s="24"/>
      <c r="AX2259" s="29"/>
    </row>
    <row r="2260" spans="2:50">
      <c r="B2260" s="19"/>
      <c r="K2260" s="21"/>
      <c r="T2260" s="28"/>
      <c r="AS2260" s="24"/>
      <c r="AT2260" s="24"/>
      <c r="AU2260" s="24"/>
      <c r="AV2260" s="24"/>
      <c r="AX2260" s="29"/>
    </row>
    <row r="2261" spans="2:50">
      <c r="B2261" s="19"/>
      <c r="K2261" s="21"/>
      <c r="T2261" s="28"/>
      <c r="AS2261" s="24"/>
      <c r="AT2261" s="24"/>
      <c r="AU2261" s="24"/>
      <c r="AV2261" s="24"/>
      <c r="AX2261" s="29"/>
    </row>
    <row r="2262" spans="2:50">
      <c r="B2262" s="19"/>
      <c r="K2262" s="21"/>
      <c r="T2262" s="28"/>
      <c r="AS2262" s="24"/>
      <c r="AT2262" s="24"/>
      <c r="AU2262" s="24"/>
      <c r="AV2262" s="24"/>
      <c r="AX2262" s="29"/>
    </row>
    <row r="2263" spans="2:50">
      <c r="B2263" s="19"/>
      <c r="K2263" s="21"/>
      <c r="T2263" s="28"/>
      <c r="AS2263" s="24"/>
      <c r="AT2263" s="24"/>
      <c r="AU2263" s="24"/>
      <c r="AV2263" s="24"/>
      <c r="AX2263" s="29"/>
    </row>
    <row r="2264" spans="2:50">
      <c r="B2264" s="19"/>
      <c r="K2264" s="21"/>
      <c r="T2264" s="28"/>
      <c r="AS2264" s="24"/>
      <c r="AT2264" s="24"/>
      <c r="AU2264" s="24"/>
      <c r="AV2264" s="24"/>
      <c r="AX2264" s="29"/>
    </row>
    <row r="2265" spans="2:50">
      <c r="B2265" s="19"/>
      <c r="K2265" s="21"/>
      <c r="T2265" s="28"/>
      <c r="AS2265" s="24"/>
      <c r="AT2265" s="24"/>
      <c r="AU2265" s="24"/>
      <c r="AV2265" s="24"/>
      <c r="AX2265" s="29"/>
    </row>
    <row r="2266" spans="2:50">
      <c r="B2266" s="19"/>
      <c r="K2266" s="21"/>
      <c r="T2266" s="28"/>
      <c r="AS2266" s="24"/>
      <c r="AT2266" s="24"/>
      <c r="AU2266" s="24"/>
      <c r="AV2266" s="24"/>
      <c r="AX2266" s="29"/>
    </row>
    <row r="2267" spans="2:50">
      <c r="B2267" s="19"/>
      <c r="K2267" s="21"/>
      <c r="T2267" s="28"/>
      <c r="AS2267" s="24"/>
      <c r="AT2267" s="24"/>
      <c r="AU2267" s="24"/>
      <c r="AV2267" s="24"/>
      <c r="AX2267" s="29"/>
    </row>
    <row r="2268" spans="2:50">
      <c r="B2268" s="19"/>
      <c r="K2268" s="21"/>
      <c r="T2268" s="28"/>
      <c r="AS2268" s="24"/>
      <c r="AT2268" s="24"/>
      <c r="AU2268" s="24"/>
      <c r="AV2268" s="24"/>
      <c r="AX2268" s="29"/>
    </row>
    <row r="2269" spans="2:50">
      <c r="B2269" s="19"/>
      <c r="K2269" s="21"/>
      <c r="T2269" s="28"/>
      <c r="AS2269" s="24"/>
      <c r="AT2269" s="24"/>
      <c r="AU2269" s="24"/>
      <c r="AV2269" s="24"/>
      <c r="AX2269" s="29"/>
    </row>
    <row r="2270" spans="2:50">
      <c r="B2270" s="19"/>
      <c r="K2270" s="21"/>
      <c r="T2270" s="28"/>
      <c r="AS2270" s="24"/>
      <c r="AT2270" s="24"/>
      <c r="AU2270" s="24"/>
      <c r="AV2270" s="24"/>
      <c r="AX2270" s="29"/>
    </row>
    <row r="2271" spans="2:50">
      <c r="B2271" s="19"/>
      <c r="K2271" s="21"/>
      <c r="T2271" s="28"/>
      <c r="AS2271" s="24"/>
      <c r="AT2271" s="24"/>
      <c r="AU2271" s="24"/>
      <c r="AV2271" s="24"/>
      <c r="AX2271" s="29"/>
    </row>
    <row r="2272" spans="2:50">
      <c r="B2272" s="19"/>
      <c r="K2272" s="21"/>
      <c r="T2272" s="28"/>
      <c r="AS2272" s="24"/>
      <c r="AT2272" s="24"/>
      <c r="AU2272" s="24"/>
      <c r="AV2272" s="24"/>
      <c r="AX2272" s="29"/>
    </row>
    <row r="2273" spans="2:50">
      <c r="B2273" s="19"/>
      <c r="K2273" s="21"/>
      <c r="T2273" s="28"/>
      <c r="AS2273" s="24"/>
      <c r="AT2273" s="24"/>
      <c r="AU2273" s="24"/>
      <c r="AV2273" s="24"/>
      <c r="AX2273" s="29"/>
    </row>
    <row r="2274" spans="2:50">
      <c r="B2274" s="19"/>
      <c r="K2274" s="21"/>
      <c r="T2274" s="28"/>
      <c r="AS2274" s="24"/>
      <c r="AT2274" s="24"/>
      <c r="AU2274" s="24"/>
      <c r="AV2274" s="24"/>
      <c r="AX2274" s="29"/>
    </row>
    <row r="2275" spans="2:50">
      <c r="B2275" s="19"/>
      <c r="K2275" s="21"/>
      <c r="T2275" s="28"/>
      <c r="AS2275" s="24"/>
      <c r="AT2275" s="24"/>
      <c r="AU2275" s="24"/>
      <c r="AV2275" s="24"/>
      <c r="AX2275" s="29"/>
    </row>
    <row r="2276" spans="2:50">
      <c r="B2276" s="19"/>
      <c r="K2276" s="21"/>
      <c r="T2276" s="28"/>
      <c r="AS2276" s="24"/>
      <c r="AT2276" s="24"/>
      <c r="AU2276" s="24"/>
      <c r="AV2276" s="24"/>
      <c r="AX2276" s="29"/>
    </row>
    <row r="2277" spans="2:50">
      <c r="B2277" s="19"/>
      <c r="K2277" s="21"/>
      <c r="T2277" s="28"/>
      <c r="AS2277" s="24"/>
      <c r="AT2277" s="24"/>
      <c r="AU2277" s="24"/>
      <c r="AV2277" s="24"/>
      <c r="AX2277" s="29"/>
    </row>
    <row r="2278" spans="2:50">
      <c r="B2278" s="19"/>
      <c r="K2278" s="21"/>
      <c r="T2278" s="28"/>
      <c r="AS2278" s="24"/>
      <c r="AT2278" s="24"/>
      <c r="AU2278" s="24"/>
      <c r="AV2278" s="24"/>
      <c r="AX2278" s="29"/>
    </row>
    <row r="2279" spans="2:50">
      <c r="B2279" s="19"/>
      <c r="K2279" s="21"/>
      <c r="T2279" s="28"/>
      <c r="AS2279" s="24"/>
      <c r="AT2279" s="24"/>
      <c r="AU2279" s="24"/>
      <c r="AV2279" s="24"/>
      <c r="AX2279" s="29"/>
    </row>
    <row r="2280" spans="2:50">
      <c r="B2280" s="19"/>
      <c r="K2280" s="21"/>
      <c r="T2280" s="28"/>
      <c r="AS2280" s="24"/>
      <c r="AT2280" s="24"/>
      <c r="AU2280" s="24"/>
      <c r="AV2280" s="24"/>
      <c r="AX2280" s="29"/>
    </row>
    <row r="2281" spans="2:50">
      <c r="B2281" s="19"/>
      <c r="K2281" s="21"/>
      <c r="T2281" s="28"/>
      <c r="AS2281" s="24"/>
      <c r="AT2281" s="24"/>
      <c r="AU2281" s="24"/>
      <c r="AV2281" s="24"/>
      <c r="AX2281" s="29"/>
    </row>
    <row r="2282" spans="2:50">
      <c r="B2282" s="19"/>
      <c r="K2282" s="21"/>
      <c r="T2282" s="28"/>
      <c r="AS2282" s="24"/>
      <c r="AT2282" s="24"/>
      <c r="AU2282" s="24"/>
      <c r="AV2282" s="24"/>
      <c r="AX2282" s="29"/>
    </row>
    <row r="2283" spans="2:50">
      <c r="B2283" s="19"/>
      <c r="K2283" s="21"/>
      <c r="T2283" s="28"/>
      <c r="AS2283" s="24"/>
      <c r="AT2283" s="24"/>
      <c r="AU2283" s="24"/>
      <c r="AV2283" s="24"/>
      <c r="AX2283" s="29"/>
    </row>
    <row r="2284" spans="2:50">
      <c r="B2284" s="19"/>
      <c r="K2284" s="21"/>
      <c r="T2284" s="28"/>
      <c r="AS2284" s="24"/>
      <c r="AT2284" s="24"/>
      <c r="AU2284" s="24"/>
      <c r="AV2284" s="24"/>
      <c r="AX2284" s="29"/>
    </row>
    <row r="2285" spans="2:50">
      <c r="B2285" s="19"/>
      <c r="K2285" s="21"/>
      <c r="T2285" s="28"/>
      <c r="AS2285" s="24"/>
      <c r="AT2285" s="24"/>
      <c r="AU2285" s="24"/>
      <c r="AV2285" s="24"/>
      <c r="AX2285" s="29"/>
    </row>
    <row r="2286" spans="2:50">
      <c r="B2286" s="19"/>
      <c r="K2286" s="21"/>
      <c r="T2286" s="28"/>
      <c r="AS2286" s="24"/>
      <c r="AT2286" s="24"/>
      <c r="AU2286" s="24"/>
      <c r="AV2286" s="24"/>
      <c r="AX2286" s="29"/>
    </row>
    <row r="2287" spans="2:50">
      <c r="B2287" s="19"/>
      <c r="K2287" s="21"/>
      <c r="T2287" s="28"/>
      <c r="AS2287" s="24"/>
      <c r="AT2287" s="24"/>
      <c r="AU2287" s="24"/>
      <c r="AV2287" s="24"/>
      <c r="AX2287" s="29"/>
    </row>
    <row r="2288" spans="2:50">
      <c r="B2288" s="19"/>
      <c r="K2288" s="21"/>
      <c r="T2288" s="28"/>
      <c r="AS2288" s="24"/>
      <c r="AT2288" s="24"/>
      <c r="AU2288" s="24"/>
      <c r="AV2288" s="24"/>
      <c r="AX2288" s="29"/>
    </row>
    <row r="2289" spans="2:50">
      <c r="B2289" s="19"/>
      <c r="K2289" s="21"/>
      <c r="T2289" s="28"/>
      <c r="AS2289" s="24"/>
      <c r="AT2289" s="24"/>
      <c r="AU2289" s="24"/>
      <c r="AV2289" s="24"/>
      <c r="AX2289" s="29"/>
    </row>
    <row r="2290" spans="2:50">
      <c r="B2290" s="19"/>
      <c r="K2290" s="21"/>
      <c r="T2290" s="28"/>
      <c r="AS2290" s="24"/>
      <c r="AT2290" s="24"/>
      <c r="AU2290" s="24"/>
      <c r="AV2290" s="24"/>
      <c r="AX2290" s="29"/>
    </row>
    <row r="2291" spans="2:50">
      <c r="B2291" s="19"/>
      <c r="K2291" s="21"/>
      <c r="T2291" s="28"/>
      <c r="AS2291" s="24"/>
      <c r="AT2291" s="24"/>
      <c r="AU2291" s="24"/>
      <c r="AV2291" s="24"/>
      <c r="AX2291" s="29"/>
    </row>
    <row r="2292" spans="2:50">
      <c r="B2292" s="19"/>
      <c r="K2292" s="21"/>
      <c r="T2292" s="28"/>
      <c r="AS2292" s="24"/>
      <c r="AT2292" s="24"/>
      <c r="AU2292" s="24"/>
      <c r="AV2292" s="24"/>
      <c r="AX2292" s="29"/>
    </row>
    <row r="2293" spans="2:50">
      <c r="B2293" s="19"/>
      <c r="K2293" s="21"/>
      <c r="T2293" s="28"/>
      <c r="AS2293" s="24"/>
      <c r="AT2293" s="24"/>
      <c r="AU2293" s="24"/>
      <c r="AV2293" s="24"/>
      <c r="AX2293" s="29"/>
    </row>
    <row r="2294" spans="2:50">
      <c r="B2294" s="19"/>
      <c r="K2294" s="21"/>
      <c r="T2294" s="28"/>
      <c r="AS2294" s="24"/>
      <c r="AT2294" s="24"/>
      <c r="AU2294" s="24"/>
      <c r="AV2294" s="24"/>
      <c r="AX2294" s="29"/>
    </row>
    <row r="2295" spans="2:50">
      <c r="B2295" s="19"/>
      <c r="K2295" s="21"/>
      <c r="T2295" s="28"/>
      <c r="AS2295" s="24"/>
      <c r="AT2295" s="24"/>
      <c r="AU2295" s="24"/>
      <c r="AV2295" s="24"/>
      <c r="AX2295" s="29"/>
    </row>
    <row r="2296" spans="2:50">
      <c r="B2296" s="19"/>
      <c r="K2296" s="21"/>
      <c r="T2296" s="28"/>
      <c r="AS2296" s="24"/>
      <c r="AT2296" s="24"/>
      <c r="AU2296" s="24"/>
      <c r="AV2296" s="24"/>
      <c r="AX2296" s="29"/>
    </row>
    <row r="2297" spans="2:50">
      <c r="B2297" s="19"/>
      <c r="K2297" s="21"/>
      <c r="T2297" s="28"/>
      <c r="AS2297" s="24"/>
      <c r="AT2297" s="24"/>
      <c r="AU2297" s="24"/>
      <c r="AV2297" s="24"/>
      <c r="AX2297" s="29"/>
    </row>
    <row r="2298" spans="2:50">
      <c r="B2298" s="19"/>
      <c r="K2298" s="21"/>
      <c r="T2298" s="28"/>
      <c r="AS2298" s="24"/>
      <c r="AT2298" s="24"/>
      <c r="AU2298" s="24"/>
      <c r="AV2298" s="24"/>
      <c r="AX2298" s="29"/>
    </row>
    <row r="2299" spans="2:50">
      <c r="B2299" s="19"/>
      <c r="K2299" s="21"/>
      <c r="T2299" s="28"/>
      <c r="AS2299" s="24"/>
      <c r="AT2299" s="24"/>
      <c r="AU2299" s="24"/>
      <c r="AV2299" s="24"/>
      <c r="AX2299" s="29"/>
    </row>
    <row r="2300" spans="2:50">
      <c r="B2300" s="19"/>
      <c r="K2300" s="21"/>
      <c r="T2300" s="28"/>
      <c r="AS2300" s="24"/>
      <c r="AT2300" s="24"/>
      <c r="AU2300" s="24"/>
      <c r="AV2300" s="24"/>
      <c r="AX2300" s="29"/>
    </row>
    <row r="2301" spans="2:50">
      <c r="B2301" s="19"/>
      <c r="K2301" s="21"/>
      <c r="T2301" s="28"/>
      <c r="AS2301" s="24"/>
      <c r="AT2301" s="24"/>
      <c r="AU2301" s="24"/>
      <c r="AV2301" s="24"/>
      <c r="AX2301" s="29"/>
    </row>
    <row r="2302" spans="2:50">
      <c r="B2302" s="19"/>
      <c r="K2302" s="21"/>
      <c r="T2302" s="28"/>
      <c r="AS2302" s="24"/>
      <c r="AT2302" s="24"/>
      <c r="AU2302" s="24"/>
      <c r="AV2302" s="24"/>
      <c r="AX2302" s="29"/>
    </row>
    <row r="2303" spans="2:50">
      <c r="B2303" s="19"/>
      <c r="K2303" s="21"/>
      <c r="T2303" s="28"/>
      <c r="AS2303" s="24"/>
      <c r="AT2303" s="24"/>
      <c r="AU2303" s="24"/>
      <c r="AV2303" s="24"/>
      <c r="AX2303" s="29"/>
    </row>
    <row r="2304" spans="2:50">
      <c r="B2304" s="19"/>
      <c r="K2304" s="21"/>
      <c r="T2304" s="28"/>
      <c r="AS2304" s="24"/>
      <c r="AT2304" s="24"/>
      <c r="AU2304" s="24"/>
      <c r="AV2304" s="24"/>
      <c r="AX2304" s="29"/>
    </row>
    <row r="2305" spans="2:50">
      <c r="B2305" s="19"/>
      <c r="K2305" s="21"/>
      <c r="T2305" s="28"/>
      <c r="AS2305" s="24"/>
      <c r="AT2305" s="24"/>
      <c r="AU2305" s="24"/>
      <c r="AV2305" s="24"/>
      <c r="AX2305" s="29"/>
    </row>
    <row r="2306" spans="2:50">
      <c r="B2306" s="19"/>
      <c r="K2306" s="21"/>
      <c r="T2306" s="28"/>
      <c r="AS2306" s="24"/>
      <c r="AT2306" s="24"/>
      <c r="AU2306" s="24"/>
      <c r="AV2306" s="24"/>
      <c r="AX2306" s="29"/>
    </row>
    <row r="2307" spans="2:50">
      <c r="B2307" s="19"/>
      <c r="K2307" s="21"/>
      <c r="T2307" s="28"/>
      <c r="AS2307" s="24"/>
      <c r="AT2307" s="24"/>
      <c r="AU2307" s="24"/>
      <c r="AV2307" s="24"/>
      <c r="AX2307" s="29"/>
    </row>
    <row r="2308" spans="2:50">
      <c r="B2308" s="19"/>
      <c r="K2308" s="21"/>
      <c r="T2308" s="28"/>
      <c r="AS2308" s="24"/>
      <c r="AT2308" s="24"/>
      <c r="AU2308" s="24"/>
      <c r="AV2308" s="24"/>
      <c r="AX2308" s="29"/>
    </row>
    <row r="2309" spans="2:50">
      <c r="B2309" s="19"/>
      <c r="K2309" s="21"/>
      <c r="T2309" s="28"/>
      <c r="AS2309" s="24"/>
      <c r="AT2309" s="24"/>
      <c r="AU2309" s="24"/>
      <c r="AV2309" s="24"/>
      <c r="AX2309" s="29"/>
    </row>
    <row r="2310" spans="2:50">
      <c r="B2310" s="19"/>
      <c r="K2310" s="21"/>
      <c r="T2310" s="28"/>
      <c r="AS2310" s="24"/>
      <c r="AT2310" s="24"/>
      <c r="AU2310" s="24"/>
      <c r="AV2310" s="24"/>
      <c r="AX2310" s="29"/>
    </row>
    <row r="2311" spans="2:50">
      <c r="B2311" s="19"/>
      <c r="K2311" s="21"/>
      <c r="T2311" s="28"/>
      <c r="AS2311" s="24"/>
      <c r="AT2311" s="24"/>
      <c r="AU2311" s="24"/>
      <c r="AV2311" s="24"/>
      <c r="AX2311" s="29"/>
    </row>
    <row r="2312" spans="2:50">
      <c r="B2312" s="19"/>
      <c r="K2312" s="21"/>
      <c r="T2312" s="28"/>
      <c r="AS2312" s="24"/>
      <c r="AT2312" s="24"/>
      <c r="AU2312" s="24"/>
      <c r="AV2312" s="24"/>
      <c r="AX2312" s="29"/>
    </row>
    <row r="2313" spans="2:50">
      <c r="B2313" s="19"/>
      <c r="K2313" s="21"/>
      <c r="T2313" s="28"/>
      <c r="AS2313" s="24"/>
      <c r="AT2313" s="24"/>
      <c r="AU2313" s="24"/>
      <c r="AV2313" s="24"/>
      <c r="AX2313" s="29"/>
    </row>
    <row r="2314" spans="2:50">
      <c r="B2314" s="30"/>
      <c r="K2314" s="21"/>
      <c r="T2314" s="28"/>
      <c r="AS2314" s="24"/>
      <c r="AT2314" s="24"/>
      <c r="AU2314" s="24"/>
      <c r="AV2314" s="24"/>
      <c r="AX2314" s="29"/>
    </row>
    <row r="2315" spans="2:50">
      <c r="B2315" s="19"/>
      <c r="K2315" s="21"/>
      <c r="T2315" s="28"/>
      <c r="AS2315" s="24"/>
      <c r="AT2315" s="24"/>
      <c r="AU2315" s="24"/>
      <c r="AV2315" s="24"/>
      <c r="AX2315" s="29"/>
    </row>
    <row r="2316" spans="2:50">
      <c r="B2316" s="19"/>
      <c r="K2316" s="21"/>
      <c r="T2316" s="28"/>
      <c r="AS2316" s="24"/>
      <c r="AT2316" s="24"/>
      <c r="AU2316" s="24"/>
      <c r="AV2316" s="24"/>
      <c r="AX2316" s="29"/>
    </row>
    <row r="2317" spans="2:50">
      <c r="B2317" s="19"/>
      <c r="K2317" s="21"/>
      <c r="T2317" s="28"/>
      <c r="AS2317" s="24"/>
      <c r="AT2317" s="24"/>
      <c r="AU2317" s="24"/>
      <c r="AV2317" s="24"/>
      <c r="AX2317" s="29"/>
    </row>
    <row r="2318" spans="2:50">
      <c r="B2318" s="19"/>
      <c r="K2318" s="21"/>
      <c r="T2318" s="28"/>
      <c r="AS2318" s="24"/>
      <c r="AT2318" s="24"/>
      <c r="AU2318" s="24"/>
      <c r="AV2318" s="24"/>
      <c r="AX2318" s="29"/>
    </row>
    <row r="2319" spans="2:50">
      <c r="B2319" s="19"/>
      <c r="K2319" s="21"/>
      <c r="T2319" s="28"/>
      <c r="AS2319" s="24"/>
      <c r="AT2319" s="24"/>
      <c r="AU2319" s="24"/>
      <c r="AV2319" s="24"/>
      <c r="AX2319" s="29"/>
    </row>
    <row r="2320" spans="2:50">
      <c r="B2320" s="19"/>
      <c r="K2320" s="21"/>
      <c r="T2320" s="28"/>
      <c r="AS2320" s="24"/>
      <c r="AT2320" s="24"/>
      <c r="AU2320" s="24"/>
      <c r="AV2320" s="24"/>
      <c r="AX2320" s="29"/>
    </row>
    <row r="2321" spans="2:50">
      <c r="B2321" s="19"/>
      <c r="K2321" s="21"/>
      <c r="T2321" s="28"/>
      <c r="AS2321" s="24"/>
      <c r="AT2321" s="24"/>
      <c r="AU2321" s="24"/>
      <c r="AV2321" s="24"/>
      <c r="AX2321" s="29"/>
    </row>
    <row r="2322" spans="2:50">
      <c r="B2322" s="19"/>
      <c r="K2322" s="21"/>
      <c r="T2322" s="28"/>
      <c r="AS2322" s="24"/>
      <c r="AT2322" s="24"/>
      <c r="AU2322" s="24"/>
      <c r="AV2322" s="24"/>
      <c r="AX2322" s="29"/>
    </row>
    <row r="2323" spans="2:50">
      <c r="B2323" s="19"/>
      <c r="K2323" s="21"/>
      <c r="T2323" s="28"/>
      <c r="AS2323" s="24"/>
      <c r="AT2323" s="24"/>
      <c r="AU2323" s="24"/>
      <c r="AV2323" s="24"/>
      <c r="AX2323" s="29"/>
    </row>
    <row r="2324" spans="2:50">
      <c r="B2324" s="19"/>
      <c r="K2324" s="21"/>
      <c r="T2324" s="28"/>
      <c r="AS2324" s="24"/>
      <c r="AT2324" s="24"/>
      <c r="AU2324" s="24"/>
      <c r="AV2324" s="24"/>
      <c r="AX2324" s="29"/>
    </row>
    <row r="2325" spans="2:50">
      <c r="B2325" s="19"/>
      <c r="K2325" s="21"/>
      <c r="T2325" s="28"/>
      <c r="AS2325" s="24"/>
      <c r="AT2325" s="24"/>
      <c r="AU2325" s="24"/>
      <c r="AV2325" s="24"/>
      <c r="AX2325" s="29"/>
    </row>
    <row r="2326" spans="2:50">
      <c r="B2326" s="19"/>
      <c r="K2326" s="21"/>
      <c r="T2326" s="28"/>
      <c r="AS2326" s="24"/>
      <c r="AT2326" s="24"/>
      <c r="AU2326" s="24"/>
      <c r="AV2326" s="24"/>
      <c r="AX2326" s="29"/>
    </row>
    <row r="2327" spans="2:50">
      <c r="B2327" s="19"/>
      <c r="K2327" s="21"/>
      <c r="T2327" s="28"/>
      <c r="AS2327" s="24"/>
      <c r="AT2327" s="24"/>
      <c r="AU2327" s="24"/>
      <c r="AV2327" s="24"/>
      <c r="AX2327" s="29"/>
    </row>
    <row r="2328" spans="2:50">
      <c r="B2328" s="19"/>
      <c r="K2328" s="21"/>
      <c r="T2328" s="28"/>
      <c r="AS2328" s="24"/>
      <c r="AT2328" s="24"/>
      <c r="AU2328" s="24"/>
      <c r="AV2328" s="24"/>
      <c r="AX2328" s="29"/>
    </row>
    <row r="2329" spans="2:50">
      <c r="B2329" s="19"/>
      <c r="K2329" s="21"/>
      <c r="T2329" s="28"/>
      <c r="AS2329" s="24"/>
      <c r="AT2329" s="24"/>
      <c r="AU2329" s="24"/>
      <c r="AV2329" s="24"/>
      <c r="AX2329" s="29"/>
    </row>
    <row r="2330" spans="2:50">
      <c r="B2330" s="19"/>
      <c r="K2330" s="21"/>
      <c r="T2330" s="28"/>
      <c r="AS2330" s="24"/>
      <c r="AT2330" s="24"/>
      <c r="AU2330" s="24"/>
      <c r="AV2330" s="24"/>
      <c r="AX2330" s="29"/>
    </row>
    <row r="2331" spans="2:50">
      <c r="B2331" s="30"/>
      <c r="K2331" s="21"/>
      <c r="T2331" s="28"/>
      <c r="AS2331" s="24"/>
      <c r="AT2331" s="24"/>
      <c r="AU2331" s="24"/>
      <c r="AV2331" s="24"/>
      <c r="AX2331" s="29"/>
    </row>
    <row r="2332" spans="2:50">
      <c r="B2332" s="30"/>
      <c r="K2332" s="21"/>
      <c r="T2332" s="28"/>
      <c r="AS2332" s="24"/>
      <c r="AT2332" s="24"/>
      <c r="AU2332" s="24"/>
      <c r="AV2332" s="24"/>
      <c r="AX2332" s="29"/>
    </row>
    <row r="2333" spans="2:50">
      <c r="B2333" s="19"/>
      <c r="K2333" s="21"/>
      <c r="T2333" s="28"/>
      <c r="AS2333" s="24"/>
      <c r="AT2333" s="24"/>
      <c r="AU2333" s="24"/>
      <c r="AV2333" s="24"/>
      <c r="AX2333" s="29"/>
    </row>
    <row r="2334" spans="2:50">
      <c r="B2334" s="19"/>
      <c r="K2334" s="21"/>
      <c r="T2334" s="28"/>
      <c r="AS2334" s="24"/>
      <c r="AT2334" s="24"/>
      <c r="AU2334" s="24"/>
      <c r="AV2334" s="24"/>
      <c r="AX2334" s="29"/>
    </row>
    <row r="2335" spans="2:50">
      <c r="B2335" s="19"/>
      <c r="K2335" s="21"/>
      <c r="T2335" s="28"/>
      <c r="AS2335" s="24"/>
      <c r="AT2335" s="24"/>
      <c r="AU2335" s="24"/>
      <c r="AV2335" s="24"/>
      <c r="AX2335" s="29"/>
    </row>
    <row r="2336" spans="2:50">
      <c r="B2336" s="19"/>
      <c r="K2336" s="21"/>
      <c r="T2336" s="28"/>
      <c r="AS2336" s="24"/>
      <c r="AT2336" s="24"/>
      <c r="AU2336" s="24"/>
      <c r="AV2336" s="24"/>
      <c r="AX2336" s="29"/>
    </row>
    <row r="2337" spans="2:50">
      <c r="B2337" s="19"/>
      <c r="K2337" s="21"/>
      <c r="T2337" s="28"/>
      <c r="AS2337" s="24"/>
      <c r="AT2337" s="24"/>
      <c r="AU2337" s="24"/>
      <c r="AV2337" s="24"/>
      <c r="AX2337" s="29"/>
    </row>
    <row r="2338" spans="2:50">
      <c r="B2338" s="19"/>
      <c r="K2338" s="21"/>
      <c r="T2338" s="28"/>
      <c r="AS2338" s="24"/>
      <c r="AT2338" s="24"/>
      <c r="AU2338" s="24"/>
      <c r="AV2338" s="24"/>
      <c r="AX2338" s="29"/>
    </row>
    <row r="2339" spans="2:50">
      <c r="B2339" s="19"/>
      <c r="K2339" s="21"/>
      <c r="T2339" s="28"/>
      <c r="AS2339" s="24"/>
      <c r="AT2339" s="24"/>
      <c r="AU2339" s="24"/>
      <c r="AV2339" s="24"/>
      <c r="AX2339" s="29"/>
    </row>
    <row r="2340" spans="2:50">
      <c r="B2340" s="19"/>
      <c r="K2340" s="21"/>
      <c r="T2340" s="28"/>
      <c r="AS2340" s="24"/>
      <c r="AT2340" s="24"/>
      <c r="AU2340" s="24"/>
      <c r="AV2340" s="24"/>
      <c r="AX2340" s="29"/>
    </row>
    <row r="2341" spans="2:50">
      <c r="B2341" s="19"/>
      <c r="K2341" s="21"/>
      <c r="T2341" s="28"/>
      <c r="AS2341" s="24"/>
      <c r="AT2341" s="24"/>
      <c r="AU2341" s="24"/>
      <c r="AV2341" s="24"/>
      <c r="AX2341" s="29"/>
    </row>
    <row r="2342" spans="2:50">
      <c r="B2342" s="19"/>
      <c r="K2342" s="21"/>
      <c r="T2342" s="28"/>
      <c r="AS2342" s="24"/>
      <c r="AT2342" s="24"/>
      <c r="AU2342" s="24"/>
      <c r="AV2342" s="24"/>
      <c r="AX2342" s="29"/>
    </row>
    <row r="2343" spans="2:50">
      <c r="B2343" s="19"/>
      <c r="K2343" s="21"/>
      <c r="T2343" s="28"/>
      <c r="AS2343" s="24"/>
      <c r="AT2343" s="24"/>
      <c r="AU2343" s="24"/>
      <c r="AV2343" s="24"/>
      <c r="AX2343" s="29"/>
    </row>
    <row r="2344" spans="2:50">
      <c r="B2344" s="19"/>
      <c r="K2344" s="21"/>
      <c r="T2344" s="28"/>
      <c r="AS2344" s="24"/>
      <c r="AT2344" s="24"/>
      <c r="AU2344" s="24"/>
      <c r="AV2344" s="24"/>
      <c r="AX2344" s="29"/>
    </row>
    <row r="2345" spans="2:50">
      <c r="B2345" s="19"/>
      <c r="K2345" s="21"/>
      <c r="T2345" s="28"/>
      <c r="AS2345" s="24"/>
      <c r="AT2345" s="24"/>
      <c r="AU2345" s="24"/>
      <c r="AV2345" s="24"/>
      <c r="AX2345" s="29"/>
    </row>
    <row r="2346" spans="2:50">
      <c r="B2346" s="19"/>
      <c r="K2346" s="21"/>
      <c r="T2346" s="28"/>
      <c r="AS2346" s="24"/>
      <c r="AT2346" s="24"/>
      <c r="AU2346" s="24"/>
      <c r="AV2346" s="24"/>
      <c r="AX2346" s="29"/>
    </row>
    <row r="2347" spans="2:50">
      <c r="B2347" s="19"/>
      <c r="K2347" s="21"/>
      <c r="T2347" s="28"/>
      <c r="AS2347" s="24"/>
      <c r="AT2347" s="24"/>
      <c r="AU2347" s="24"/>
      <c r="AV2347" s="24"/>
      <c r="AX2347" s="29"/>
    </row>
    <row r="2348" spans="2:50">
      <c r="B2348" s="19"/>
      <c r="K2348" s="21"/>
      <c r="T2348" s="28"/>
      <c r="AS2348" s="24"/>
      <c r="AT2348" s="24"/>
      <c r="AU2348" s="24"/>
      <c r="AV2348" s="24"/>
      <c r="AX2348" s="29"/>
    </row>
    <row r="2349" spans="2:50">
      <c r="B2349" s="19"/>
      <c r="K2349" s="21"/>
      <c r="T2349" s="28"/>
      <c r="AS2349" s="24"/>
      <c r="AT2349" s="24"/>
      <c r="AU2349" s="24"/>
      <c r="AV2349" s="24"/>
      <c r="AX2349" s="29"/>
    </row>
    <row r="2350" spans="2:50">
      <c r="B2350" s="19"/>
      <c r="K2350" s="21"/>
      <c r="T2350" s="28"/>
      <c r="AS2350" s="24"/>
      <c r="AT2350" s="24"/>
      <c r="AU2350" s="24"/>
      <c r="AV2350" s="24"/>
      <c r="AX2350" s="29"/>
    </row>
    <row r="2351" spans="2:50">
      <c r="B2351" s="19"/>
      <c r="K2351" s="21"/>
      <c r="T2351" s="28"/>
      <c r="AS2351" s="24"/>
      <c r="AT2351" s="24"/>
      <c r="AU2351" s="24"/>
      <c r="AV2351" s="24"/>
      <c r="AX2351" s="29"/>
    </row>
    <row r="2352" spans="2:50">
      <c r="B2352" s="19"/>
      <c r="K2352" s="21"/>
      <c r="T2352" s="28"/>
      <c r="AS2352" s="24"/>
      <c r="AT2352" s="24"/>
      <c r="AU2352" s="24"/>
      <c r="AV2352" s="24"/>
      <c r="AX2352" s="29"/>
    </row>
    <row r="2353" spans="2:50">
      <c r="B2353" s="19"/>
      <c r="K2353" s="21"/>
      <c r="T2353" s="28"/>
      <c r="AS2353" s="24"/>
      <c r="AT2353" s="24"/>
      <c r="AU2353" s="24"/>
      <c r="AV2353" s="24"/>
      <c r="AX2353" s="29"/>
    </row>
    <row r="2354" spans="2:50">
      <c r="B2354" s="19"/>
      <c r="K2354" s="21"/>
      <c r="T2354" s="28"/>
      <c r="AS2354" s="24"/>
      <c r="AT2354" s="24"/>
      <c r="AU2354" s="24"/>
      <c r="AV2354" s="24"/>
      <c r="AX2354" s="29"/>
    </row>
    <row r="2355" spans="2:50">
      <c r="B2355" s="19"/>
      <c r="K2355" s="21"/>
      <c r="T2355" s="28"/>
      <c r="AS2355" s="24"/>
      <c r="AT2355" s="24"/>
      <c r="AU2355" s="24"/>
      <c r="AV2355" s="24"/>
      <c r="AX2355" s="29"/>
    </row>
    <row r="2356" spans="2:50">
      <c r="B2356" s="19"/>
      <c r="K2356" s="21"/>
      <c r="T2356" s="28"/>
      <c r="AS2356" s="24"/>
      <c r="AT2356" s="24"/>
      <c r="AU2356" s="24"/>
      <c r="AV2356" s="24"/>
      <c r="AX2356" s="29"/>
    </row>
    <row r="2357" spans="2:50">
      <c r="B2357" s="19"/>
      <c r="K2357" s="21"/>
      <c r="T2357" s="28"/>
      <c r="AS2357" s="24"/>
      <c r="AT2357" s="24"/>
      <c r="AU2357" s="24"/>
      <c r="AV2357" s="24"/>
      <c r="AX2357" s="29"/>
    </row>
    <row r="2358" spans="2:50">
      <c r="B2358" s="19"/>
      <c r="K2358" s="21"/>
      <c r="T2358" s="28"/>
      <c r="AS2358" s="24"/>
      <c r="AT2358" s="24"/>
      <c r="AU2358" s="24"/>
      <c r="AV2358" s="24"/>
      <c r="AX2358" s="29"/>
    </row>
    <row r="2359" spans="2:50">
      <c r="B2359" s="19"/>
      <c r="K2359" s="21"/>
      <c r="T2359" s="28"/>
      <c r="AS2359" s="24"/>
      <c r="AT2359" s="24"/>
      <c r="AU2359" s="24"/>
      <c r="AV2359" s="24"/>
      <c r="AX2359" s="29"/>
    </row>
    <row r="2360" spans="2:50">
      <c r="B2360" s="19"/>
      <c r="K2360" s="21"/>
      <c r="T2360" s="28"/>
      <c r="AS2360" s="24"/>
      <c r="AT2360" s="24"/>
      <c r="AU2360" s="24"/>
      <c r="AV2360" s="24"/>
      <c r="AX2360" s="29"/>
    </row>
    <row r="2361" spans="2:50">
      <c r="B2361" s="19"/>
      <c r="K2361" s="21"/>
      <c r="T2361" s="28"/>
      <c r="AS2361" s="24"/>
      <c r="AT2361" s="24"/>
      <c r="AU2361" s="24"/>
      <c r="AV2361" s="24"/>
      <c r="AX2361" s="29"/>
    </row>
    <row r="2362" spans="2:50">
      <c r="B2362" s="19"/>
      <c r="K2362" s="21"/>
      <c r="T2362" s="28"/>
      <c r="AS2362" s="24"/>
      <c r="AT2362" s="24"/>
      <c r="AU2362" s="24"/>
      <c r="AV2362" s="24"/>
      <c r="AX2362" s="29"/>
    </row>
    <row r="2363" spans="2:50">
      <c r="B2363" s="19"/>
      <c r="K2363" s="21"/>
      <c r="T2363" s="28"/>
      <c r="AS2363" s="24"/>
      <c r="AT2363" s="24"/>
      <c r="AU2363" s="24"/>
      <c r="AV2363" s="24"/>
      <c r="AX2363" s="29"/>
    </row>
    <row r="2364" spans="2:50">
      <c r="B2364" s="19"/>
      <c r="K2364" s="21"/>
      <c r="T2364" s="28"/>
      <c r="AS2364" s="24"/>
      <c r="AT2364" s="24"/>
      <c r="AU2364" s="24"/>
      <c r="AV2364" s="24"/>
      <c r="AX2364" s="29"/>
    </row>
    <row r="2365" spans="2:50">
      <c r="B2365" s="19"/>
      <c r="K2365" s="21"/>
      <c r="T2365" s="28"/>
      <c r="AS2365" s="24"/>
      <c r="AT2365" s="24"/>
      <c r="AU2365" s="24"/>
      <c r="AV2365" s="24"/>
      <c r="AX2365" s="29"/>
    </row>
    <row r="2366" spans="2:50">
      <c r="B2366" s="19"/>
      <c r="K2366" s="21"/>
      <c r="T2366" s="28"/>
      <c r="AS2366" s="24"/>
      <c r="AT2366" s="24"/>
      <c r="AU2366" s="24"/>
      <c r="AV2366" s="24"/>
      <c r="AX2366" s="29"/>
    </row>
    <row r="2367" spans="2:50">
      <c r="B2367" s="19"/>
      <c r="K2367" s="21"/>
      <c r="T2367" s="28"/>
      <c r="AS2367" s="24"/>
      <c r="AT2367" s="24"/>
      <c r="AU2367" s="24"/>
      <c r="AV2367" s="24"/>
      <c r="AX2367" s="29"/>
    </row>
    <row r="2368" spans="2:50">
      <c r="B2368" s="19"/>
      <c r="K2368" s="21"/>
      <c r="T2368" s="28"/>
      <c r="AS2368" s="24"/>
      <c r="AT2368" s="24"/>
      <c r="AU2368" s="24"/>
      <c r="AV2368" s="24"/>
      <c r="AX2368" s="29"/>
    </row>
    <row r="2369" spans="2:50">
      <c r="B2369" s="19"/>
      <c r="K2369" s="21"/>
      <c r="T2369" s="28"/>
      <c r="AS2369" s="24"/>
      <c r="AT2369" s="24"/>
      <c r="AU2369" s="24"/>
      <c r="AV2369" s="24"/>
      <c r="AX2369" s="29"/>
    </row>
    <row r="2370" spans="2:50">
      <c r="B2370" s="19"/>
      <c r="K2370" s="21"/>
      <c r="T2370" s="28"/>
      <c r="AS2370" s="24"/>
      <c r="AT2370" s="24"/>
      <c r="AU2370" s="24"/>
      <c r="AV2370" s="24"/>
      <c r="AX2370" s="29"/>
    </row>
    <row r="2371" spans="2:50">
      <c r="B2371" s="19"/>
      <c r="K2371" s="21"/>
      <c r="T2371" s="28"/>
      <c r="AS2371" s="24"/>
      <c r="AT2371" s="24"/>
      <c r="AU2371" s="24"/>
      <c r="AV2371" s="24"/>
      <c r="AX2371" s="29"/>
    </row>
    <row r="2372" spans="2:50">
      <c r="B2372" s="19"/>
      <c r="K2372" s="21"/>
      <c r="T2372" s="28"/>
      <c r="AS2372" s="24"/>
      <c r="AT2372" s="24"/>
      <c r="AU2372" s="24"/>
      <c r="AV2372" s="24"/>
      <c r="AX2372" s="29"/>
    </row>
    <row r="2373" spans="2:50">
      <c r="B2373" s="19"/>
      <c r="K2373" s="21"/>
      <c r="T2373" s="28"/>
      <c r="AS2373" s="24"/>
      <c r="AT2373" s="24"/>
      <c r="AU2373" s="24"/>
      <c r="AV2373" s="24"/>
      <c r="AX2373" s="29"/>
    </row>
    <row r="2374" spans="2:50">
      <c r="B2374" s="19"/>
      <c r="K2374" s="21"/>
      <c r="T2374" s="28"/>
      <c r="AS2374" s="24"/>
      <c r="AT2374" s="24"/>
      <c r="AU2374" s="24"/>
      <c r="AV2374" s="24"/>
      <c r="AX2374" s="29"/>
    </row>
    <row r="2375" spans="2:50">
      <c r="B2375" s="19"/>
      <c r="K2375" s="21"/>
      <c r="T2375" s="28"/>
      <c r="AS2375" s="24"/>
      <c r="AT2375" s="24"/>
      <c r="AU2375" s="24"/>
      <c r="AV2375" s="24"/>
      <c r="AX2375" s="29"/>
    </row>
    <row r="2376" spans="2:50">
      <c r="B2376" s="19"/>
      <c r="K2376" s="21"/>
      <c r="T2376" s="28"/>
      <c r="AS2376" s="24"/>
      <c r="AT2376" s="24"/>
      <c r="AU2376" s="24"/>
      <c r="AV2376" s="24"/>
      <c r="AX2376" s="29"/>
    </row>
    <row r="2377" spans="2:50">
      <c r="B2377" s="19"/>
      <c r="K2377" s="21"/>
      <c r="T2377" s="28"/>
      <c r="AS2377" s="24"/>
      <c r="AT2377" s="24"/>
      <c r="AU2377" s="24"/>
      <c r="AV2377" s="24"/>
      <c r="AX2377" s="29"/>
    </row>
    <row r="2378" spans="2:50">
      <c r="B2378" s="19"/>
      <c r="K2378" s="21"/>
      <c r="S2378" s="36"/>
      <c r="AS2378" s="24"/>
      <c r="AT2378" s="24"/>
      <c r="AU2378" s="24"/>
      <c r="AV2378" s="24"/>
      <c r="AX2378" s="29"/>
    </row>
    <row r="2379" spans="2:50">
      <c r="B2379" s="19"/>
      <c r="K2379" s="21"/>
      <c r="T2379" s="28"/>
      <c r="AS2379" s="24"/>
      <c r="AT2379" s="24"/>
      <c r="AU2379" s="24"/>
      <c r="AV2379" s="24"/>
      <c r="AX2379" s="29"/>
    </row>
    <row r="2380" spans="2:50">
      <c r="B2380" s="19"/>
      <c r="K2380" s="21"/>
      <c r="T2380" s="28"/>
      <c r="AS2380" s="24"/>
      <c r="AT2380" s="24"/>
      <c r="AU2380" s="24"/>
      <c r="AV2380" s="24"/>
      <c r="AX2380" s="29"/>
    </row>
    <row r="2381" spans="2:50">
      <c r="B2381" s="19"/>
      <c r="K2381" s="21"/>
      <c r="T2381" s="28"/>
      <c r="AS2381" s="24"/>
      <c r="AT2381" s="24"/>
      <c r="AU2381" s="24"/>
      <c r="AV2381" s="24"/>
      <c r="AX2381" s="29"/>
    </row>
    <row r="2382" spans="2:50">
      <c r="B2382" s="19"/>
      <c r="K2382" s="21"/>
      <c r="T2382" s="28"/>
      <c r="AS2382" s="24"/>
      <c r="AT2382" s="24"/>
      <c r="AU2382" s="24"/>
      <c r="AV2382" s="24"/>
      <c r="AX2382" s="29"/>
    </row>
    <row r="2383" spans="2:50">
      <c r="B2383" s="19"/>
      <c r="K2383" s="21"/>
      <c r="T2383" s="28"/>
      <c r="AS2383" s="24"/>
      <c r="AT2383" s="24"/>
      <c r="AU2383" s="24"/>
      <c r="AV2383" s="24"/>
      <c r="AX2383" s="29"/>
    </row>
    <row r="2384" spans="2:50">
      <c r="B2384" s="19"/>
      <c r="K2384" s="21"/>
      <c r="T2384" s="28"/>
      <c r="AS2384" s="24"/>
      <c r="AT2384" s="24"/>
      <c r="AU2384" s="24"/>
      <c r="AV2384" s="24"/>
      <c r="AX2384" s="29"/>
    </row>
    <row r="2385" spans="2:50">
      <c r="B2385" s="19"/>
      <c r="K2385" s="21"/>
      <c r="T2385" s="28"/>
      <c r="AS2385" s="24"/>
      <c r="AT2385" s="24"/>
      <c r="AU2385" s="24"/>
      <c r="AV2385" s="24"/>
      <c r="AX2385" s="29"/>
    </row>
    <row r="2386" spans="2:50">
      <c r="B2386" s="19"/>
      <c r="K2386" s="21"/>
      <c r="T2386" s="28"/>
      <c r="AS2386" s="24"/>
      <c r="AT2386" s="24"/>
      <c r="AU2386" s="24"/>
      <c r="AV2386" s="24"/>
      <c r="AX2386" s="29"/>
    </row>
    <row r="2387" spans="2:50">
      <c r="B2387" s="19"/>
      <c r="K2387" s="21"/>
      <c r="T2387" s="28"/>
      <c r="AS2387" s="24"/>
      <c r="AT2387" s="24"/>
      <c r="AU2387" s="24"/>
      <c r="AV2387" s="24"/>
      <c r="AX2387" s="29"/>
    </row>
    <row r="2388" spans="2:50">
      <c r="B2388" s="19"/>
      <c r="K2388" s="21"/>
      <c r="T2388" s="28"/>
      <c r="AS2388" s="24"/>
      <c r="AT2388" s="24"/>
      <c r="AU2388" s="24"/>
      <c r="AV2388" s="24"/>
      <c r="AX2388" s="29"/>
    </row>
    <row r="2389" spans="2:50">
      <c r="B2389" s="19"/>
      <c r="K2389" s="21"/>
      <c r="T2389" s="28"/>
      <c r="AS2389" s="24"/>
      <c r="AT2389" s="24"/>
      <c r="AU2389" s="24"/>
      <c r="AV2389" s="24"/>
      <c r="AX2389" s="29"/>
    </row>
    <row r="2390" spans="2:50">
      <c r="B2390" s="19"/>
      <c r="K2390" s="21"/>
      <c r="T2390" s="28"/>
      <c r="AS2390" s="24"/>
      <c r="AT2390" s="24"/>
      <c r="AU2390" s="24"/>
      <c r="AV2390" s="24"/>
      <c r="AX2390" s="29"/>
    </row>
    <row r="2391" spans="2:50">
      <c r="B2391" s="19"/>
      <c r="K2391" s="21"/>
      <c r="T2391" s="28"/>
      <c r="AS2391" s="24"/>
      <c r="AT2391" s="24"/>
      <c r="AU2391" s="24"/>
      <c r="AV2391" s="24"/>
      <c r="AX2391" s="29"/>
    </row>
    <row r="2392" spans="2:50">
      <c r="B2392" s="19"/>
      <c r="K2392" s="21"/>
      <c r="T2392" s="28"/>
      <c r="AS2392" s="24"/>
      <c r="AT2392" s="24"/>
      <c r="AU2392" s="24"/>
      <c r="AV2392" s="24"/>
      <c r="AX2392" s="29"/>
    </row>
    <row r="2393" spans="2:50">
      <c r="B2393" s="19"/>
      <c r="K2393" s="21"/>
      <c r="T2393" s="28"/>
      <c r="AS2393" s="24"/>
      <c r="AT2393" s="24"/>
      <c r="AU2393" s="24"/>
      <c r="AV2393" s="24"/>
      <c r="AX2393" s="29"/>
    </row>
    <row r="2394" spans="2:50">
      <c r="B2394" s="19"/>
      <c r="K2394" s="21"/>
      <c r="T2394" s="28"/>
      <c r="AS2394" s="24"/>
      <c r="AT2394" s="24"/>
      <c r="AU2394" s="24"/>
      <c r="AV2394" s="24"/>
      <c r="AX2394" s="29"/>
    </row>
    <row r="2395" spans="2:50">
      <c r="B2395" s="19"/>
      <c r="K2395" s="21"/>
      <c r="T2395" s="28"/>
      <c r="AS2395" s="24"/>
      <c r="AT2395" s="24"/>
      <c r="AU2395" s="24"/>
      <c r="AV2395" s="24"/>
      <c r="AX2395" s="29"/>
    </row>
    <row r="2396" spans="2:50">
      <c r="B2396" s="19"/>
      <c r="K2396" s="21"/>
      <c r="T2396" s="28"/>
      <c r="AS2396" s="24"/>
      <c r="AT2396" s="24"/>
      <c r="AU2396" s="24"/>
      <c r="AV2396" s="24"/>
      <c r="AX2396" s="29"/>
    </row>
    <row r="2397" spans="2:50">
      <c r="B2397" s="19"/>
      <c r="K2397" s="21"/>
      <c r="T2397" s="28"/>
      <c r="AS2397" s="24"/>
      <c r="AT2397" s="24"/>
      <c r="AU2397" s="24"/>
      <c r="AV2397" s="24"/>
      <c r="AX2397" s="29"/>
    </row>
    <row r="2398" spans="2:50">
      <c r="B2398" s="19"/>
      <c r="K2398" s="21"/>
      <c r="T2398" s="28"/>
      <c r="AS2398" s="24"/>
      <c r="AT2398" s="24"/>
      <c r="AU2398" s="24"/>
      <c r="AV2398" s="24"/>
      <c r="AX2398" s="29"/>
    </row>
    <row r="2399" spans="2:50">
      <c r="B2399" s="19"/>
      <c r="K2399" s="21"/>
      <c r="T2399" s="28"/>
      <c r="AS2399" s="24"/>
      <c r="AT2399" s="24"/>
      <c r="AU2399" s="24"/>
      <c r="AV2399" s="24"/>
      <c r="AX2399" s="29"/>
    </row>
    <row r="2400" spans="2:50">
      <c r="B2400" s="19"/>
      <c r="K2400" s="21"/>
      <c r="T2400" s="28"/>
      <c r="AS2400" s="24"/>
      <c r="AT2400" s="24"/>
      <c r="AU2400" s="24"/>
      <c r="AV2400" s="24"/>
      <c r="AX2400" s="29"/>
    </row>
    <row r="2401" spans="2:50">
      <c r="B2401" s="19"/>
      <c r="K2401" s="21"/>
      <c r="T2401" s="28"/>
      <c r="AS2401" s="24"/>
      <c r="AT2401" s="24"/>
      <c r="AU2401" s="24"/>
      <c r="AV2401" s="24"/>
      <c r="AX2401" s="29"/>
    </row>
    <row r="2402" spans="2:50">
      <c r="B2402" s="19"/>
      <c r="K2402" s="21"/>
      <c r="T2402" s="28"/>
      <c r="AS2402" s="24"/>
      <c r="AT2402" s="24"/>
      <c r="AU2402" s="24"/>
      <c r="AV2402" s="24"/>
      <c r="AX2402" s="29"/>
    </row>
    <row r="2403" spans="2:50">
      <c r="B2403" s="19"/>
      <c r="K2403" s="21"/>
      <c r="T2403" s="28"/>
      <c r="AS2403" s="24"/>
      <c r="AT2403" s="24"/>
      <c r="AU2403" s="24"/>
      <c r="AV2403" s="24"/>
      <c r="AX2403" s="29"/>
    </row>
    <row r="2404" spans="2:50">
      <c r="B2404" s="19"/>
      <c r="K2404" s="21"/>
      <c r="T2404" s="28"/>
      <c r="AS2404" s="24"/>
      <c r="AT2404" s="24"/>
      <c r="AU2404" s="24"/>
      <c r="AV2404" s="24"/>
      <c r="AX2404" s="29"/>
    </row>
    <row r="2405" spans="2:50">
      <c r="B2405" s="19"/>
      <c r="K2405" s="21"/>
      <c r="T2405" s="28"/>
      <c r="AS2405" s="24"/>
      <c r="AT2405" s="24"/>
      <c r="AU2405" s="24"/>
      <c r="AV2405" s="24"/>
      <c r="AX2405" s="29"/>
    </row>
    <row r="2406" spans="2:50">
      <c r="B2406" s="19"/>
      <c r="K2406" s="21"/>
      <c r="T2406" s="28"/>
      <c r="AS2406" s="24"/>
      <c r="AT2406" s="24"/>
      <c r="AU2406" s="24"/>
      <c r="AV2406" s="24"/>
      <c r="AX2406" s="29"/>
    </row>
    <row r="2407" spans="2:50">
      <c r="B2407" s="19"/>
      <c r="K2407" s="21"/>
      <c r="T2407" s="28"/>
      <c r="AS2407" s="24"/>
      <c r="AT2407" s="24"/>
      <c r="AU2407" s="24"/>
      <c r="AV2407" s="24"/>
      <c r="AX2407" s="29"/>
    </row>
    <row r="2408" spans="2:50">
      <c r="B2408" s="19"/>
      <c r="K2408" s="21"/>
      <c r="T2408" s="28"/>
      <c r="AS2408" s="24"/>
      <c r="AT2408" s="24"/>
      <c r="AU2408" s="24"/>
      <c r="AV2408" s="24"/>
      <c r="AX2408" s="29"/>
    </row>
    <row r="2409" spans="2:50">
      <c r="B2409" s="19"/>
      <c r="K2409" s="21"/>
      <c r="T2409" s="28"/>
      <c r="AS2409" s="24"/>
      <c r="AT2409" s="24"/>
      <c r="AU2409" s="24"/>
      <c r="AV2409" s="24"/>
      <c r="AX2409" s="29"/>
    </row>
    <row r="2410" spans="2:50">
      <c r="B2410" s="19"/>
      <c r="K2410" s="21"/>
      <c r="T2410" s="28"/>
      <c r="AS2410" s="24"/>
      <c r="AT2410" s="24"/>
      <c r="AU2410" s="24"/>
      <c r="AV2410" s="24"/>
      <c r="AX2410" s="29"/>
    </row>
    <row r="2411" spans="2:50">
      <c r="B2411" s="19"/>
      <c r="K2411" s="21"/>
      <c r="T2411" s="28"/>
      <c r="AS2411" s="24"/>
      <c r="AT2411" s="24"/>
      <c r="AU2411" s="24"/>
      <c r="AV2411" s="24"/>
      <c r="AX2411" s="29"/>
    </row>
    <row r="2412" spans="2:50">
      <c r="B2412" s="19"/>
      <c r="K2412" s="21"/>
      <c r="T2412" s="28"/>
      <c r="AS2412" s="24"/>
      <c r="AT2412" s="24"/>
      <c r="AU2412" s="24"/>
      <c r="AV2412" s="24"/>
      <c r="AX2412" s="29"/>
    </row>
    <row r="2413" spans="2:50">
      <c r="B2413" s="19"/>
      <c r="K2413" s="21"/>
      <c r="T2413" s="28"/>
      <c r="AS2413" s="24"/>
      <c r="AT2413" s="24"/>
      <c r="AU2413" s="24"/>
      <c r="AV2413" s="24"/>
      <c r="AX2413" s="29"/>
    </row>
    <row r="2414" spans="2:50">
      <c r="B2414" s="19"/>
      <c r="K2414" s="21"/>
      <c r="T2414" s="28"/>
      <c r="AS2414" s="24"/>
      <c r="AT2414" s="24"/>
      <c r="AU2414" s="24"/>
      <c r="AV2414" s="24"/>
      <c r="AX2414" s="29"/>
    </row>
    <row r="2415" spans="2:50">
      <c r="B2415" s="19"/>
      <c r="K2415" s="21"/>
      <c r="T2415" s="28"/>
      <c r="AS2415" s="24"/>
      <c r="AT2415" s="24"/>
      <c r="AU2415" s="24"/>
      <c r="AV2415" s="24"/>
      <c r="AX2415" s="29"/>
    </row>
    <row r="2416" spans="2:50">
      <c r="B2416" s="19"/>
      <c r="K2416" s="21"/>
      <c r="T2416" s="28"/>
      <c r="AS2416" s="24"/>
      <c r="AT2416" s="24"/>
      <c r="AU2416" s="24"/>
      <c r="AV2416" s="24"/>
      <c r="AX2416" s="29"/>
    </row>
    <row r="2417" spans="2:50">
      <c r="B2417" s="19"/>
      <c r="K2417" s="21"/>
      <c r="T2417" s="28"/>
      <c r="AS2417" s="24"/>
      <c r="AT2417" s="24"/>
      <c r="AU2417" s="24"/>
      <c r="AV2417" s="24"/>
      <c r="AX2417" s="29"/>
    </row>
    <row r="2418" spans="2:50">
      <c r="B2418" s="19"/>
      <c r="K2418" s="21"/>
      <c r="T2418" s="28"/>
      <c r="AS2418" s="24"/>
      <c r="AT2418" s="24"/>
      <c r="AU2418" s="24"/>
      <c r="AV2418" s="24"/>
      <c r="AX2418" s="29"/>
    </row>
    <row r="2419" spans="2:50">
      <c r="B2419" s="19"/>
      <c r="K2419" s="21"/>
      <c r="T2419" s="28"/>
      <c r="AS2419" s="24"/>
      <c r="AT2419" s="24"/>
      <c r="AU2419" s="24"/>
      <c r="AV2419" s="24"/>
      <c r="AX2419" s="29"/>
    </row>
    <row r="2420" spans="2:50">
      <c r="B2420" s="19"/>
      <c r="K2420" s="21"/>
      <c r="T2420" s="28"/>
      <c r="AS2420" s="24"/>
      <c r="AT2420" s="24"/>
      <c r="AU2420" s="24"/>
      <c r="AV2420" s="24"/>
      <c r="AX2420" s="29"/>
    </row>
    <row r="2421" spans="2:50">
      <c r="B2421" s="19"/>
      <c r="K2421" s="21"/>
      <c r="T2421" s="28"/>
      <c r="AS2421" s="24"/>
      <c r="AT2421" s="24"/>
      <c r="AU2421" s="24"/>
      <c r="AV2421" s="24"/>
      <c r="AX2421" s="29"/>
    </row>
    <row r="2422" spans="2:50">
      <c r="B2422" s="19"/>
      <c r="K2422" s="21"/>
      <c r="T2422" s="28"/>
      <c r="AS2422" s="24"/>
      <c r="AT2422" s="24"/>
      <c r="AU2422" s="24"/>
      <c r="AV2422" s="24"/>
      <c r="AX2422" s="29"/>
    </row>
    <row r="2423" spans="2:50">
      <c r="B2423" s="19"/>
      <c r="K2423" s="21"/>
      <c r="T2423" s="28"/>
      <c r="AS2423" s="24"/>
      <c r="AT2423" s="24"/>
      <c r="AU2423" s="24"/>
      <c r="AV2423" s="24"/>
      <c r="AX2423" s="29"/>
    </row>
    <row r="2424" spans="2:50">
      <c r="B2424" s="19"/>
      <c r="K2424" s="21"/>
      <c r="T2424" s="28"/>
      <c r="AS2424" s="24"/>
      <c r="AT2424" s="24"/>
      <c r="AU2424" s="24"/>
      <c r="AV2424" s="24"/>
      <c r="AX2424" s="29"/>
    </row>
    <row r="2425" spans="2:50">
      <c r="B2425" s="19"/>
      <c r="K2425" s="21"/>
      <c r="T2425" s="28"/>
      <c r="AS2425" s="24"/>
      <c r="AT2425" s="24"/>
      <c r="AU2425" s="24"/>
      <c r="AV2425" s="24"/>
      <c r="AX2425" s="29"/>
    </row>
    <row r="2426" spans="2:50">
      <c r="B2426" s="19"/>
      <c r="K2426" s="21"/>
      <c r="T2426" s="28"/>
      <c r="AS2426" s="24"/>
      <c r="AT2426" s="24"/>
      <c r="AU2426" s="24"/>
      <c r="AV2426" s="24"/>
      <c r="AX2426" s="29"/>
    </row>
    <row r="2427" spans="2:50">
      <c r="B2427" s="19"/>
      <c r="K2427" s="21"/>
      <c r="T2427" s="28"/>
      <c r="AS2427" s="24"/>
      <c r="AT2427" s="24"/>
      <c r="AU2427" s="24"/>
      <c r="AV2427" s="24"/>
      <c r="AX2427" s="29"/>
    </row>
    <row r="2428" spans="2:50">
      <c r="B2428" s="19"/>
      <c r="K2428" s="21"/>
      <c r="T2428" s="28"/>
      <c r="AS2428" s="24"/>
      <c r="AT2428" s="24"/>
      <c r="AU2428" s="24"/>
      <c r="AV2428" s="24"/>
      <c r="AX2428" s="29"/>
    </row>
    <row r="2429" spans="2:50">
      <c r="B2429" s="19"/>
      <c r="K2429" s="21"/>
      <c r="T2429" s="28"/>
      <c r="AS2429" s="24"/>
      <c r="AT2429" s="24"/>
      <c r="AU2429" s="24"/>
      <c r="AV2429" s="24"/>
      <c r="AX2429" s="29"/>
    </row>
    <row r="2430" spans="2:50">
      <c r="B2430" s="19"/>
      <c r="K2430" s="21"/>
      <c r="T2430" s="28"/>
      <c r="AS2430" s="24"/>
      <c r="AT2430" s="24"/>
      <c r="AU2430" s="24"/>
      <c r="AV2430" s="24"/>
      <c r="AX2430" s="29"/>
    </row>
    <row r="2431" spans="2:50">
      <c r="B2431" s="19"/>
      <c r="K2431" s="21"/>
      <c r="T2431" s="28"/>
      <c r="AS2431" s="24"/>
      <c r="AT2431" s="24"/>
      <c r="AU2431" s="24"/>
      <c r="AV2431" s="24"/>
      <c r="AX2431" s="29"/>
    </row>
    <row r="2432" spans="2:50">
      <c r="B2432" s="19"/>
      <c r="K2432" s="21"/>
      <c r="T2432" s="28"/>
      <c r="AS2432" s="24"/>
      <c r="AT2432" s="24"/>
      <c r="AU2432" s="24"/>
      <c r="AV2432" s="24"/>
      <c r="AX2432" s="29"/>
    </row>
    <row r="2433" spans="2:50">
      <c r="B2433" s="19"/>
      <c r="K2433" s="21"/>
      <c r="T2433" s="28"/>
      <c r="AS2433" s="24"/>
      <c r="AT2433" s="24"/>
      <c r="AU2433" s="24"/>
      <c r="AV2433" s="24"/>
      <c r="AX2433" s="29"/>
    </row>
    <row r="2434" spans="2:50">
      <c r="B2434" s="19"/>
      <c r="K2434" s="21"/>
      <c r="T2434" s="28"/>
      <c r="AS2434" s="24"/>
      <c r="AT2434" s="24"/>
      <c r="AU2434" s="24"/>
      <c r="AV2434" s="24"/>
      <c r="AX2434" s="29"/>
    </row>
    <row r="2435" spans="2:50">
      <c r="B2435" s="19"/>
      <c r="K2435" s="21"/>
      <c r="T2435" s="28"/>
      <c r="AS2435" s="24"/>
      <c r="AT2435" s="24"/>
      <c r="AU2435" s="24"/>
      <c r="AV2435" s="24"/>
      <c r="AX2435" s="29"/>
    </row>
    <row r="2436" spans="2:50">
      <c r="B2436" s="19"/>
      <c r="K2436" s="21"/>
      <c r="T2436" s="28"/>
      <c r="AS2436" s="24"/>
      <c r="AT2436" s="24"/>
      <c r="AU2436" s="24"/>
      <c r="AV2436" s="24"/>
      <c r="AX2436" s="29"/>
    </row>
    <row r="2437" spans="2:50">
      <c r="B2437" s="19"/>
      <c r="K2437" s="21"/>
      <c r="T2437" s="28"/>
      <c r="AS2437" s="24"/>
      <c r="AT2437" s="24"/>
      <c r="AU2437" s="24"/>
      <c r="AV2437" s="24"/>
      <c r="AX2437" s="29"/>
    </row>
    <row r="2438" spans="2:50">
      <c r="B2438" s="19"/>
      <c r="K2438" s="21"/>
      <c r="T2438" s="28"/>
      <c r="AS2438" s="24"/>
      <c r="AT2438" s="24"/>
      <c r="AU2438" s="24"/>
      <c r="AV2438" s="24"/>
      <c r="AX2438" s="29"/>
    </row>
    <row r="2439" spans="2:50">
      <c r="B2439" s="19"/>
      <c r="K2439" s="21"/>
      <c r="T2439" s="28"/>
      <c r="AS2439" s="24"/>
      <c r="AT2439" s="24"/>
      <c r="AU2439" s="24"/>
      <c r="AV2439" s="24"/>
      <c r="AX2439" s="29"/>
    </row>
    <row r="2440" spans="2:50">
      <c r="B2440" s="19"/>
      <c r="K2440" s="21"/>
      <c r="T2440" s="28"/>
      <c r="AS2440" s="24"/>
      <c r="AT2440" s="24"/>
      <c r="AU2440" s="24"/>
      <c r="AV2440" s="24"/>
      <c r="AX2440" s="29"/>
    </row>
    <row r="2441" spans="2:50">
      <c r="B2441" s="19"/>
      <c r="K2441" s="21"/>
      <c r="T2441" s="28"/>
      <c r="AS2441" s="24"/>
      <c r="AT2441" s="24"/>
      <c r="AU2441" s="24"/>
      <c r="AV2441" s="24"/>
      <c r="AX2441" s="29"/>
    </row>
    <row r="2442" spans="2:50">
      <c r="B2442" s="19"/>
      <c r="K2442" s="21"/>
      <c r="T2442" s="28"/>
      <c r="AS2442" s="24"/>
      <c r="AT2442" s="24"/>
      <c r="AU2442" s="24"/>
      <c r="AV2442" s="24"/>
      <c r="AX2442" s="29"/>
    </row>
    <row r="2443" spans="2:50">
      <c r="B2443" s="19"/>
      <c r="K2443" s="21"/>
      <c r="T2443" s="28"/>
      <c r="AS2443" s="24"/>
      <c r="AT2443" s="24"/>
      <c r="AU2443" s="24"/>
      <c r="AV2443" s="24"/>
      <c r="AX2443" s="29"/>
    </row>
    <row r="2444" spans="2:50">
      <c r="B2444" s="19"/>
      <c r="K2444" s="21"/>
      <c r="T2444" s="28"/>
      <c r="AS2444" s="24"/>
      <c r="AT2444" s="24"/>
      <c r="AU2444" s="24"/>
      <c r="AV2444" s="24"/>
      <c r="AX2444" s="29"/>
    </row>
    <row r="2445" spans="2:50">
      <c r="B2445" s="19"/>
      <c r="K2445" s="21"/>
      <c r="T2445" s="28"/>
      <c r="AS2445" s="24"/>
      <c r="AT2445" s="24"/>
      <c r="AU2445" s="24"/>
      <c r="AV2445" s="24"/>
      <c r="AX2445" s="29"/>
    </row>
    <row r="2446" spans="2:50">
      <c r="B2446" s="19"/>
      <c r="K2446" s="21"/>
      <c r="T2446" s="28"/>
      <c r="AS2446" s="24"/>
      <c r="AT2446" s="24"/>
      <c r="AU2446" s="24"/>
      <c r="AV2446" s="24"/>
      <c r="AX2446" s="29"/>
    </row>
    <row r="2447" spans="2:50">
      <c r="B2447" s="19"/>
      <c r="K2447" s="21"/>
      <c r="T2447" s="28"/>
      <c r="AS2447" s="24"/>
      <c r="AT2447" s="24"/>
      <c r="AU2447" s="24"/>
      <c r="AV2447" s="24"/>
      <c r="AX2447" s="29"/>
    </row>
    <row r="2448" spans="2:50">
      <c r="B2448" s="19"/>
      <c r="K2448" s="21"/>
      <c r="T2448" s="28"/>
      <c r="AS2448" s="24"/>
      <c r="AT2448" s="24"/>
      <c r="AU2448" s="24"/>
      <c r="AV2448" s="24"/>
      <c r="AX2448" s="29"/>
    </row>
    <row r="2449" spans="2:50">
      <c r="B2449" s="19"/>
      <c r="K2449" s="21"/>
      <c r="T2449" s="28"/>
      <c r="AS2449" s="24"/>
      <c r="AT2449" s="24"/>
      <c r="AU2449" s="24"/>
      <c r="AV2449" s="24"/>
      <c r="AX2449" s="29"/>
    </row>
    <row r="2450" spans="2:50">
      <c r="B2450" s="19"/>
      <c r="K2450" s="21"/>
      <c r="T2450" s="28"/>
      <c r="AS2450" s="24"/>
      <c r="AT2450" s="24"/>
      <c r="AU2450" s="24"/>
      <c r="AV2450" s="24"/>
      <c r="AX2450" s="29"/>
    </row>
    <row r="2451" spans="2:50">
      <c r="B2451" s="19"/>
      <c r="K2451" s="21"/>
      <c r="T2451" s="28"/>
      <c r="AS2451" s="24"/>
      <c r="AT2451" s="24"/>
      <c r="AU2451" s="24"/>
      <c r="AV2451" s="24"/>
      <c r="AX2451" s="29"/>
    </row>
    <row r="2452" spans="2:50">
      <c r="B2452" s="19"/>
      <c r="K2452" s="21"/>
      <c r="T2452" s="28"/>
      <c r="AS2452" s="24"/>
      <c r="AT2452" s="24"/>
      <c r="AU2452" s="24"/>
      <c r="AV2452" s="24"/>
      <c r="AX2452" s="29"/>
    </row>
    <row r="2453" spans="2:50">
      <c r="B2453" s="19"/>
      <c r="K2453" s="21"/>
      <c r="T2453" s="28"/>
      <c r="AS2453" s="24"/>
      <c r="AT2453" s="24"/>
      <c r="AU2453" s="24"/>
      <c r="AV2453" s="24"/>
      <c r="AX2453" s="29"/>
    </row>
    <row r="2454" spans="2:50">
      <c r="B2454" s="19"/>
      <c r="K2454" s="21"/>
      <c r="T2454" s="28"/>
      <c r="AS2454" s="24"/>
      <c r="AT2454" s="24"/>
      <c r="AU2454" s="24"/>
      <c r="AV2454" s="24"/>
      <c r="AX2454" s="29"/>
    </row>
    <row r="2455" spans="2:50">
      <c r="B2455" s="19"/>
      <c r="K2455" s="21"/>
      <c r="T2455" s="28"/>
      <c r="AS2455" s="24"/>
      <c r="AT2455" s="24"/>
      <c r="AU2455" s="24"/>
      <c r="AV2455" s="24"/>
      <c r="AX2455" s="29"/>
    </row>
    <row r="2456" spans="2:50">
      <c r="B2456" s="19"/>
      <c r="K2456" s="21"/>
      <c r="T2456" s="28"/>
      <c r="AS2456" s="24"/>
      <c r="AT2456" s="24"/>
      <c r="AU2456" s="24"/>
      <c r="AV2456" s="24"/>
      <c r="AX2456" s="29"/>
    </row>
    <row r="2457" spans="2:50">
      <c r="B2457" s="19"/>
      <c r="K2457" s="21"/>
      <c r="T2457" s="28"/>
      <c r="AS2457" s="24"/>
      <c r="AT2457" s="24"/>
      <c r="AU2457" s="24"/>
      <c r="AV2457" s="24"/>
      <c r="AX2457" s="29"/>
    </row>
    <row r="2458" spans="2:50">
      <c r="B2458" s="19"/>
      <c r="K2458" s="21"/>
      <c r="T2458" s="28"/>
      <c r="AS2458" s="24"/>
      <c r="AT2458" s="24"/>
      <c r="AU2458" s="24"/>
      <c r="AV2458" s="24"/>
      <c r="AX2458" s="29"/>
    </row>
    <row r="2459" spans="2:50">
      <c r="B2459" s="19"/>
      <c r="K2459" s="21"/>
      <c r="T2459" s="28"/>
      <c r="AS2459" s="24"/>
      <c r="AT2459" s="24"/>
      <c r="AU2459" s="24"/>
      <c r="AV2459" s="24"/>
      <c r="AX2459" s="29"/>
    </row>
    <row r="2460" spans="2:50">
      <c r="B2460" s="19"/>
      <c r="K2460" s="21"/>
      <c r="T2460" s="28"/>
      <c r="AS2460" s="24"/>
      <c r="AT2460" s="24"/>
      <c r="AU2460" s="24"/>
      <c r="AV2460" s="24"/>
      <c r="AX2460" s="29"/>
    </row>
    <row r="2461" spans="2:50">
      <c r="B2461" s="19"/>
      <c r="K2461" s="21"/>
      <c r="T2461" s="28"/>
      <c r="AS2461" s="24"/>
      <c r="AT2461" s="24"/>
      <c r="AU2461" s="24"/>
      <c r="AV2461" s="24"/>
      <c r="AX2461" s="29"/>
    </row>
    <row r="2462" spans="2:50">
      <c r="B2462" s="19"/>
      <c r="K2462" s="21"/>
      <c r="T2462" s="28"/>
      <c r="AS2462" s="24"/>
      <c r="AT2462" s="24"/>
      <c r="AU2462" s="24"/>
      <c r="AV2462" s="24"/>
      <c r="AX2462" s="29"/>
    </row>
    <row r="2463" spans="2:50">
      <c r="B2463" s="19"/>
      <c r="K2463" s="21"/>
      <c r="T2463" s="28"/>
      <c r="AS2463" s="24"/>
      <c r="AT2463" s="24"/>
      <c r="AU2463" s="24"/>
      <c r="AV2463" s="24"/>
      <c r="AX2463" s="29"/>
    </row>
    <row r="2464" spans="2:50">
      <c r="K2464" s="21"/>
      <c r="T2464" s="28"/>
      <c r="AS2464" s="24"/>
      <c r="AT2464" s="24"/>
      <c r="AU2464" s="24"/>
      <c r="AV2464" s="24"/>
      <c r="AX2464" s="29"/>
    </row>
    <row r="2465" spans="2:50">
      <c r="K2465" s="21"/>
      <c r="T2465" s="28"/>
      <c r="AS2465" s="24"/>
      <c r="AT2465" s="24"/>
      <c r="AU2465" s="24"/>
      <c r="AV2465" s="24"/>
      <c r="AX2465" s="29"/>
    </row>
    <row r="2466" spans="2:50">
      <c r="K2466" s="21"/>
      <c r="T2466" s="28"/>
      <c r="AS2466" s="24"/>
      <c r="AT2466" s="24"/>
      <c r="AU2466" s="24"/>
      <c r="AV2466" s="24"/>
      <c r="AX2466" s="29"/>
    </row>
    <row r="2467" spans="2:50">
      <c r="K2467" s="21"/>
      <c r="T2467" s="28"/>
      <c r="AS2467" s="24"/>
      <c r="AT2467" s="24"/>
      <c r="AU2467" s="24"/>
      <c r="AV2467" s="24"/>
      <c r="AX2467" s="29"/>
    </row>
    <row r="2468" spans="2:50">
      <c r="K2468" s="21"/>
      <c r="T2468" s="28"/>
      <c r="AS2468" s="24"/>
      <c r="AT2468" s="24"/>
      <c r="AU2468" s="24"/>
      <c r="AV2468" s="24"/>
      <c r="AX2468" s="29"/>
    </row>
    <row r="2469" spans="2:50">
      <c r="K2469" s="21"/>
      <c r="T2469" s="28"/>
      <c r="AS2469" s="24"/>
      <c r="AT2469" s="24"/>
      <c r="AU2469" s="24"/>
      <c r="AV2469" s="24"/>
      <c r="AX2469" s="29"/>
    </row>
    <row r="2470" spans="2:50">
      <c r="K2470" s="21"/>
      <c r="T2470" s="28"/>
      <c r="AS2470" s="24"/>
      <c r="AT2470" s="24"/>
      <c r="AU2470" s="24"/>
      <c r="AV2470" s="24"/>
      <c r="AX2470" s="29"/>
    </row>
    <row r="2471" spans="2:50">
      <c r="K2471" s="21"/>
      <c r="T2471" s="28"/>
      <c r="AS2471" s="24"/>
      <c r="AT2471" s="24"/>
      <c r="AU2471" s="24"/>
      <c r="AV2471" s="24"/>
      <c r="AX2471" s="29"/>
    </row>
    <row r="2472" spans="2:50">
      <c r="B2472" s="19"/>
      <c r="K2472" s="21"/>
      <c r="T2472" s="28"/>
      <c r="AS2472" s="24"/>
      <c r="AT2472" s="24"/>
      <c r="AU2472" s="24"/>
      <c r="AV2472" s="24"/>
      <c r="AX2472" s="29"/>
    </row>
    <row r="2473" spans="2:50">
      <c r="B2473" s="19"/>
      <c r="K2473" s="21"/>
      <c r="T2473" s="28"/>
      <c r="AS2473" s="24"/>
      <c r="AT2473" s="24"/>
      <c r="AU2473" s="24"/>
      <c r="AV2473" s="24"/>
      <c r="AX2473" s="29"/>
    </row>
    <row r="2474" spans="2:50">
      <c r="B2474" s="19"/>
      <c r="K2474" s="21"/>
      <c r="T2474" s="28"/>
      <c r="AS2474" s="24"/>
      <c r="AT2474" s="24"/>
      <c r="AU2474" s="24"/>
      <c r="AV2474" s="24"/>
      <c r="AX2474" s="29"/>
    </row>
    <row r="2475" spans="2:50">
      <c r="B2475" s="19"/>
      <c r="K2475" s="21"/>
      <c r="T2475" s="28"/>
      <c r="AS2475" s="24"/>
      <c r="AT2475" s="24"/>
      <c r="AU2475" s="24"/>
      <c r="AV2475" s="24"/>
      <c r="AX2475" s="29"/>
    </row>
    <row r="2476" spans="2:50">
      <c r="B2476" s="19"/>
      <c r="K2476" s="21"/>
      <c r="T2476" s="28"/>
      <c r="AS2476" s="24"/>
      <c r="AT2476" s="24"/>
      <c r="AU2476" s="24"/>
      <c r="AV2476" s="24"/>
      <c r="AX2476" s="29"/>
    </row>
    <row r="2477" spans="2:50">
      <c r="B2477" s="19"/>
      <c r="K2477" s="21"/>
      <c r="T2477" s="28"/>
      <c r="AS2477" s="24"/>
      <c r="AT2477" s="24"/>
      <c r="AU2477" s="24"/>
      <c r="AV2477" s="24"/>
      <c r="AX2477" s="29"/>
    </row>
    <row r="2478" spans="2:50">
      <c r="B2478" s="19"/>
      <c r="K2478" s="21"/>
      <c r="T2478" s="28"/>
      <c r="AS2478" s="24"/>
      <c r="AT2478" s="24"/>
      <c r="AU2478" s="24"/>
      <c r="AV2478" s="24"/>
      <c r="AX2478" s="29"/>
    </row>
    <row r="2479" spans="2:50">
      <c r="B2479" s="19"/>
      <c r="K2479" s="21"/>
      <c r="T2479" s="28"/>
      <c r="AS2479" s="24"/>
      <c r="AT2479" s="24"/>
      <c r="AU2479" s="24"/>
      <c r="AV2479" s="24"/>
      <c r="AX2479" s="29"/>
    </row>
    <row r="2480" spans="2:50">
      <c r="B2480" s="19"/>
      <c r="K2480" s="21"/>
      <c r="T2480" s="28"/>
      <c r="AS2480" s="24"/>
      <c r="AT2480" s="24"/>
      <c r="AU2480" s="24"/>
      <c r="AV2480" s="24"/>
      <c r="AX2480" s="29"/>
    </row>
    <row r="2481" spans="2:50">
      <c r="B2481" s="19"/>
      <c r="K2481" s="21"/>
      <c r="T2481" s="28"/>
      <c r="AS2481" s="24"/>
      <c r="AT2481" s="24"/>
      <c r="AU2481" s="24"/>
      <c r="AV2481" s="24"/>
      <c r="AX2481" s="29"/>
    </row>
    <row r="2482" spans="2:50">
      <c r="B2482" s="19"/>
      <c r="K2482" s="21"/>
      <c r="T2482" s="28"/>
      <c r="AS2482" s="24"/>
      <c r="AT2482" s="24"/>
      <c r="AU2482" s="24"/>
      <c r="AV2482" s="24"/>
      <c r="AX2482" s="29"/>
    </row>
    <row r="2483" spans="2:50">
      <c r="B2483" s="19"/>
      <c r="K2483" s="21"/>
      <c r="T2483" s="28"/>
      <c r="AS2483" s="24"/>
      <c r="AT2483" s="24"/>
      <c r="AU2483" s="24"/>
      <c r="AV2483" s="24"/>
      <c r="AX2483" s="29"/>
    </row>
    <row r="2484" spans="2:50">
      <c r="B2484" s="19"/>
      <c r="K2484" s="21"/>
      <c r="T2484" s="28"/>
      <c r="AS2484" s="24"/>
      <c r="AT2484" s="24"/>
      <c r="AU2484" s="24"/>
      <c r="AV2484" s="24"/>
      <c r="AX2484" s="29"/>
    </row>
    <row r="2485" spans="2:50">
      <c r="B2485" s="19"/>
      <c r="K2485" s="21"/>
      <c r="T2485" s="28"/>
      <c r="AS2485" s="24"/>
      <c r="AT2485" s="24"/>
      <c r="AU2485" s="24"/>
      <c r="AV2485" s="24"/>
      <c r="AX2485" s="29"/>
    </row>
    <row r="2486" spans="2:50">
      <c r="B2486" s="19"/>
      <c r="K2486" s="21"/>
      <c r="T2486" s="28"/>
      <c r="AS2486" s="24"/>
      <c r="AT2486" s="24"/>
      <c r="AU2486" s="24"/>
      <c r="AV2486" s="24"/>
      <c r="AX2486" s="29"/>
    </row>
    <row r="2487" spans="2:50">
      <c r="B2487" s="19"/>
      <c r="K2487" s="21"/>
      <c r="T2487" s="28"/>
      <c r="AS2487" s="24"/>
      <c r="AT2487" s="24"/>
      <c r="AU2487" s="24"/>
      <c r="AV2487" s="24"/>
      <c r="AX2487" s="29"/>
    </row>
    <row r="2488" spans="2:50">
      <c r="B2488" s="19"/>
      <c r="K2488" s="21"/>
      <c r="T2488" s="28"/>
      <c r="AS2488" s="24"/>
      <c r="AT2488" s="24"/>
      <c r="AU2488" s="24"/>
      <c r="AV2488" s="24"/>
      <c r="AX2488" s="29"/>
    </row>
    <row r="2489" spans="2:50">
      <c r="B2489" s="19"/>
      <c r="K2489" s="21"/>
      <c r="T2489" s="28"/>
      <c r="AS2489" s="24"/>
      <c r="AT2489" s="24"/>
      <c r="AU2489" s="24"/>
      <c r="AV2489" s="24"/>
      <c r="AX2489" s="29"/>
    </row>
    <row r="2490" spans="2:50">
      <c r="B2490" s="19"/>
      <c r="K2490" s="21"/>
      <c r="T2490" s="28"/>
      <c r="AS2490" s="24"/>
      <c r="AT2490" s="24"/>
      <c r="AU2490" s="24"/>
      <c r="AV2490" s="24"/>
      <c r="AX2490" s="29"/>
    </row>
    <row r="2491" spans="2:50">
      <c r="B2491" s="19"/>
      <c r="K2491" s="21"/>
      <c r="T2491" s="28"/>
      <c r="AS2491" s="24"/>
      <c r="AT2491" s="24"/>
      <c r="AU2491" s="24"/>
      <c r="AV2491" s="24"/>
      <c r="AX2491" s="29"/>
    </row>
    <row r="2492" spans="2:50">
      <c r="B2492" s="19"/>
      <c r="K2492" s="21"/>
      <c r="T2492" s="28"/>
      <c r="AS2492" s="24"/>
      <c r="AT2492" s="24"/>
      <c r="AU2492" s="24"/>
      <c r="AV2492" s="24"/>
      <c r="AX2492" s="29"/>
    </row>
    <row r="2493" spans="2:50">
      <c r="B2493" s="19"/>
      <c r="K2493" s="21"/>
      <c r="T2493" s="28"/>
      <c r="AS2493" s="24"/>
      <c r="AT2493" s="24"/>
      <c r="AU2493" s="24"/>
      <c r="AV2493" s="24"/>
      <c r="AX2493" s="29"/>
    </row>
    <row r="2494" spans="2:50">
      <c r="B2494" s="19"/>
      <c r="K2494" s="21"/>
      <c r="T2494" s="28"/>
      <c r="AS2494" s="24"/>
      <c r="AT2494" s="24"/>
      <c r="AU2494" s="24"/>
      <c r="AV2494" s="24"/>
      <c r="AX2494" s="29"/>
    </row>
    <row r="2495" spans="2:50">
      <c r="B2495" s="19"/>
      <c r="K2495" s="21"/>
      <c r="T2495" s="28"/>
      <c r="AS2495" s="24"/>
      <c r="AT2495" s="24"/>
      <c r="AU2495" s="24"/>
      <c r="AV2495" s="24"/>
      <c r="AX2495" s="29"/>
    </row>
    <row r="2496" spans="2:50">
      <c r="B2496" s="19"/>
      <c r="K2496" s="21"/>
      <c r="T2496" s="28"/>
      <c r="AS2496" s="24"/>
      <c r="AT2496" s="24"/>
      <c r="AU2496" s="24"/>
      <c r="AV2496" s="24"/>
      <c r="AX2496" s="29"/>
    </row>
    <row r="2497" spans="2:50">
      <c r="B2497" s="19"/>
      <c r="K2497" s="21"/>
      <c r="T2497" s="28"/>
      <c r="AS2497" s="24"/>
      <c r="AT2497" s="24"/>
      <c r="AU2497" s="24"/>
      <c r="AV2497" s="24"/>
      <c r="AX2497" s="29"/>
    </row>
    <row r="2498" spans="2:50">
      <c r="B2498" s="19"/>
      <c r="K2498" s="21"/>
      <c r="T2498" s="28"/>
      <c r="AS2498" s="24"/>
      <c r="AT2498" s="24"/>
      <c r="AU2498" s="24"/>
      <c r="AV2498" s="24"/>
      <c r="AX2498" s="29"/>
    </row>
    <row r="2499" spans="2:50">
      <c r="B2499" s="19"/>
      <c r="K2499" s="21"/>
      <c r="T2499" s="28"/>
      <c r="AS2499" s="24"/>
      <c r="AT2499" s="24"/>
      <c r="AU2499" s="24"/>
      <c r="AV2499" s="24"/>
      <c r="AX2499" s="29"/>
    </row>
    <row r="2500" spans="2:50">
      <c r="B2500" s="19"/>
      <c r="K2500" s="21"/>
      <c r="T2500" s="28"/>
      <c r="AS2500" s="24"/>
      <c r="AT2500" s="24"/>
      <c r="AU2500" s="24"/>
      <c r="AV2500" s="24"/>
      <c r="AX2500" s="29"/>
    </row>
    <row r="2501" spans="2:50">
      <c r="B2501" s="19"/>
      <c r="K2501" s="21"/>
      <c r="T2501" s="28"/>
      <c r="AS2501" s="24"/>
      <c r="AT2501" s="24"/>
      <c r="AU2501" s="24"/>
      <c r="AV2501" s="24"/>
      <c r="AX2501" s="29"/>
    </row>
    <row r="2502" spans="2:50">
      <c r="B2502" s="19"/>
      <c r="K2502" s="21"/>
      <c r="T2502" s="28"/>
      <c r="AS2502" s="24"/>
      <c r="AT2502" s="24"/>
      <c r="AU2502" s="24"/>
      <c r="AV2502" s="24"/>
      <c r="AX2502" s="29"/>
    </row>
    <row r="2503" spans="2:50">
      <c r="B2503" s="19"/>
      <c r="K2503" s="21"/>
      <c r="T2503" s="28"/>
      <c r="AS2503" s="24"/>
      <c r="AT2503" s="24"/>
      <c r="AU2503" s="24"/>
      <c r="AV2503" s="24"/>
      <c r="AX2503" s="29"/>
    </row>
    <row r="2504" spans="2:50">
      <c r="B2504" s="19"/>
      <c r="K2504" s="21"/>
      <c r="T2504" s="28"/>
      <c r="AS2504" s="24"/>
      <c r="AT2504" s="24"/>
      <c r="AU2504" s="24"/>
      <c r="AV2504" s="24"/>
      <c r="AX2504" s="29"/>
    </row>
    <row r="2505" spans="2:50">
      <c r="B2505" s="19"/>
      <c r="K2505" s="21"/>
      <c r="T2505" s="28"/>
      <c r="AS2505" s="24"/>
      <c r="AT2505" s="24"/>
      <c r="AU2505" s="24"/>
      <c r="AV2505" s="24"/>
      <c r="AX2505" s="29"/>
    </row>
    <row r="2506" spans="2:50">
      <c r="B2506" s="19"/>
      <c r="K2506" s="21"/>
      <c r="T2506" s="28"/>
      <c r="AS2506" s="24"/>
      <c r="AT2506" s="24"/>
      <c r="AU2506" s="24"/>
      <c r="AV2506" s="24"/>
      <c r="AX2506" s="29"/>
    </row>
    <row r="2507" spans="2:50">
      <c r="B2507" s="19"/>
      <c r="K2507" s="21"/>
      <c r="T2507" s="28"/>
      <c r="AS2507" s="24"/>
      <c r="AT2507" s="24"/>
      <c r="AU2507" s="24"/>
      <c r="AV2507" s="24"/>
      <c r="AX2507" s="29"/>
    </row>
    <row r="2508" spans="2:50">
      <c r="B2508" s="19"/>
      <c r="K2508" s="21"/>
      <c r="T2508" s="28"/>
      <c r="AS2508" s="24"/>
      <c r="AT2508" s="24"/>
      <c r="AU2508" s="24"/>
      <c r="AV2508" s="24"/>
      <c r="AX2508" s="29"/>
    </row>
    <row r="2509" spans="2:50">
      <c r="B2509" s="19"/>
      <c r="K2509" s="21"/>
      <c r="T2509" s="28"/>
      <c r="AS2509" s="24"/>
      <c r="AT2509" s="24"/>
      <c r="AU2509" s="24"/>
      <c r="AV2509" s="24"/>
      <c r="AX2509" s="29"/>
    </row>
    <row r="2510" spans="2:50">
      <c r="B2510" s="19"/>
      <c r="K2510" s="21"/>
      <c r="T2510" s="28"/>
      <c r="AS2510" s="24"/>
      <c r="AT2510" s="24"/>
      <c r="AU2510" s="24"/>
      <c r="AV2510" s="24"/>
      <c r="AX2510" s="29"/>
    </row>
    <row r="2511" spans="2:50">
      <c r="B2511" s="19"/>
      <c r="K2511" s="21"/>
      <c r="T2511" s="28"/>
      <c r="AS2511" s="24"/>
      <c r="AT2511" s="24"/>
      <c r="AU2511" s="24"/>
      <c r="AV2511" s="24"/>
      <c r="AX2511" s="29"/>
    </row>
    <row r="2512" spans="2:50">
      <c r="B2512" s="19"/>
      <c r="K2512" s="21"/>
      <c r="T2512" s="28"/>
      <c r="AS2512" s="24"/>
      <c r="AT2512" s="24"/>
      <c r="AU2512" s="24"/>
      <c r="AV2512" s="24"/>
      <c r="AX2512" s="29"/>
    </row>
    <row r="2513" spans="2:50">
      <c r="B2513" s="19"/>
      <c r="K2513" s="21"/>
      <c r="T2513" s="28"/>
      <c r="AS2513" s="24"/>
      <c r="AT2513" s="24"/>
      <c r="AU2513" s="24"/>
      <c r="AV2513" s="24"/>
      <c r="AX2513" s="29"/>
    </row>
    <row r="2514" spans="2:50">
      <c r="B2514" s="19"/>
      <c r="K2514" s="21"/>
      <c r="T2514" s="28"/>
      <c r="AS2514" s="24"/>
      <c r="AT2514" s="24"/>
      <c r="AU2514" s="24"/>
      <c r="AV2514" s="24"/>
      <c r="AX2514" s="29"/>
    </row>
    <row r="2515" spans="2:50">
      <c r="B2515" s="19"/>
      <c r="K2515" s="21"/>
      <c r="T2515" s="28"/>
      <c r="AS2515" s="24"/>
      <c r="AT2515" s="24"/>
      <c r="AU2515" s="24"/>
      <c r="AV2515" s="24"/>
      <c r="AX2515" s="29"/>
    </row>
    <row r="2516" spans="2:50">
      <c r="B2516" s="19"/>
      <c r="K2516" s="21"/>
      <c r="T2516" s="28"/>
      <c r="AS2516" s="24"/>
      <c r="AT2516" s="24"/>
      <c r="AU2516" s="24"/>
      <c r="AV2516" s="24"/>
      <c r="AX2516" s="29"/>
    </row>
    <row r="2517" spans="2:50">
      <c r="B2517" s="19"/>
      <c r="K2517" s="21"/>
      <c r="T2517" s="28"/>
      <c r="AS2517" s="24"/>
      <c r="AT2517" s="24"/>
      <c r="AU2517" s="24"/>
      <c r="AV2517" s="24"/>
      <c r="AX2517" s="29"/>
    </row>
    <row r="2518" spans="2:50">
      <c r="B2518" s="19"/>
      <c r="K2518" s="21"/>
      <c r="T2518" s="28"/>
      <c r="AS2518" s="24"/>
      <c r="AT2518" s="24"/>
      <c r="AU2518" s="24"/>
      <c r="AV2518" s="24"/>
      <c r="AX2518" s="29"/>
    </row>
    <row r="2519" spans="2:50">
      <c r="B2519" s="19"/>
      <c r="K2519" s="21"/>
      <c r="T2519" s="28"/>
      <c r="AS2519" s="24"/>
      <c r="AT2519" s="24"/>
      <c r="AU2519" s="24"/>
      <c r="AV2519" s="24"/>
      <c r="AX2519" s="29"/>
    </row>
    <row r="2520" spans="2:50">
      <c r="B2520" s="19"/>
      <c r="K2520" s="21"/>
      <c r="T2520" s="28"/>
      <c r="AS2520" s="24"/>
      <c r="AT2520" s="24"/>
      <c r="AU2520" s="24"/>
      <c r="AV2520" s="24"/>
      <c r="AX2520" s="29"/>
    </row>
    <row r="2521" spans="2:50">
      <c r="B2521" s="19"/>
      <c r="K2521" s="21"/>
      <c r="T2521" s="28"/>
      <c r="AS2521" s="24"/>
      <c r="AT2521" s="24"/>
      <c r="AU2521" s="24"/>
      <c r="AV2521" s="24"/>
      <c r="AX2521" s="29"/>
    </row>
    <row r="2522" spans="2:50">
      <c r="B2522" s="19"/>
      <c r="K2522" s="21"/>
      <c r="T2522" s="28"/>
      <c r="AS2522" s="24"/>
      <c r="AT2522" s="24"/>
      <c r="AU2522" s="24"/>
      <c r="AV2522" s="24"/>
      <c r="AX2522" s="29"/>
    </row>
    <row r="2523" spans="2:50">
      <c r="B2523" s="19"/>
      <c r="K2523" s="21"/>
      <c r="T2523" s="28"/>
      <c r="AS2523" s="24"/>
      <c r="AT2523" s="24"/>
      <c r="AU2523" s="24"/>
      <c r="AV2523" s="24"/>
      <c r="AX2523" s="29"/>
    </row>
    <row r="2524" spans="2:50">
      <c r="B2524" s="19"/>
      <c r="K2524" s="21"/>
      <c r="T2524" s="28"/>
      <c r="AS2524" s="24"/>
      <c r="AT2524" s="24"/>
      <c r="AU2524" s="24"/>
      <c r="AV2524" s="24"/>
      <c r="AX2524" s="29"/>
    </row>
    <row r="2525" spans="2:50">
      <c r="B2525" s="19"/>
      <c r="K2525" s="21"/>
      <c r="T2525" s="28"/>
      <c r="AS2525" s="24"/>
      <c r="AT2525" s="24"/>
      <c r="AU2525" s="24"/>
      <c r="AV2525" s="24"/>
      <c r="AX2525" s="29"/>
    </row>
    <row r="2526" spans="2:50">
      <c r="B2526" s="19"/>
      <c r="K2526" s="21"/>
      <c r="T2526" s="28"/>
      <c r="AS2526" s="24"/>
      <c r="AT2526" s="24"/>
      <c r="AU2526" s="24"/>
      <c r="AV2526" s="24"/>
      <c r="AX2526" s="29"/>
    </row>
    <row r="2527" spans="2:50">
      <c r="B2527" s="19"/>
      <c r="K2527" s="21"/>
      <c r="T2527" s="28"/>
      <c r="AS2527" s="24"/>
      <c r="AT2527" s="24"/>
      <c r="AU2527" s="24"/>
      <c r="AV2527" s="24"/>
      <c r="AX2527" s="29"/>
    </row>
    <row r="2528" spans="2:50">
      <c r="K2528" s="21"/>
      <c r="T2528" s="28"/>
      <c r="AS2528" s="24"/>
      <c r="AT2528" s="24"/>
      <c r="AU2528" s="24"/>
      <c r="AV2528" s="24"/>
      <c r="AX2528" s="29"/>
    </row>
    <row r="2529" spans="11:50">
      <c r="K2529" s="21"/>
      <c r="T2529" s="28"/>
      <c r="AS2529" s="24"/>
      <c r="AT2529" s="24"/>
      <c r="AU2529" s="24"/>
      <c r="AV2529" s="24"/>
      <c r="AX2529" s="29"/>
    </row>
    <row r="2530" spans="11:50">
      <c r="K2530" s="21"/>
      <c r="T2530" s="28"/>
      <c r="AS2530" s="24"/>
      <c r="AT2530" s="24"/>
      <c r="AU2530" s="24"/>
      <c r="AV2530" s="24"/>
      <c r="AX2530" s="29"/>
    </row>
    <row r="2531" spans="11:50">
      <c r="K2531" s="21"/>
      <c r="T2531" s="28"/>
      <c r="AS2531" s="24"/>
      <c r="AT2531" s="24"/>
      <c r="AU2531" s="24"/>
      <c r="AV2531" s="24"/>
      <c r="AX2531" s="29"/>
    </row>
    <row r="2532" spans="11:50">
      <c r="K2532" s="21"/>
      <c r="T2532" s="28"/>
      <c r="AS2532" s="24"/>
      <c r="AT2532" s="24"/>
      <c r="AU2532" s="24"/>
      <c r="AV2532" s="24"/>
      <c r="AX2532" s="29"/>
    </row>
    <row r="2533" spans="11:50">
      <c r="K2533" s="21"/>
      <c r="T2533" s="28"/>
      <c r="AS2533" s="24"/>
      <c r="AT2533" s="24"/>
      <c r="AU2533" s="24"/>
      <c r="AV2533" s="24"/>
      <c r="AX2533" s="29"/>
    </row>
    <row r="2534" spans="11:50">
      <c r="K2534" s="21"/>
      <c r="T2534" s="28"/>
      <c r="AS2534" s="24"/>
      <c r="AT2534" s="24"/>
      <c r="AU2534" s="24"/>
      <c r="AV2534" s="24"/>
      <c r="AX2534" s="29"/>
    </row>
    <row r="2535" spans="11:50">
      <c r="K2535" s="21"/>
      <c r="T2535" s="28"/>
      <c r="AS2535" s="24"/>
      <c r="AT2535" s="24"/>
      <c r="AU2535" s="24"/>
      <c r="AV2535" s="24"/>
      <c r="AX2535" s="29"/>
    </row>
    <row r="2536" spans="11:50">
      <c r="K2536" s="21"/>
      <c r="T2536" s="28"/>
      <c r="AS2536" s="24"/>
      <c r="AT2536" s="24"/>
      <c r="AU2536" s="24"/>
      <c r="AV2536" s="24"/>
      <c r="AX2536" s="29"/>
    </row>
    <row r="2537" spans="11:50">
      <c r="K2537" s="21"/>
      <c r="T2537" s="28"/>
      <c r="AS2537" s="24"/>
      <c r="AT2537" s="24"/>
      <c r="AU2537" s="24"/>
      <c r="AV2537" s="24"/>
      <c r="AX2537" s="29"/>
    </row>
    <row r="2538" spans="11:50">
      <c r="K2538" s="21"/>
      <c r="T2538" s="28"/>
      <c r="AS2538" s="24"/>
      <c r="AT2538" s="24"/>
      <c r="AU2538" s="24"/>
      <c r="AV2538" s="24"/>
      <c r="AX2538" s="29"/>
    </row>
    <row r="2539" spans="11:50">
      <c r="K2539" s="21"/>
      <c r="T2539" s="28"/>
      <c r="AS2539" s="24"/>
      <c r="AT2539" s="24"/>
      <c r="AU2539" s="24"/>
      <c r="AV2539" s="24"/>
      <c r="AX2539" s="29"/>
    </row>
    <row r="2540" spans="11:50">
      <c r="K2540" s="21"/>
      <c r="T2540" s="28"/>
      <c r="AS2540" s="24"/>
      <c r="AT2540" s="24"/>
      <c r="AU2540" s="24"/>
      <c r="AV2540" s="24"/>
      <c r="AX2540" s="29"/>
    </row>
    <row r="2541" spans="11:50">
      <c r="K2541" s="21"/>
      <c r="T2541" s="28"/>
      <c r="AS2541" s="24"/>
      <c r="AT2541" s="24"/>
      <c r="AU2541" s="24"/>
      <c r="AV2541" s="24"/>
      <c r="AX2541" s="29"/>
    </row>
    <row r="2542" spans="11:50">
      <c r="K2542" s="21"/>
      <c r="T2542" s="28"/>
      <c r="AS2542" s="24"/>
      <c r="AT2542" s="24"/>
      <c r="AU2542" s="24"/>
      <c r="AV2542" s="24"/>
      <c r="AX2542" s="29"/>
    </row>
    <row r="2543" spans="11:50">
      <c r="K2543" s="21"/>
      <c r="T2543" s="28"/>
      <c r="AS2543" s="24"/>
      <c r="AT2543" s="24"/>
      <c r="AU2543" s="24"/>
      <c r="AV2543" s="24"/>
      <c r="AX2543" s="29"/>
    </row>
    <row r="2544" spans="11:50">
      <c r="K2544" s="21"/>
      <c r="T2544" s="28"/>
      <c r="AS2544" s="24"/>
      <c r="AT2544" s="24"/>
      <c r="AU2544" s="24"/>
      <c r="AV2544" s="24"/>
      <c r="AX2544" s="29"/>
    </row>
    <row r="2545" spans="11:50">
      <c r="K2545" s="21"/>
      <c r="T2545" s="28"/>
      <c r="AS2545" s="24"/>
      <c r="AT2545" s="24"/>
      <c r="AU2545" s="24"/>
      <c r="AV2545" s="24"/>
      <c r="AX2545" s="29"/>
    </row>
    <row r="2546" spans="11:50">
      <c r="K2546" s="21"/>
      <c r="T2546" s="28"/>
      <c r="AS2546" s="24"/>
      <c r="AT2546" s="24"/>
      <c r="AU2546" s="24"/>
      <c r="AV2546" s="24"/>
      <c r="AX2546" s="29"/>
    </row>
    <row r="2547" spans="11:50">
      <c r="K2547" s="21"/>
      <c r="T2547" s="28"/>
      <c r="AS2547" s="24"/>
      <c r="AT2547" s="24"/>
      <c r="AU2547" s="24"/>
      <c r="AV2547" s="24"/>
      <c r="AX2547" s="29"/>
    </row>
    <row r="2548" spans="11:50">
      <c r="K2548" s="21"/>
      <c r="T2548" s="28"/>
      <c r="AS2548" s="24"/>
      <c r="AT2548" s="24"/>
      <c r="AU2548" s="24"/>
      <c r="AV2548" s="24"/>
      <c r="AX2548" s="29"/>
    </row>
    <row r="2549" spans="11:50">
      <c r="K2549" s="21"/>
      <c r="T2549" s="28"/>
      <c r="AS2549" s="24"/>
      <c r="AT2549" s="24"/>
      <c r="AU2549" s="24"/>
      <c r="AV2549" s="24"/>
      <c r="AX2549" s="29"/>
    </row>
    <row r="2550" spans="11:50">
      <c r="K2550" s="21"/>
      <c r="T2550" s="28"/>
      <c r="AS2550" s="24"/>
      <c r="AT2550" s="24"/>
      <c r="AU2550" s="24"/>
      <c r="AV2550" s="24"/>
      <c r="AX2550" s="29"/>
    </row>
    <row r="2551" spans="11:50">
      <c r="K2551" s="21"/>
      <c r="T2551" s="28"/>
      <c r="AS2551" s="24"/>
      <c r="AT2551" s="24"/>
      <c r="AU2551" s="24"/>
      <c r="AV2551" s="24"/>
      <c r="AX2551" s="29"/>
    </row>
    <row r="2552" spans="11:50">
      <c r="K2552" s="21"/>
      <c r="T2552" s="28"/>
      <c r="AS2552" s="24"/>
      <c r="AT2552" s="24"/>
      <c r="AU2552" s="24"/>
      <c r="AV2552" s="24"/>
      <c r="AX2552" s="29"/>
    </row>
    <row r="2553" spans="11:50">
      <c r="K2553" s="21"/>
      <c r="T2553" s="28"/>
      <c r="AS2553" s="24"/>
      <c r="AT2553" s="24"/>
      <c r="AU2553" s="24"/>
      <c r="AV2553" s="24"/>
      <c r="AX2553" s="29"/>
    </row>
    <row r="2554" spans="11:50">
      <c r="K2554" s="21"/>
      <c r="T2554" s="28"/>
      <c r="AS2554" s="24"/>
      <c r="AT2554" s="24"/>
      <c r="AU2554" s="24"/>
      <c r="AV2554" s="24"/>
      <c r="AX2554" s="29"/>
    </row>
    <row r="2555" spans="11:50">
      <c r="K2555" s="21"/>
      <c r="T2555" s="28"/>
      <c r="AS2555" s="24"/>
      <c r="AT2555" s="24"/>
      <c r="AU2555" s="24"/>
      <c r="AV2555" s="24"/>
      <c r="AX2555" s="29"/>
    </row>
    <row r="2556" spans="11:50">
      <c r="K2556" s="21"/>
      <c r="T2556" s="28"/>
      <c r="AS2556" s="24"/>
      <c r="AT2556" s="24"/>
      <c r="AU2556" s="24"/>
      <c r="AV2556" s="24"/>
      <c r="AX2556" s="29"/>
    </row>
    <row r="2557" spans="11:50">
      <c r="K2557" s="21"/>
      <c r="T2557" s="28"/>
      <c r="AS2557" s="24"/>
      <c r="AT2557" s="24"/>
      <c r="AU2557" s="24"/>
      <c r="AV2557" s="24"/>
      <c r="AX2557" s="29"/>
    </row>
    <row r="2558" spans="11:50">
      <c r="K2558" s="21"/>
      <c r="T2558" s="28"/>
      <c r="AS2558" s="24"/>
      <c r="AT2558" s="24"/>
      <c r="AU2558" s="24"/>
      <c r="AV2558" s="24"/>
      <c r="AX2558" s="29"/>
    </row>
    <row r="2559" spans="11:50">
      <c r="K2559" s="21"/>
      <c r="T2559" s="28"/>
      <c r="AS2559" s="24"/>
      <c r="AT2559" s="24"/>
      <c r="AU2559" s="24"/>
      <c r="AV2559" s="24"/>
      <c r="AX2559" s="29"/>
    </row>
    <row r="2560" spans="11:50">
      <c r="K2560" s="21"/>
      <c r="T2560" s="28"/>
      <c r="AS2560" s="24"/>
      <c r="AT2560" s="24"/>
      <c r="AU2560" s="24"/>
      <c r="AV2560" s="24"/>
      <c r="AX2560" s="29"/>
    </row>
    <row r="2561" spans="2:50">
      <c r="K2561" s="21"/>
      <c r="T2561" s="28"/>
      <c r="AS2561" s="24"/>
      <c r="AT2561" s="24"/>
      <c r="AU2561" s="24"/>
      <c r="AV2561" s="24"/>
      <c r="AX2561" s="29"/>
    </row>
    <row r="2562" spans="2:50">
      <c r="K2562" s="21"/>
      <c r="T2562" s="28"/>
      <c r="AS2562" s="24"/>
      <c r="AT2562" s="24"/>
      <c r="AU2562" s="24"/>
      <c r="AV2562" s="24"/>
      <c r="AX2562" s="29"/>
    </row>
    <row r="2563" spans="2:50">
      <c r="K2563" s="21"/>
      <c r="T2563" s="28"/>
      <c r="AS2563" s="24"/>
      <c r="AT2563" s="24"/>
      <c r="AU2563" s="24"/>
      <c r="AV2563" s="24"/>
      <c r="AX2563" s="29"/>
    </row>
    <row r="2564" spans="2:50">
      <c r="B2564" s="19"/>
      <c r="K2564" s="21"/>
      <c r="T2564" s="28"/>
      <c r="AS2564" s="24"/>
      <c r="AT2564" s="24"/>
      <c r="AU2564" s="24"/>
      <c r="AV2564" s="24"/>
      <c r="AX2564" s="29"/>
    </row>
    <row r="2565" spans="2:50">
      <c r="B2565" s="30"/>
      <c r="K2565" s="21"/>
      <c r="T2565" s="28"/>
      <c r="AS2565" s="24"/>
      <c r="AT2565" s="24"/>
      <c r="AU2565" s="24"/>
      <c r="AV2565" s="24"/>
      <c r="AX2565" s="29"/>
    </row>
    <row r="2566" spans="2:50">
      <c r="B2566" s="19"/>
      <c r="K2566" s="21"/>
      <c r="T2566" s="28"/>
      <c r="AS2566" s="24"/>
      <c r="AT2566" s="24"/>
      <c r="AU2566" s="24"/>
      <c r="AV2566" s="24"/>
      <c r="AX2566" s="29"/>
    </row>
    <row r="2567" spans="2:50">
      <c r="B2567" s="19"/>
      <c r="K2567" s="21"/>
      <c r="T2567" s="28"/>
      <c r="AS2567" s="24"/>
      <c r="AT2567" s="24"/>
      <c r="AU2567" s="24"/>
      <c r="AV2567" s="24"/>
      <c r="AX2567" s="29"/>
    </row>
    <row r="2568" spans="2:50">
      <c r="B2568" s="19"/>
      <c r="K2568" s="21"/>
      <c r="T2568" s="28"/>
      <c r="AS2568" s="24"/>
      <c r="AT2568" s="24"/>
      <c r="AU2568" s="24"/>
      <c r="AV2568" s="24"/>
      <c r="AX2568" s="29"/>
    </row>
    <row r="2569" spans="2:50">
      <c r="B2569" s="19"/>
      <c r="K2569" s="21"/>
      <c r="T2569" s="28"/>
      <c r="AS2569" s="24"/>
      <c r="AT2569" s="24"/>
      <c r="AU2569" s="24"/>
      <c r="AV2569" s="24"/>
      <c r="AX2569" s="29"/>
    </row>
    <row r="2570" spans="2:50">
      <c r="B2570" s="19"/>
      <c r="K2570" s="21"/>
      <c r="T2570" s="28"/>
      <c r="AS2570" s="24"/>
      <c r="AT2570" s="24"/>
      <c r="AU2570" s="24"/>
      <c r="AV2570" s="24"/>
      <c r="AX2570" s="29"/>
    </row>
    <row r="2571" spans="2:50">
      <c r="B2571" s="19"/>
      <c r="K2571" s="21"/>
      <c r="T2571" s="28"/>
      <c r="AS2571" s="24"/>
      <c r="AT2571" s="24"/>
      <c r="AU2571" s="24"/>
      <c r="AV2571" s="24"/>
      <c r="AX2571" s="29"/>
    </row>
    <row r="2572" spans="2:50">
      <c r="B2572" s="19"/>
      <c r="K2572" s="21"/>
      <c r="T2572" s="28"/>
      <c r="AS2572" s="24"/>
      <c r="AT2572" s="24"/>
      <c r="AU2572" s="24"/>
      <c r="AV2572" s="24"/>
      <c r="AX2572" s="29"/>
    </row>
    <row r="2573" spans="2:50">
      <c r="B2573" s="19"/>
      <c r="K2573" s="21"/>
      <c r="T2573" s="28"/>
      <c r="AS2573" s="24"/>
      <c r="AT2573" s="24"/>
      <c r="AU2573" s="24"/>
      <c r="AV2573" s="24"/>
      <c r="AX2573" s="29"/>
    </row>
    <row r="2574" spans="2:50">
      <c r="B2574" s="19"/>
      <c r="K2574" s="21"/>
      <c r="T2574" s="28"/>
      <c r="AS2574" s="24"/>
      <c r="AT2574" s="24"/>
      <c r="AU2574" s="24"/>
      <c r="AV2574" s="24"/>
      <c r="AX2574" s="29"/>
    </row>
    <row r="2575" spans="2:50">
      <c r="B2575" s="19"/>
      <c r="K2575" s="21"/>
      <c r="T2575" s="28"/>
      <c r="AS2575" s="24"/>
      <c r="AT2575" s="24"/>
      <c r="AU2575" s="24"/>
      <c r="AV2575" s="24"/>
      <c r="AX2575" s="29"/>
    </row>
    <row r="2576" spans="2:50">
      <c r="B2576" s="19"/>
      <c r="K2576" s="21"/>
      <c r="T2576" s="28"/>
      <c r="AS2576" s="24"/>
      <c r="AT2576" s="24"/>
      <c r="AU2576" s="24"/>
      <c r="AV2576" s="24"/>
      <c r="AX2576" s="29"/>
    </row>
    <row r="2577" spans="2:50">
      <c r="B2577" s="19"/>
      <c r="K2577" s="21"/>
      <c r="T2577" s="28"/>
      <c r="AS2577" s="24"/>
      <c r="AT2577" s="24"/>
      <c r="AU2577" s="24"/>
      <c r="AV2577" s="24"/>
      <c r="AX2577" s="29"/>
    </row>
    <row r="2578" spans="2:50">
      <c r="B2578" s="19"/>
      <c r="K2578" s="21"/>
      <c r="T2578" s="28"/>
      <c r="AS2578" s="24"/>
      <c r="AT2578" s="24"/>
      <c r="AU2578" s="24"/>
      <c r="AV2578" s="24"/>
      <c r="AX2578" s="29"/>
    </row>
    <row r="2579" spans="2:50">
      <c r="B2579" s="19"/>
      <c r="K2579" s="21"/>
      <c r="T2579" s="28"/>
      <c r="AS2579" s="24"/>
      <c r="AT2579" s="24"/>
      <c r="AU2579" s="24"/>
      <c r="AV2579" s="24"/>
      <c r="AX2579" s="29"/>
    </row>
    <row r="2580" spans="2:50">
      <c r="B2580" s="19"/>
      <c r="K2580" s="21"/>
      <c r="T2580" s="28"/>
      <c r="AS2580" s="24"/>
      <c r="AT2580" s="24"/>
      <c r="AU2580" s="24"/>
      <c r="AV2580" s="24"/>
      <c r="AX2580" s="29"/>
    </row>
    <row r="2581" spans="2:50">
      <c r="B2581" s="19"/>
      <c r="K2581" s="21"/>
      <c r="T2581" s="28"/>
      <c r="AS2581" s="24"/>
      <c r="AT2581" s="24"/>
      <c r="AU2581" s="24"/>
      <c r="AV2581" s="24"/>
      <c r="AX2581" s="29"/>
    </row>
    <row r="2582" spans="2:50">
      <c r="B2582" s="19"/>
      <c r="K2582" s="21"/>
      <c r="T2582" s="28"/>
      <c r="AS2582" s="24"/>
      <c r="AT2582" s="24"/>
      <c r="AU2582" s="24"/>
      <c r="AV2582" s="24"/>
      <c r="AX2582" s="29"/>
    </row>
    <row r="2583" spans="2:50">
      <c r="B2583" s="19"/>
      <c r="K2583" s="21"/>
      <c r="T2583" s="28"/>
      <c r="AS2583" s="24"/>
      <c r="AT2583" s="24"/>
      <c r="AU2583" s="24"/>
      <c r="AV2583" s="24"/>
      <c r="AX2583" s="29"/>
    </row>
    <row r="2584" spans="2:50">
      <c r="B2584" s="19"/>
      <c r="K2584" s="21"/>
      <c r="T2584" s="28"/>
      <c r="AS2584" s="24"/>
      <c r="AT2584" s="24"/>
      <c r="AU2584" s="24"/>
      <c r="AV2584" s="24"/>
      <c r="AX2584" s="29"/>
    </row>
    <row r="2585" spans="2:50">
      <c r="B2585" s="19"/>
      <c r="K2585" s="21"/>
      <c r="T2585" s="28"/>
      <c r="AS2585" s="24"/>
      <c r="AT2585" s="24"/>
      <c r="AU2585" s="24"/>
      <c r="AV2585" s="24"/>
      <c r="AX2585" s="29"/>
    </row>
    <row r="2586" spans="2:50">
      <c r="B2586" s="19"/>
      <c r="K2586" s="21"/>
      <c r="T2586" s="28"/>
      <c r="AS2586" s="24"/>
      <c r="AT2586" s="24"/>
      <c r="AU2586" s="24"/>
      <c r="AV2586" s="24"/>
      <c r="AX2586" s="29"/>
    </row>
    <row r="2587" spans="2:50">
      <c r="B2587" s="19"/>
      <c r="K2587" s="21"/>
      <c r="T2587" s="28"/>
      <c r="AS2587" s="24"/>
      <c r="AT2587" s="24"/>
      <c r="AU2587" s="24"/>
      <c r="AV2587" s="24"/>
      <c r="AX2587" s="29"/>
    </row>
    <row r="2588" spans="2:50">
      <c r="B2588" s="19"/>
      <c r="K2588" s="21"/>
      <c r="T2588" s="28"/>
      <c r="AS2588" s="24"/>
      <c r="AT2588" s="24"/>
      <c r="AU2588" s="24"/>
      <c r="AV2588" s="24"/>
      <c r="AX2588" s="29"/>
    </row>
    <row r="2589" spans="2:50">
      <c r="B2589" s="19"/>
      <c r="K2589" s="21"/>
      <c r="T2589" s="28"/>
      <c r="AS2589" s="24"/>
      <c r="AT2589" s="24"/>
      <c r="AU2589" s="24"/>
      <c r="AV2589" s="24"/>
      <c r="AX2589" s="29"/>
    </row>
    <row r="2590" spans="2:50">
      <c r="B2590" s="19"/>
      <c r="K2590" s="21"/>
      <c r="T2590" s="28"/>
      <c r="AS2590" s="24"/>
      <c r="AT2590" s="24"/>
      <c r="AU2590" s="24"/>
      <c r="AV2590" s="24"/>
      <c r="AX2590" s="29"/>
    </row>
    <row r="2591" spans="2:50">
      <c r="B2591" s="19"/>
      <c r="K2591" s="21"/>
      <c r="T2591" s="28"/>
      <c r="AS2591" s="24"/>
      <c r="AT2591" s="24"/>
      <c r="AU2591" s="24"/>
      <c r="AV2591" s="24"/>
      <c r="AX2591" s="29"/>
    </row>
    <row r="2592" spans="2:50">
      <c r="B2592" s="19"/>
      <c r="K2592" s="21"/>
      <c r="T2592" s="28"/>
      <c r="AS2592" s="24"/>
      <c r="AT2592" s="24"/>
      <c r="AU2592" s="24"/>
      <c r="AV2592" s="24"/>
      <c r="AX2592" s="29"/>
    </row>
    <row r="2593" spans="2:50">
      <c r="B2593" s="19"/>
      <c r="K2593" s="21"/>
      <c r="T2593" s="28"/>
      <c r="AS2593" s="24"/>
      <c r="AT2593" s="24"/>
      <c r="AU2593" s="24"/>
      <c r="AV2593" s="24"/>
      <c r="AX2593" s="29"/>
    </row>
    <row r="2594" spans="2:50">
      <c r="B2594" s="19"/>
      <c r="K2594" s="21"/>
      <c r="T2594" s="28"/>
      <c r="AS2594" s="24"/>
      <c r="AT2594" s="24"/>
      <c r="AU2594" s="24"/>
      <c r="AV2594" s="24"/>
      <c r="AX2594" s="29"/>
    </row>
    <row r="2595" spans="2:50">
      <c r="B2595" s="19"/>
      <c r="K2595" s="21"/>
      <c r="T2595" s="28"/>
      <c r="AS2595" s="24"/>
      <c r="AT2595" s="24"/>
      <c r="AU2595" s="24"/>
      <c r="AV2595" s="24"/>
      <c r="AX2595" s="29"/>
    </row>
    <row r="2596" spans="2:50">
      <c r="B2596" s="19"/>
      <c r="K2596" s="21"/>
      <c r="T2596" s="28"/>
      <c r="AS2596" s="24"/>
      <c r="AT2596" s="24"/>
      <c r="AU2596" s="24"/>
      <c r="AV2596" s="24"/>
      <c r="AX2596" s="29"/>
    </row>
    <row r="2597" spans="2:50">
      <c r="B2597" s="19"/>
      <c r="K2597" s="21"/>
      <c r="T2597" s="28"/>
      <c r="AS2597" s="24"/>
      <c r="AT2597" s="24"/>
      <c r="AU2597" s="24"/>
      <c r="AV2597" s="24"/>
      <c r="AX2597" s="29"/>
    </row>
    <row r="2598" spans="2:50">
      <c r="B2598" s="19"/>
      <c r="K2598" s="21"/>
      <c r="T2598" s="28"/>
      <c r="AS2598" s="24"/>
      <c r="AT2598" s="24"/>
      <c r="AU2598" s="24"/>
      <c r="AV2598" s="24"/>
      <c r="AX2598" s="29"/>
    </row>
    <row r="2599" spans="2:50">
      <c r="B2599" s="19"/>
      <c r="K2599" s="21"/>
      <c r="T2599" s="28"/>
      <c r="AS2599" s="24"/>
      <c r="AT2599" s="24"/>
      <c r="AU2599" s="24"/>
      <c r="AV2599" s="24"/>
      <c r="AX2599" s="29"/>
    </row>
    <row r="2600" spans="2:50">
      <c r="B2600" s="19"/>
      <c r="K2600" s="21"/>
      <c r="T2600" s="28"/>
      <c r="AS2600" s="24"/>
      <c r="AT2600" s="24"/>
      <c r="AU2600" s="24"/>
      <c r="AV2600" s="24"/>
      <c r="AX2600" s="29"/>
    </row>
    <row r="2601" spans="2:50">
      <c r="B2601" s="19"/>
      <c r="K2601" s="21"/>
      <c r="T2601" s="28"/>
      <c r="AS2601" s="24"/>
      <c r="AT2601" s="24"/>
      <c r="AU2601" s="24"/>
      <c r="AV2601" s="24"/>
      <c r="AX2601" s="29"/>
    </row>
    <row r="2602" spans="2:50">
      <c r="B2602" s="19"/>
      <c r="K2602" s="21"/>
      <c r="T2602" s="28"/>
      <c r="AS2602" s="24"/>
      <c r="AT2602" s="24"/>
      <c r="AU2602" s="24"/>
      <c r="AV2602" s="24"/>
      <c r="AX2602" s="29"/>
    </row>
    <row r="2603" spans="2:50">
      <c r="B2603" s="19"/>
      <c r="K2603" s="21"/>
      <c r="T2603" s="28"/>
      <c r="AS2603" s="24"/>
      <c r="AT2603" s="24"/>
      <c r="AU2603" s="24"/>
      <c r="AV2603" s="24"/>
      <c r="AX2603" s="29"/>
    </row>
    <row r="2604" spans="2:50">
      <c r="B2604" s="19"/>
      <c r="K2604" s="21"/>
      <c r="T2604" s="28"/>
      <c r="AS2604" s="24"/>
      <c r="AT2604" s="24"/>
      <c r="AU2604" s="24"/>
      <c r="AV2604" s="24"/>
      <c r="AX2604" s="29"/>
    </row>
    <row r="2605" spans="2:50">
      <c r="B2605" s="19"/>
      <c r="K2605" s="21"/>
      <c r="T2605" s="28"/>
      <c r="AS2605" s="24"/>
      <c r="AT2605" s="24"/>
      <c r="AU2605" s="24"/>
      <c r="AV2605" s="24"/>
      <c r="AX2605" s="29"/>
    </row>
    <row r="2606" spans="2:50">
      <c r="B2606" s="19"/>
      <c r="K2606" s="21"/>
      <c r="T2606" s="28"/>
      <c r="AS2606" s="24"/>
      <c r="AT2606" s="24"/>
      <c r="AU2606" s="24"/>
      <c r="AV2606" s="24"/>
      <c r="AX2606" s="29"/>
    </row>
    <row r="2607" spans="2:50">
      <c r="B2607" s="19"/>
      <c r="K2607" s="21"/>
      <c r="T2607" s="28"/>
      <c r="AS2607" s="24"/>
      <c r="AT2607" s="24"/>
      <c r="AU2607" s="24"/>
      <c r="AV2607" s="24"/>
      <c r="AX2607" s="29"/>
    </row>
    <row r="2608" spans="2:50">
      <c r="B2608" s="19"/>
      <c r="K2608" s="21"/>
      <c r="T2608" s="28"/>
      <c r="AS2608" s="24"/>
      <c r="AT2608" s="24"/>
      <c r="AU2608" s="24"/>
      <c r="AV2608" s="24"/>
      <c r="AX2608" s="29"/>
    </row>
    <row r="2609" spans="2:50">
      <c r="B2609" s="19"/>
      <c r="K2609" s="21"/>
      <c r="T2609" s="28"/>
      <c r="AS2609" s="24"/>
      <c r="AT2609" s="24"/>
      <c r="AU2609" s="24"/>
      <c r="AV2609" s="24"/>
      <c r="AX2609" s="29"/>
    </row>
    <row r="2610" spans="2:50">
      <c r="B2610" s="19"/>
      <c r="K2610" s="21"/>
      <c r="T2610" s="28"/>
      <c r="AS2610" s="24"/>
      <c r="AT2610" s="24"/>
      <c r="AU2610" s="24"/>
      <c r="AV2610" s="24"/>
      <c r="AX2610" s="29"/>
    </row>
    <row r="2611" spans="2:50">
      <c r="B2611" s="19"/>
      <c r="K2611" s="21"/>
      <c r="T2611" s="28"/>
      <c r="AS2611" s="24"/>
      <c r="AT2611" s="24"/>
      <c r="AU2611" s="24"/>
      <c r="AV2611" s="24"/>
      <c r="AX2611" s="29"/>
    </row>
    <row r="2612" spans="2:50">
      <c r="B2612" s="19"/>
      <c r="K2612" s="21"/>
      <c r="T2612" s="28"/>
      <c r="AS2612" s="24"/>
      <c r="AT2612" s="24"/>
      <c r="AU2612" s="24"/>
      <c r="AV2612" s="24"/>
      <c r="AX2612" s="29"/>
    </row>
    <row r="2613" spans="2:50">
      <c r="B2613" s="19"/>
      <c r="K2613" s="21"/>
      <c r="T2613" s="28"/>
      <c r="AS2613" s="24"/>
      <c r="AT2613" s="24"/>
      <c r="AU2613" s="24"/>
      <c r="AV2613" s="24"/>
      <c r="AX2613" s="29"/>
    </row>
    <row r="2614" spans="2:50">
      <c r="B2614" s="19"/>
      <c r="K2614" s="21"/>
      <c r="T2614" s="28"/>
      <c r="AS2614" s="24"/>
      <c r="AT2614" s="24"/>
      <c r="AU2614" s="24"/>
      <c r="AV2614" s="24"/>
      <c r="AX2614" s="29"/>
    </row>
    <row r="2615" spans="2:50">
      <c r="B2615" s="19"/>
      <c r="K2615" s="21"/>
      <c r="T2615" s="28"/>
      <c r="AS2615" s="24"/>
      <c r="AT2615" s="24"/>
      <c r="AU2615" s="24"/>
      <c r="AV2615" s="24"/>
      <c r="AX2615" s="29"/>
    </row>
    <row r="2616" spans="2:50">
      <c r="B2616" s="19"/>
      <c r="K2616" s="21"/>
      <c r="T2616" s="28"/>
      <c r="AS2616" s="24"/>
      <c r="AT2616" s="24"/>
      <c r="AU2616" s="24"/>
      <c r="AV2616" s="24"/>
      <c r="AX2616" s="29"/>
    </row>
    <row r="2617" spans="2:50">
      <c r="B2617" s="19"/>
      <c r="K2617" s="21"/>
      <c r="T2617" s="28"/>
      <c r="AS2617" s="24"/>
      <c r="AT2617" s="24"/>
      <c r="AU2617" s="24"/>
      <c r="AV2617" s="24"/>
      <c r="AX2617" s="29"/>
    </row>
    <row r="2618" spans="2:50">
      <c r="B2618" s="19"/>
      <c r="K2618" s="21"/>
      <c r="T2618" s="28"/>
      <c r="AS2618" s="24"/>
      <c r="AT2618" s="24"/>
      <c r="AU2618" s="24"/>
      <c r="AV2618" s="24"/>
      <c r="AX2618" s="29"/>
    </row>
    <row r="2619" spans="2:50">
      <c r="B2619" s="19"/>
      <c r="K2619" s="21"/>
      <c r="T2619" s="28"/>
      <c r="AS2619" s="24"/>
      <c r="AT2619" s="24"/>
      <c r="AU2619" s="24"/>
      <c r="AV2619" s="24"/>
      <c r="AX2619" s="29"/>
    </row>
    <row r="2620" spans="2:50">
      <c r="B2620" s="19"/>
      <c r="K2620" s="21"/>
      <c r="T2620" s="28"/>
      <c r="AS2620" s="24"/>
      <c r="AT2620" s="24"/>
      <c r="AU2620" s="24"/>
      <c r="AV2620" s="24"/>
      <c r="AX2620" s="29"/>
    </row>
    <row r="2621" spans="2:50">
      <c r="B2621" s="19"/>
      <c r="K2621" s="21"/>
      <c r="T2621" s="28"/>
      <c r="AS2621" s="24"/>
      <c r="AT2621" s="24"/>
      <c r="AU2621" s="24"/>
      <c r="AV2621" s="24"/>
      <c r="AX2621" s="29"/>
    </row>
    <row r="2622" spans="2:50">
      <c r="B2622" s="19"/>
      <c r="K2622" s="21"/>
      <c r="T2622" s="28"/>
      <c r="AS2622" s="24"/>
      <c r="AT2622" s="24"/>
      <c r="AU2622" s="24"/>
      <c r="AV2622" s="24"/>
      <c r="AX2622" s="29"/>
    </row>
    <row r="2623" spans="2:50">
      <c r="B2623" s="19"/>
      <c r="K2623" s="21"/>
      <c r="T2623" s="28"/>
      <c r="AS2623" s="24"/>
      <c r="AT2623" s="24"/>
      <c r="AU2623" s="24"/>
      <c r="AV2623" s="24"/>
      <c r="AX2623" s="29"/>
    </row>
    <row r="2624" spans="2:50">
      <c r="B2624" s="19"/>
      <c r="K2624" s="21"/>
      <c r="T2624" s="28"/>
      <c r="AS2624" s="24"/>
      <c r="AT2624" s="24"/>
      <c r="AU2624" s="24"/>
      <c r="AV2624" s="24"/>
      <c r="AX2624" s="29"/>
    </row>
    <row r="2625" spans="2:50">
      <c r="B2625" s="19"/>
      <c r="K2625" s="21"/>
      <c r="T2625" s="28"/>
      <c r="AS2625" s="24"/>
      <c r="AT2625" s="24"/>
      <c r="AU2625" s="24"/>
      <c r="AV2625" s="24"/>
      <c r="AX2625" s="29"/>
    </row>
    <row r="2626" spans="2:50">
      <c r="B2626" s="19"/>
      <c r="K2626" s="21"/>
      <c r="T2626" s="28"/>
      <c r="AS2626" s="24"/>
      <c r="AT2626" s="24"/>
      <c r="AU2626" s="24"/>
      <c r="AV2626" s="24"/>
      <c r="AX2626" s="29"/>
    </row>
    <row r="2627" spans="2:50">
      <c r="B2627" s="19"/>
      <c r="K2627" s="21"/>
      <c r="T2627" s="28"/>
      <c r="AS2627" s="24"/>
      <c r="AT2627" s="24"/>
      <c r="AU2627" s="24"/>
      <c r="AV2627" s="24"/>
      <c r="AX2627" s="29"/>
    </row>
    <row r="2628" spans="2:50">
      <c r="B2628" s="19"/>
      <c r="K2628" s="21"/>
      <c r="T2628" s="28"/>
      <c r="AS2628" s="24"/>
      <c r="AT2628" s="24"/>
      <c r="AU2628" s="24"/>
      <c r="AV2628" s="24"/>
      <c r="AX2628" s="29"/>
    </row>
    <row r="2629" spans="2:50">
      <c r="B2629" s="19"/>
      <c r="K2629" s="21"/>
      <c r="T2629" s="28"/>
      <c r="AS2629" s="24"/>
      <c r="AT2629" s="24"/>
      <c r="AU2629" s="24"/>
      <c r="AV2629" s="24"/>
      <c r="AX2629" s="29"/>
    </row>
    <row r="2630" spans="2:50">
      <c r="B2630" s="19"/>
      <c r="K2630" s="21"/>
      <c r="T2630" s="28"/>
      <c r="AS2630" s="24"/>
      <c r="AT2630" s="24"/>
      <c r="AU2630" s="24"/>
      <c r="AV2630" s="24"/>
      <c r="AX2630" s="29"/>
    </row>
    <row r="2631" spans="2:50">
      <c r="B2631" s="19"/>
      <c r="K2631" s="21"/>
      <c r="T2631" s="28"/>
      <c r="AS2631" s="24"/>
      <c r="AT2631" s="24"/>
      <c r="AU2631" s="24"/>
      <c r="AV2631" s="24"/>
      <c r="AX2631" s="29"/>
    </row>
    <row r="2632" spans="2:50">
      <c r="B2632" s="19"/>
      <c r="K2632" s="21"/>
      <c r="T2632" s="28"/>
      <c r="AS2632" s="24"/>
      <c r="AT2632" s="24"/>
      <c r="AU2632" s="24"/>
      <c r="AV2632" s="24"/>
      <c r="AX2632" s="29"/>
    </row>
    <row r="2633" spans="2:50">
      <c r="B2633" s="19"/>
      <c r="K2633" s="21"/>
      <c r="T2633" s="28"/>
      <c r="AS2633" s="24"/>
      <c r="AT2633" s="24"/>
      <c r="AU2633" s="24"/>
      <c r="AV2633" s="24"/>
      <c r="AX2633" s="29"/>
    </row>
    <row r="2634" spans="2:50">
      <c r="B2634" s="19"/>
      <c r="K2634" s="21"/>
      <c r="T2634" s="28"/>
      <c r="AS2634" s="24"/>
      <c r="AT2634" s="24"/>
      <c r="AU2634" s="24"/>
      <c r="AV2634" s="24"/>
      <c r="AX2634" s="29"/>
    </row>
    <row r="2635" spans="2:50">
      <c r="B2635" s="19"/>
      <c r="K2635" s="21"/>
      <c r="T2635" s="28"/>
      <c r="AS2635" s="24"/>
      <c r="AT2635" s="24"/>
      <c r="AU2635" s="24"/>
      <c r="AV2635" s="24"/>
      <c r="AX2635" s="29"/>
    </row>
    <row r="2636" spans="2:50">
      <c r="B2636" s="19"/>
      <c r="K2636" s="21"/>
      <c r="T2636" s="28"/>
      <c r="AS2636" s="24"/>
      <c r="AT2636" s="24"/>
      <c r="AU2636" s="24"/>
      <c r="AV2636" s="24"/>
      <c r="AX2636" s="29"/>
    </row>
    <row r="2637" spans="2:50">
      <c r="B2637" s="19"/>
      <c r="K2637" s="21"/>
      <c r="T2637" s="28"/>
      <c r="AS2637" s="24"/>
      <c r="AT2637" s="24"/>
      <c r="AU2637" s="24"/>
      <c r="AV2637" s="24"/>
      <c r="AX2637" s="29"/>
    </row>
    <row r="2638" spans="2:50">
      <c r="B2638" s="19"/>
      <c r="K2638" s="21"/>
      <c r="T2638" s="28"/>
      <c r="AS2638" s="24"/>
      <c r="AT2638" s="24"/>
      <c r="AU2638" s="24"/>
      <c r="AV2638" s="24"/>
      <c r="AX2638" s="29"/>
    </row>
    <row r="2639" spans="2:50">
      <c r="B2639" s="19"/>
      <c r="K2639" s="21"/>
      <c r="T2639" s="28"/>
      <c r="AS2639" s="24"/>
      <c r="AT2639" s="24"/>
      <c r="AU2639" s="24"/>
      <c r="AV2639" s="24"/>
      <c r="AX2639" s="29"/>
    </row>
    <row r="2640" spans="2:50">
      <c r="B2640" s="19"/>
      <c r="K2640" s="21"/>
      <c r="T2640" s="28"/>
      <c r="AS2640" s="24"/>
      <c r="AT2640" s="24"/>
      <c r="AU2640" s="24"/>
      <c r="AV2640" s="24"/>
      <c r="AX2640" s="29"/>
    </row>
    <row r="2641" spans="2:50">
      <c r="B2641" s="19"/>
      <c r="K2641" s="21"/>
      <c r="T2641" s="28"/>
      <c r="AS2641" s="24"/>
      <c r="AT2641" s="24"/>
      <c r="AU2641" s="24"/>
      <c r="AV2641" s="24"/>
      <c r="AX2641" s="29"/>
    </row>
    <row r="2642" spans="2:50">
      <c r="B2642" s="19"/>
      <c r="K2642" s="21"/>
      <c r="T2642" s="28"/>
      <c r="AS2642" s="24"/>
      <c r="AT2642" s="24"/>
      <c r="AU2642" s="24"/>
      <c r="AV2642" s="24"/>
      <c r="AX2642" s="29"/>
    </row>
    <row r="2643" spans="2:50">
      <c r="B2643" s="19"/>
      <c r="K2643" s="21"/>
      <c r="T2643" s="28"/>
      <c r="AS2643" s="24"/>
      <c r="AT2643" s="24"/>
      <c r="AU2643" s="24"/>
      <c r="AV2643" s="24"/>
      <c r="AX2643" s="29"/>
    </row>
    <row r="2644" spans="2:50">
      <c r="B2644" s="19"/>
      <c r="K2644" s="21"/>
      <c r="T2644" s="28"/>
      <c r="AS2644" s="24"/>
      <c r="AT2644" s="24"/>
      <c r="AU2644" s="24"/>
      <c r="AV2644" s="24"/>
      <c r="AX2644" s="29"/>
    </row>
    <row r="2645" spans="2:50">
      <c r="B2645" s="19"/>
      <c r="K2645" s="21"/>
      <c r="T2645" s="28"/>
      <c r="AS2645" s="24"/>
      <c r="AT2645" s="24"/>
      <c r="AU2645" s="24"/>
      <c r="AV2645" s="24"/>
      <c r="AX2645" s="29"/>
    </row>
    <row r="2646" spans="2:50">
      <c r="B2646" s="19"/>
      <c r="K2646" s="21"/>
      <c r="T2646" s="28"/>
      <c r="AS2646" s="24"/>
      <c r="AT2646" s="24"/>
      <c r="AU2646" s="24"/>
      <c r="AV2646" s="24"/>
      <c r="AX2646" s="29"/>
    </row>
    <row r="2647" spans="2:50">
      <c r="B2647" s="19"/>
      <c r="K2647" s="21"/>
      <c r="T2647" s="28"/>
      <c r="AS2647" s="24"/>
      <c r="AT2647" s="24"/>
      <c r="AU2647" s="24"/>
      <c r="AV2647" s="24"/>
      <c r="AX2647" s="29"/>
    </row>
    <row r="2648" spans="2:50">
      <c r="B2648" s="19"/>
      <c r="K2648" s="21"/>
      <c r="T2648" s="28"/>
      <c r="AS2648" s="24"/>
      <c r="AT2648" s="24"/>
      <c r="AU2648" s="24"/>
      <c r="AV2648" s="24"/>
      <c r="AX2648" s="29"/>
    </row>
    <row r="2649" spans="2:50">
      <c r="B2649" s="19"/>
      <c r="K2649" s="21"/>
      <c r="T2649" s="28"/>
      <c r="AS2649" s="24"/>
      <c r="AT2649" s="24"/>
      <c r="AU2649" s="24"/>
      <c r="AV2649" s="24"/>
      <c r="AX2649" s="29"/>
    </row>
    <row r="2650" spans="2:50">
      <c r="B2650" s="19"/>
      <c r="K2650" s="21"/>
      <c r="T2650" s="28"/>
      <c r="AS2650" s="24"/>
      <c r="AT2650" s="24"/>
      <c r="AU2650" s="24"/>
      <c r="AV2650" s="24"/>
      <c r="AX2650" s="29"/>
    </row>
    <row r="2651" spans="2:50">
      <c r="B2651" s="19"/>
      <c r="K2651" s="21"/>
      <c r="T2651" s="28"/>
      <c r="AS2651" s="24"/>
      <c r="AT2651" s="24"/>
      <c r="AU2651" s="24"/>
      <c r="AV2651" s="24"/>
      <c r="AX2651" s="29"/>
    </row>
    <row r="2652" spans="2:50">
      <c r="B2652" s="19"/>
      <c r="K2652" s="21"/>
      <c r="T2652" s="28"/>
      <c r="AS2652" s="24"/>
      <c r="AT2652" s="24"/>
      <c r="AU2652" s="24"/>
      <c r="AV2652" s="24"/>
      <c r="AX2652" s="29"/>
    </row>
    <row r="2653" spans="2:50">
      <c r="B2653" s="19"/>
      <c r="K2653" s="21"/>
      <c r="T2653" s="28"/>
      <c r="AS2653" s="24"/>
      <c r="AT2653" s="24"/>
      <c r="AU2653" s="24"/>
      <c r="AV2653" s="24"/>
      <c r="AX2653" s="29"/>
    </row>
    <row r="2654" spans="2:50">
      <c r="B2654" s="19"/>
      <c r="K2654" s="21"/>
      <c r="T2654" s="28"/>
      <c r="AS2654" s="24"/>
      <c r="AT2654" s="24"/>
      <c r="AU2654" s="24"/>
      <c r="AV2654" s="24"/>
      <c r="AX2654" s="29"/>
    </row>
    <row r="2655" spans="2:50">
      <c r="B2655" s="19"/>
      <c r="K2655" s="21"/>
      <c r="T2655" s="28"/>
      <c r="AS2655" s="24"/>
      <c r="AT2655" s="24"/>
      <c r="AU2655" s="24"/>
      <c r="AV2655" s="24"/>
      <c r="AX2655" s="29"/>
    </row>
    <row r="2656" spans="2:50">
      <c r="B2656" s="19"/>
      <c r="K2656" s="21"/>
      <c r="T2656" s="28"/>
      <c r="AS2656" s="24"/>
      <c r="AT2656" s="24"/>
      <c r="AU2656" s="24"/>
      <c r="AV2656" s="24"/>
      <c r="AX2656" s="29"/>
    </row>
    <row r="2657" spans="2:50">
      <c r="B2657" s="19"/>
      <c r="K2657" s="21"/>
      <c r="T2657" s="28"/>
      <c r="AS2657" s="24"/>
      <c r="AT2657" s="24"/>
      <c r="AU2657" s="24"/>
      <c r="AV2657" s="24"/>
      <c r="AX2657" s="29"/>
    </row>
    <row r="2658" spans="2:50">
      <c r="B2658" s="19"/>
      <c r="K2658" s="21"/>
      <c r="T2658" s="28"/>
      <c r="AS2658" s="24"/>
      <c r="AT2658" s="24"/>
      <c r="AU2658" s="24"/>
      <c r="AV2658" s="24"/>
      <c r="AX2658" s="29"/>
    </row>
    <row r="2659" spans="2:50">
      <c r="B2659" s="19"/>
      <c r="K2659" s="21"/>
      <c r="T2659" s="28"/>
      <c r="AS2659" s="24"/>
      <c r="AT2659" s="24"/>
      <c r="AU2659" s="24"/>
      <c r="AV2659" s="24"/>
      <c r="AX2659" s="29"/>
    </row>
    <row r="2660" spans="2:50">
      <c r="B2660" s="19"/>
      <c r="K2660" s="21"/>
      <c r="T2660" s="28"/>
      <c r="AS2660" s="24"/>
      <c r="AT2660" s="24"/>
      <c r="AU2660" s="24"/>
      <c r="AV2660" s="24"/>
      <c r="AX2660" s="29"/>
    </row>
    <row r="2661" spans="2:50">
      <c r="B2661" s="19"/>
      <c r="K2661" s="21"/>
      <c r="T2661" s="28"/>
      <c r="AS2661" s="24"/>
      <c r="AT2661" s="24"/>
      <c r="AU2661" s="24"/>
      <c r="AV2661" s="24"/>
      <c r="AX2661" s="29"/>
    </row>
    <row r="2662" spans="2:50">
      <c r="B2662" s="19"/>
      <c r="K2662" s="21"/>
      <c r="T2662" s="28"/>
      <c r="AS2662" s="24"/>
      <c r="AT2662" s="24"/>
      <c r="AU2662" s="24"/>
      <c r="AV2662" s="24"/>
      <c r="AX2662" s="29"/>
    </row>
    <row r="2663" spans="2:50">
      <c r="B2663" s="19"/>
      <c r="K2663" s="21"/>
      <c r="T2663" s="28"/>
      <c r="AS2663" s="24"/>
      <c r="AT2663" s="24"/>
      <c r="AU2663" s="24"/>
      <c r="AV2663" s="24"/>
      <c r="AX2663" s="29"/>
    </row>
    <row r="2664" spans="2:50">
      <c r="B2664" s="19"/>
      <c r="K2664" s="21"/>
      <c r="T2664" s="28"/>
      <c r="AS2664" s="24"/>
      <c r="AT2664" s="24"/>
      <c r="AU2664" s="24"/>
      <c r="AV2664" s="24"/>
      <c r="AX2664" s="29"/>
    </row>
    <row r="2665" spans="2:50">
      <c r="B2665" s="19"/>
      <c r="K2665" s="21"/>
      <c r="T2665" s="28"/>
      <c r="AS2665" s="24"/>
      <c r="AT2665" s="24"/>
      <c r="AU2665" s="24"/>
      <c r="AV2665" s="24"/>
      <c r="AX2665" s="29"/>
    </row>
    <row r="2666" spans="2:50">
      <c r="B2666" s="33"/>
      <c r="K2666" s="21"/>
      <c r="T2666" s="28"/>
      <c r="AS2666" s="24"/>
      <c r="AT2666" s="24"/>
      <c r="AU2666" s="24"/>
      <c r="AV2666" s="24"/>
      <c r="AX2666" s="29"/>
    </row>
    <row r="2667" spans="2:50">
      <c r="B2667" s="19"/>
      <c r="K2667" s="21"/>
      <c r="T2667" s="28"/>
      <c r="AS2667" s="24"/>
      <c r="AT2667" s="24"/>
      <c r="AU2667" s="24"/>
      <c r="AV2667" s="24"/>
      <c r="AX2667" s="29"/>
    </row>
    <row r="2668" spans="2:50">
      <c r="B2668" s="19"/>
      <c r="K2668" s="21"/>
      <c r="T2668" s="28"/>
      <c r="AS2668" s="24"/>
      <c r="AT2668" s="24"/>
      <c r="AU2668" s="24"/>
      <c r="AV2668" s="24"/>
      <c r="AX2668" s="29"/>
    </row>
    <row r="2669" spans="2:50">
      <c r="B2669" s="19"/>
      <c r="K2669" s="21"/>
      <c r="T2669" s="28"/>
      <c r="AS2669" s="24"/>
      <c r="AT2669" s="24"/>
      <c r="AU2669" s="24"/>
      <c r="AV2669" s="24"/>
      <c r="AX2669" s="29"/>
    </row>
    <row r="2670" spans="2:50">
      <c r="B2670" s="19"/>
      <c r="K2670" s="21"/>
      <c r="T2670" s="28"/>
      <c r="AS2670" s="24"/>
      <c r="AT2670" s="24"/>
      <c r="AU2670" s="24"/>
      <c r="AV2670" s="24"/>
      <c r="AX2670" s="29"/>
    </row>
    <row r="2671" spans="2:50">
      <c r="B2671" s="19"/>
      <c r="K2671" s="21"/>
      <c r="T2671" s="28"/>
      <c r="AS2671" s="24"/>
      <c r="AT2671" s="24"/>
      <c r="AU2671" s="24"/>
      <c r="AV2671" s="24"/>
      <c r="AX2671" s="29"/>
    </row>
    <row r="2672" spans="2:50">
      <c r="B2672" s="19"/>
      <c r="K2672" s="21"/>
      <c r="T2672" s="28"/>
      <c r="Y2672" s="20"/>
      <c r="AS2672" s="24"/>
      <c r="AT2672" s="24"/>
      <c r="AU2672" s="24"/>
      <c r="AV2672" s="24"/>
      <c r="AX2672" s="29"/>
    </row>
    <row r="2673" spans="2:50">
      <c r="B2673" s="19"/>
      <c r="K2673" s="21"/>
      <c r="T2673" s="28"/>
      <c r="AS2673" s="24"/>
      <c r="AT2673" s="24"/>
      <c r="AU2673" s="24"/>
      <c r="AV2673" s="24"/>
      <c r="AX2673" s="29"/>
    </row>
    <row r="2674" spans="2:50">
      <c r="B2674" s="19"/>
      <c r="K2674" s="21"/>
      <c r="T2674" s="28"/>
      <c r="AS2674" s="24"/>
      <c r="AT2674" s="24"/>
      <c r="AU2674" s="24"/>
      <c r="AV2674" s="24"/>
      <c r="AX2674" s="29"/>
    </row>
    <row r="2675" spans="2:50">
      <c r="B2675" s="19"/>
      <c r="K2675" s="21"/>
      <c r="T2675" s="28"/>
      <c r="AS2675" s="24"/>
      <c r="AT2675" s="24"/>
      <c r="AU2675" s="24"/>
      <c r="AV2675" s="24"/>
      <c r="AX2675" s="29"/>
    </row>
    <row r="2676" spans="2:50">
      <c r="B2676" s="19"/>
      <c r="K2676" s="21"/>
      <c r="T2676" s="28"/>
      <c r="AS2676" s="24"/>
      <c r="AT2676" s="24"/>
      <c r="AU2676" s="24"/>
      <c r="AV2676" s="24"/>
      <c r="AX2676" s="29"/>
    </row>
    <row r="2677" spans="2:50">
      <c r="B2677" s="19"/>
      <c r="K2677" s="21"/>
      <c r="T2677" s="28"/>
      <c r="AS2677" s="24"/>
      <c r="AT2677" s="24"/>
      <c r="AU2677" s="24"/>
      <c r="AV2677" s="24"/>
      <c r="AX2677" s="29"/>
    </row>
    <row r="2678" spans="2:50">
      <c r="B2678" s="19"/>
      <c r="K2678" s="21"/>
      <c r="T2678" s="28"/>
      <c r="AS2678" s="24"/>
      <c r="AT2678" s="24"/>
      <c r="AU2678" s="24"/>
      <c r="AV2678" s="24"/>
      <c r="AX2678" s="29"/>
    </row>
    <row r="2679" spans="2:50">
      <c r="B2679" s="19"/>
      <c r="K2679" s="21"/>
      <c r="T2679" s="28"/>
      <c r="AS2679" s="24"/>
      <c r="AT2679" s="24"/>
      <c r="AU2679" s="24"/>
      <c r="AV2679" s="24"/>
      <c r="AX2679" s="29"/>
    </row>
    <row r="2680" spans="2:50">
      <c r="B2680" s="19"/>
      <c r="K2680" s="21"/>
      <c r="T2680" s="28"/>
      <c r="AS2680" s="24"/>
      <c r="AT2680" s="24"/>
      <c r="AU2680" s="24"/>
      <c r="AV2680" s="24"/>
      <c r="AX2680" s="29"/>
    </row>
    <row r="2681" spans="2:50">
      <c r="B2681" s="19"/>
      <c r="K2681" s="21"/>
      <c r="T2681" s="28"/>
      <c r="AS2681" s="24"/>
      <c r="AT2681" s="24"/>
      <c r="AU2681" s="24"/>
      <c r="AV2681" s="24"/>
      <c r="AX2681" s="29"/>
    </row>
    <row r="2682" spans="2:50">
      <c r="B2682" s="19"/>
      <c r="K2682" s="21"/>
      <c r="T2682" s="28"/>
      <c r="AS2682" s="24"/>
      <c r="AT2682" s="24"/>
      <c r="AU2682" s="24"/>
      <c r="AV2682" s="24"/>
      <c r="AX2682" s="29"/>
    </row>
    <row r="2683" spans="2:50">
      <c r="B2683" s="19"/>
      <c r="K2683" s="21"/>
      <c r="T2683" s="28"/>
      <c r="AS2683" s="24"/>
      <c r="AT2683" s="24"/>
      <c r="AU2683" s="24"/>
      <c r="AV2683" s="24"/>
      <c r="AX2683" s="29"/>
    </row>
    <row r="2684" spans="2:50">
      <c r="B2684" s="19"/>
      <c r="K2684" s="21"/>
      <c r="T2684" s="28"/>
      <c r="AS2684" s="24"/>
      <c r="AT2684" s="24"/>
      <c r="AU2684" s="24"/>
      <c r="AV2684" s="24"/>
      <c r="AX2684" s="29"/>
    </row>
    <row r="2685" spans="2:50">
      <c r="B2685" s="19"/>
      <c r="K2685" s="21"/>
      <c r="T2685" s="28"/>
      <c r="AS2685" s="24"/>
      <c r="AT2685" s="24"/>
      <c r="AU2685" s="24"/>
      <c r="AV2685" s="24"/>
      <c r="AX2685" s="29"/>
    </row>
    <row r="2686" spans="2:50">
      <c r="B2686" s="19"/>
      <c r="K2686" s="21"/>
      <c r="T2686" s="28"/>
      <c r="AS2686" s="24"/>
      <c r="AT2686" s="24"/>
      <c r="AU2686" s="24"/>
      <c r="AV2686" s="24"/>
      <c r="AX2686" s="29"/>
    </row>
    <row r="2687" spans="2:50">
      <c r="B2687" s="19"/>
      <c r="K2687" s="21"/>
      <c r="T2687" s="28"/>
      <c r="AS2687" s="24"/>
      <c r="AT2687" s="24"/>
      <c r="AU2687" s="24"/>
      <c r="AV2687" s="24"/>
      <c r="AX2687" s="29"/>
    </row>
    <row r="2688" spans="2:50">
      <c r="B2688" s="19"/>
      <c r="K2688" s="21"/>
      <c r="T2688" s="28"/>
      <c r="AS2688" s="24"/>
      <c r="AT2688" s="24"/>
      <c r="AU2688" s="24"/>
      <c r="AV2688" s="24"/>
      <c r="AX2688" s="29"/>
    </row>
    <row r="2689" spans="2:50">
      <c r="B2689" s="19"/>
      <c r="K2689" s="21"/>
      <c r="T2689" s="28"/>
      <c r="AS2689" s="24"/>
      <c r="AT2689" s="24"/>
      <c r="AU2689" s="24"/>
      <c r="AV2689" s="24"/>
      <c r="AX2689" s="29"/>
    </row>
    <row r="2690" spans="2:50">
      <c r="B2690" s="19"/>
      <c r="K2690" s="21"/>
      <c r="T2690" s="28"/>
      <c r="AS2690" s="24"/>
      <c r="AT2690" s="24"/>
      <c r="AU2690" s="24"/>
      <c r="AV2690" s="24"/>
      <c r="AX2690" s="29"/>
    </row>
    <row r="2691" spans="2:50">
      <c r="B2691" s="19"/>
      <c r="K2691" s="21"/>
      <c r="T2691" s="28"/>
      <c r="AS2691" s="24"/>
      <c r="AT2691" s="24"/>
      <c r="AU2691" s="24"/>
      <c r="AV2691" s="24"/>
      <c r="AX2691" s="29"/>
    </row>
    <row r="2692" spans="2:50">
      <c r="B2692" s="19"/>
      <c r="K2692" s="21"/>
      <c r="T2692" s="28"/>
      <c r="AS2692" s="24"/>
      <c r="AT2692" s="24"/>
      <c r="AU2692" s="24"/>
      <c r="AV2692" s="24"/>
      <c r="AX2692" s="29"/>
    </row>
    <row r="2693" spans="2:50">
      <c r="B2693" s="19"/>
      <c r="K2693" s="21"/>
      <c r="T2693" s="28"/>
      <c r="AS2693" s="24"/>
      <c r="AT2693" s="24"/>
      <c r="AU2693" s="24"/>
      <c r="AV2693" s="24"/>
      <c r="AX2693" s="29"/>
    </row>
    <row r="2694" spans="2:50">
      <c r="B2694" s="19"/>
      <c r="K2694" s="21"/>
      <c r="T2694" s="28"/>
      <c r="AS2694" s="24"/>
      <c r="AT2694" s="24"/>
      <c r="AU2694" s="24"/>
      <c r="AV2694" s="24"/>
      <c r="AX2694" s="29"/>
    </row>
    <row r="2695" spans="2:50">
      <c r="B2695" s="19"/>
      <c r="K2695" s="21"/>
      <c r="T2695" s="28"/>
      <c r="AS2695" s="24"/>
      <c r="AT2695" s="24"/>
      <c r="AU2695" s="24"/>
      <c r="AV2695" s="24"/>
      <c r="AX2695" s="29"/>
    </row>
    <row r="2696" spans="2:50">
      <c r="B2696" s="19"/>
      <c r="K2696" s="21"/>
      <c r="T2696" s="28"/>
      <c r="AS2696" s="24"/>
      <c r="AT2696" s="24"/>
      <c r="AU2696" s="24"/>
      <c r="AV2696" s="24"/>
      <c r="AX2696" s="29"/>
    </row>
    <row r="2697" spans="2:50">
      <c r="B2697" s="19"/>
      <c r="K2697" s="21"/>
      <c r="T2697" s="28"/>
      <c r="AS2697" s="24"/>
      <c r="AT2697" s="24"/>
      <c r="AU2697" s="24"/>
      <c r="AV2697" s="24"/>
      <c r="AX2697" s="29"/>
    </row>
    <row r="2698" spans="2:50">
      <c r="B2698" s="19"/>
      <c r="K2698" s="21"/>
      <c r="T2698" s="28"/>
      <c r="AS2698" s="24"/>
      <c r="AT2698" s="24"/>
      <c r="AU2698" s="24"/>
      <c r="AV2698" s="24"/>
      <c r="AX2698" s="29"/>
    </row>
    <row r="2699" spans="2:50">
      <c r="B2699" s="19"/>
      <c r="K2699" s="21"/>
      <c r="T2699" s="28"/>
      <c r="AS2699" s="24"/>
      <c r="AT2699" s="24"/>
      <c r="AU2699" s="24"/>
      <c r="AV2699" s="24"/>
      <c r="AX2699" s="29"/>
    </row>
    <row r="2700" spans="2:50">
      <c r="B2700" s="19"/>
      <c r="K2700" s="21"/>
      <c r="T2700" s="28"/>
      <c r="AS2700" s="24"/>
      <c r="AT2700" s="24"/>
      <c r="AU2700" s="24"/>
      <c r="AV2700" s="24"/>
      <c r="AX2700" s="29"/>
    </row>
    <row r="2701" spans="2:50">
      <c r="B2701" s="19"/>
      <c r="K2701" s="21"/>
      <c r="T2701" s="28"/>
      <c r="AS2701" s="24"/>
      <c r="AT2701" s="24"/>
      <c r="AU2701" s="24"/>
      <c r="AV2701" s="24"/>
      <c r="AX2701" s="29"/>
    </row>
    <row r="2702" spans="2:50">
      <c r="B2702" s="19"/>
      <c r="K2702" s="21"/>
      <c r="T2702" s="28"/>
      <c r="AS2702" s="24"/>
      <c r="AT2702" s="24"/>
      <c r="AU2702" s="24"/>
      <c r="AV2702" s="24"/>
      <c r="AX2702" s="29"/>
    </row>
    <row r="2703" spans="2:50">
      <c r="B2703" s="19"/>
      <c r="K2703" s="21"/>
      <c r="T2703" s="28"/>
      <c r="AS2703" s="24"/>
      <c r="AT2703" s="24"/>
      <c r="AU2703" s="24"/>
      <c r="AV2703" s="24"/>
      <c r="AX2703" s="29"/>
    </row>
    <row r="2704" spans="2:50">
      <c r="B2704" s="19"/>
      <c r="K2704" s="21"/>
      <c r="T2704" s="28"/>
      <c r="AS2704" s="24"/>
      <c r="AT2704" s="24"/>
      <c r="AU2704" s="24"/>
      <c r="AV2704" s="24"/>
      <c r="AX2704" s="29"/>
    </row>
    <row r="2705" spans="2:58">
      <c r="B2705" s="19"/>
      <c r="K2705" s="21"/>
      <c r="T2705" s="28"/>
      <c r="AS2705" s="24"/>
      <c r="AT2705" s="24"/>
      <c r="AU2705" s="24"/>
      <c r="AV2705" s="24"/>
      <c r="AX2705" s="29"/>
    </row>
    <row r="2706" spans="2:58">
      <c r="B2706" s="19"/>
      <c r="K2706" s="21"/>
      <c r="T2706" s="28"/>
      <c r="AS2706" s="24"/>
      <c r="AT2706" s="24"/>
      <c r="AU2706" s="24"/>
      <c r="AV2706" s="24"/>
      <c r="AX2706" s="29"/>
    </row>
    <row r="2707" spans="2:58">
      <c r="K2707" s="21"/>
      <c r="T2707" s="28"/>
      <c r="AS2707" s="24"/>
      <c r="AT2707" s="24"/>
      <c r="AU2707" s="24"/>
      <c r="AV2707" s="24"/>
      <c r="AX2707" s="29"/>
    </row>
    <row r="2708" spans="2:58">
      <c r="B2708" s="19"/>
      <c r="K2708" s="21"/>
      <c r="T2708" s="28"/>
      <c r="AS2708" s="24"/>
      <c r="AT2708" s="24"/>
      <c r="AU2708" s="24"/>
      <c r="AV2708" s="24"/>
      <c r="AX2708" s="29"/>
    </row>
    <row r="2709" spans="2:58">
      <c r="B2709" s="19"/>
      <c r="K2709" s="21"/>
      <c r="T2709" s="28"/>
      <c r="AS2709" s="24"/>
      <c r="AT2709" s="24"/>
      <c r="AU2709" s="24"/>
      <c r="AV2709" s="24"/>
      <c r="AX2709" s="29"/>
    </row>
    <row r="2710" spans="2:58">
      <c r="B2710" s="19"/>
      <c r="K2710" s="21"/>
      <c r="T2710" s="28"/>
      <c r="AS2710" s="24"/>
      <c r="AT2710" s="24"/>
      <c r="AU2710" s="24"/>
      <c r="AV2710" s="24"/>
      <c r="AX2710" s="29"/>
    </row>
    <row r="2711" spans="2:58">
      <c r="B2711" s="19"/>
      <c r="K2711" s="21"/>
      <c r="T2711" s="28"/>
      <c r="AS2711" s="24"/>
      <c r="AT2711" s="24"/>
      <c r="AU2711" s="24"/>
      <c r="AV2711" s="24"/>
      <c r="AX2711" s="29"/>
    </row>
    <row r="2712" spans="2:58">
      <c r="B2712" s="19"/>
      <c r="K2712" s="21"/>
      <c r="T2712" s="28"/>
      <c r="AS2712" s="24"/>
      <c r="AT2712" s="24"/>
      <c r="AU2712" s="24"/>
      <c r="AV2712" s="24"/>
      <c r="AX2712" s="29"/>
    </row>
    <row r="2713" spans="2:58">
      <c r="B2713" s="19"/>
      <c r="K2713" s="21"/>
      <c r="T2713" s="28"/>
      <c r="AS2713" s="24"/>
      <c r="AT2713" s="24"/>
      <c r="AU2713" s="24"/>
      <c r="AV2713" s="24"/>
      <c r="AX2713" s="29"/>
    </row>
    <row r="2714" spans="2:58">
      <c r="B2714" s="19"/>
      <c r="K2714" s="21"/>
      <c r="T2714" s="28"/>
      <c r="AS2714" s="24"/>
      <c r="AT2714" s="24"/>
      <c r="AU2714" s="24"/>
      <c r="AV2714" s="24"/>
      <c r="AX2714" s="29"/>
    </row>
    <row r="2715" spans="2:58">
      <c r="B2715" s="19"/>
      <c r="K2715" s="21"/>
      <c r="T2715" s="28"/>
      <c r="AS2715" s="24"/>
      <c r="AT2715" s="24"/>
      <c r="AU2715" s="24"/>
      <c r="AV2715" s="24"/>
      <c r="AX2715" s="29"/>
    </row>
    <row r="2716" spans="2:58">
      <c r="B2716" s="19"/>
      <c r="K2716" s="21"/>
      <c r="T2716" s="28"/>
      <c r="AS2716" s="24"/>
      <c r="AT2716" s="24"/>
      <c r="AU2716" s="24"/>
      <c r="AV2716" s="24"/>
      <c r="AX2716" s="29"/>
    </row>
    <row r="2717" spans="2:58">
      <c r="B2717" s="19"/>
      <c r="K2717" s="21"/>
      <c r="T2717" s="28"/>
      <c r="AS2717" s="24"/>
      <c r="AT2717" s="24"/>
      <c r="AU2717" s="24"/>
      <c r="AV2717" s="24"/>
      <c r="AX2717" s="29"/>
      <c r="BF2717" s="34"/>
    </row>
    <row r="2718" spans="2:58">
      <c r="B2718" s="19"/>
      <c r="K2718" s="21"/>
      <c r="T2718" s="28"/>
      <c r="AS2718" s="24"/>
      <c r="AT2718" s="24"/>
      <c r="AU2718" s="24"/>
      <c r="AV2718" s="24"/>
      <c r="AX2718" s="29"/>
    </row>
    <row r="2719" spans="2:58">
      <c r="B2719" s="19"/>
      <c r="K2719" s="21"/>
      <c r="T2719" s="28"/>
      <c r="AS2719" s="24"/>
      <c r="AT2719" s="24"/>
      <c r="AU2719" s="24"/>
      <c r="AV2719" s="24"/>
      <c r="AX2719" s="29"/>
    </row>
    <row r="2720" spans="2:58">
      <c r="B2720" s="19"/>
      <c r="K2720" s="21"/>
      <c r="T2720" s="28"/>
      <c r="AS2720" s="24"/>
      <c r="AT2720" s="24"/>
      <c r="AU2720" s="24"/>
      <c r="AV2720" s="24"/>
      <c r="AX2720" s="29"/>
    </row>
    <row r="2721" spans="2:50">
      <c r="B2721" s="19"/>
      <c r="K2721" s="21"/>
      <c r="T2721" s="28"/>
      <c r="AS2721" s="24"/>
      <c r="AT2721" s="24"/>
      <c r="AU2721" s="24"/>
      <c r="AV2721" s="24"/>
      <c r="AX2721" s="29"/>
    </row>
    <row r="2722" spans="2:50">
      <c r="B2722" s="19"/>
      <c r="K2722" s="21"/>
      <c r="T2722" s="28"/>
      <c r="AS2722" s="24"/>
      <c r="AT2722" s="24"/>
      <c r="AU2722" s="24"/>
      <c r="AV2722" s="24"/>
      <c r="AX2722" s="29"/>
    </row>
    <row r="2723" spans="2:50">
      <c r="B2723" s="19"/>
      <c r="K2723" s="21"/>
      <c r="T2723" s="28"/>
      <c r="AS2723" s="24"/>
      <c r="AT2723" s="24"/>
      <c r="AU2723" s="24"/>
      <c r="AV2723" s="24"/>
      <c r="AX2723" s="29"/>
    </row>
    <row r="2724" spans="2:50">
      <c r="B2724" s="19"/>
      <c r="K2724" s="21"/>
      <c r="T2724" s="28"/>
      <c r="AS2724" s="24"/>
      <c r="AT2724" s="24"/>
      <c r="AU2724" s="24"/>
      <c r="AV2724" s="24"/>
      <c r="AX2724" s="29"/>
    </row>
    <row r="2725" spans="2:50">
      <c r="B2725" s="19"/>
      <c r="K2725" s="21"/>
      <c r="T2725" s="28"/>
      <c r="AS2725" s="24"/>
      <c r="AT2725" s="24"/>
      <c r="AU2725" s="24"/>
      <c r="AV2725" s="24"/>
      <c r="AX2725" s="29"/>
    </row>
    <row r="2726" spans="2:50">
      <c r="B2726" s="19"/>
      <c r="K2726" s="21"/>
      <c r="T2726" s="28"/>
      <c r="AS2726" s="24"/>
      <c r="AT2726" s="24"/>
      <c r="AU2726" s="24"/>
      <c r="AV2726" s="24"/>
      <c r="AX2726" s="29"/>
    </row>
    <row r="2727" spans="2:50">
      <c r="B2727" s="19"/>
      <c r="K2727" s="21"/>
      <c r="T2727" s="28"/>
      <c r="AS2727" s="24"/>
      <c r="AT2727" s="24"/>
      <c r="AU2727" s="24"/>
      <c r="AV2727" s="24"/>
      <c r="AX2727" s="29"/>
    </row>
    <row r="2728" spans="2:50">
      <c r="B2728" s="19"/>
      <c r="K2728" s="21"/>
      <c r="T2728" s="28"/>
      <c r="AS2728" s="24"/>
      <c r="AT2728" s="24"/>
      <c r="AU2728" s="24"/>
      <c r="AV2728" s="24"/>
      <c r="AX2728" s="29"/>
    </row>
    <row r="2729" spans="2:50">
      <c r="B2729" s="19"/>
      <c r="K2729" s="21"/>
      <c r="T2729" s="28"/>
      <c r="AS2729" s="24"/>
      <c r="AT2729" s="24"/>
      <c r="AU2729" s="24"/>
      <c r="AV2729" s="24"/>
      <c r="AX2729" s="29"/>
    </row>
    <row r="2730" spans="2:50">
      <c r="B2730" s="19"/>
      <c r="K2730" s="21"/>
      <c r="T2730" s="28"/>
      <c r="AS2730" s="24"/>
      <c r="AT2730" s="24"/>
      <c r="AU2730" s="24"/>
      <c r="AV2730" s="24"/>
      <c r="AX2730" s="29"/>
    </row>
    <row r="2731" spans="2:50">
      <c r="B2731" s="19"/>
      <c r="K2731" s="21"/>
      <c r="T2731" s="28"/>
      <c r="AS2731" s="24"/>
      <c r="AT2731" s="24"/>
      <c r="AU2731" s="24"/>
      <c r="AV2731" s="24"/>
      <c r="AX2731" s="29"/>
    </row>
    <row r="2732" spans="2:50">
      <c r="B2732" s="19"/>
      <c r="K2732" s="21"/>
      <c r="T2732" s="28"/>
      <c r="AS2732" s="24"/>
      <c r="AT2732" s="24"/>
      <c r="AU2732" s="24"/>
      <c r="AV2732" s="24"/>
      <c r="AX2732" s="29"/>
    </row>
    <row r="2733" spans="2:50">
      <c r="B2733" s="19"/>
      <c r="K2733" s="21"/>
      <c r="T2733" s="28"/>
      <c r="AS2733" s="24"/>
      <c r="AT2733" s="24"/>
      <c r="AU2733" s="24"/>
      <c r="AV2733" s="24"/>
      <c r="AX2733" s="29"/>
    </row>
    <row r="2734" spans="2:50">
      <c r="B2734" s="19"/>
      <c r="K2734" s="21"/>
      <c r="T2734" s="28"/>
      <c r="AS2734" s="24"/>
      <c r="AT2734" s="24"/>
      <c r="AU2734" s="24"/>
      <c r="AV2734" s="24"/>
      <c r="AX2734" s="29"/>
    </row>
    <row r="2735" spans="2:50">
      <c r="B2735" s="19"/>
      <c r="K2735" s="21"/>
      <c r="T2735" s="28"/>
      <c r="AS2735" s="24"/>
      <c r="AT2735" s="24"/>
      <c r="AU2735" s="24"/>
      <c r="AV2735" s="24"/>
      <c r="AX2735" s="29"/>
    </row>
    <row r="2736" spans="2:50">
      <c r="B2736" s="19"/>
      <c r="K2736" s="21"/>
      <c r="T2736" s="28"/>
      <c r="AS2736" s="24"/>
      <c r="AT2736" s="24"/>
      <c r="AU2736" s="24"/>
      <c r="AV2736" s="24"/>
      <c r="AX2736" s="29"/>
    </row>
    <row r="2737" spans="2:50">
      <c r="B2737" s="19"/>
      <c r="K2737" s="21"/>
      <c r="T2737" s="28"/>
      <c r="AS2737" s="24"/>
      <c r="AT2737" s="24"/>
      <c r="AU2737" s="24"/>
      <c r="AV2737" s="24"/>
      <c r="AX2737" s="29"/>
    </row>
    <row r="2738" spans="2:50">
      <c r="B2738" s="19"/>
      <c r="K2738" s="21"/>
      <c r="T2738" s="28"/>
      <c r="AS2738" s="24"/>
      <c r="AT2738" s="24"/>
      <c r="AU2738" s="24"/>
      <c r="AV2738" s="24"/>
      <c r="AX2738" s="29"/>
    </row>
    <row r="2739" spans="2:50">
      <c r="B2739" s="19"/>
      <c r="K2739" s="21"/>
      <c r="T2739" s="28"/>
      <c r="AS2739" s="24"/>
      <c r="AT2739" s="24"/>
      <c r="AU2739" s="24"/>
      <c r="AV2739" s="24"/>
      <c r="AX2739" s="29"/>
    </row>
    <row r="2740" spans="2:50">
      <c r="B2740" s="19"/>
      <c r="K2740" s="21"/>
      <c r="T2740" s="28"/>
      <c r="AS2740" s="24"/>
      <c r="AT2740" s="24"/>
      <c r="AU2740" s="24"/>
      <c r="AV2740" s="24"/>
      <c r="AX2740" s="29"/>
    </row>
    <row r="2741" spans="2:50">
      <c r="B2741" s="19"/>
      <c r="K2741" s="21"/>
      <c r="T2741" s="28"/>
      <c r="AS2741" s="24"/>
      <c r="AT2741" s="24"/>
      <c r="AU2741" s="24"/>
      <c r="AV2741" s="24"/>
      <c r="AX2741" s="29"/>
    </row>
    <row r="2742" spans="2:50">
      <c r="B2742" s="19"/>
      <c r="K2742" s="21"/>
      <c r="T2742" s="28"/>
      <c r="AS2742" s="24"/>
      <c r="AT2742" s="24"/>
      <c r="AU2742" s="24"/>
      <c r="AV2742" s="24"/>
      <c r="AX2742" s="29"/>
    </row>
    <row r="2743" spans="2:50">
      <c r="B2743" s="19"/>
      <c r="K2743" s="21"/>
      <c r="T2743" s="28"/>
      <c r="AS2743" s="24"/>
      <c r="AT2743" s="24"/>
      <c r="AU2743" s="24"/>
      <c r="AV2743" s="24"/>
      <c r="AX2743" s="29"/>
    </row>
    <row r="2744" spans="2:50">
      <c r="B2744" s="19"/>
      <c r="K2744" s="21"/>
      <c r="T2744" s="28"/>
      <c r="AS2744" s="24"/>
      <c r="AT2744" s="24"/>
      <c r="AU2744" s="24"/>
      <c r="AV2744" s="24"/>
      <c r="AX2744" s="29"/>
    </row>
    <row r="2745" spans="2:50">
      <c r="B2745" s="19"/>
      <c r="K2745" s="21"/>
      <c r="T2745" s="28"/>
      <c r="AS2745" s="24"/>
      <c r="AT2745" s="24"/>
      <c r="AU2745" s="24"/>
      <c r="AV2745" s="24"/>
      <c r="AX2745" s="29"/>
    </row>
    <row r="2746" spans="2:50">
      <c r="B2746" s="19"/>
      <c r="K2746" s="21"/>
      <c r="T2746" s="28"/>
      <c r="AS2746" s="24"/>
      <c r="AT2746" s="24"/>
      <c r="AU2746" s="24"/>
      <c r="AV2746" s="24"/>
      <c r="AX2746" s="29"/>
    </row>
    <row r="2747" spans="2:50">
      <c r="B2747" s="19"/>
      <c r="K2747" s="21"/>
      <c r="T2747" s="28"/>
      <c r="AS2747" s="24"/>
      <c r="AT2747" s="24"/>
      <c r="AU2747" s="24"/>
      <c r="AV2747" s="24"/>
      <c r="AX2747" s="29"/>
    </row>
    <row r="2748" spans="2:50">
      <c r="B2748" s="19"/>
      <c r="K2748" s="21"/>
      <c r="T2748" s="28"/>
      <c r="AS2748" s="24"/>
      <c r="AT2748" s="24"/>
      <c r="AU2748" s="24"/>
      <c r="AV2748" s="24"/>
      <c r="AX2748" s="29"/>
    </row>
    <row r="2749" spans="2:50">
      <c r="B2749" s="19"/>
      <c r="K2749" s="21"/>
      <c r="T2749" s="28"/>
      <c r="AS2749" s="24"/>
      <c r="AT2749" s="24"/>
      <c r="AU2749" s="24"/>
      <c r="AV2749" s="24"/>
      <c r="AX2749" s="29"/>
    </row>
    <row r="2750" spans="2:50">
      <c r="B2750" s="19"/>
      <c r="K2750" s="21"/>
      <c r="T2750" s="28"/>
      <c r="AS2750" s="24"/>
      <c r="AT2750" s="24"/>
      <c r="AU2750" s="24"/>
      <c r="AV2750" s="24"/>
      <c r="AX2750" s="29"/>
    </row>
    <row r="2751" spans="2:50">
      <c r="B2751" s="19"/>
      <c r="K2751" s="21"/>
      <c r="T2751" s="28"/>
      <c r="AS2751" s="24"/>
      <c r="AT2751" s="24"/>
      <c r="AU2751" s="24"/>
      <c r="AV2751" s="24"/>
      <c r="AX2751" s="29"/>
    </row>
    <row r="2752" spans="2:50">
      <c r="B2752" s="19"/>
      <c r="K2752" s="21"/>
      <c r="T2752" s="28"/>
      <c r="AS2752" s="24"/>
      <c r="AT2752" s="24"/>
      <c r="AU2752" s="24"/>
      <c r="AV2752" s="24"/>
      <c r="AX2752" s="29"/>
    </row>
    <row r="2753" spans="1:58">
      <c r="B2753" s="19"/>
      <c r="K2753" s="21"/>
      <c r="T2753" s="28"/>
      <c r="AS2753" s="24"/>
      <c r="AT2753" s="24"/>
      <c r="AU2753" s="24"/>
      <c r="AV2753" s="24"/>
      <c r="AX2753" s="29"/>
    </row>
    <row r="2754" spans="1:58" s="34" customFormat="1">
      <c r="A2754" s="18"/>
      <c r="B2754" s="19"/>
      <c r="C2754" s="20"/>
      <c r="D2754" s="18"/>
      <c r="E2754" s="18"/>
      <c r="F2754" s="18"/>
      <c r="G2754" s="18"/>
      <c r="H2754" s="18"/>
      <c r="I2754" s="18"/>
      <c r="J2754" s="18"/>
      <c r="K2754" s="21"/>
      <c r="L2754" s="18"/>
      <c r="M2754" s="18"/>
      <c r="N2754" s="18"/>
      <c r="O2754" s="18"/>
      <c r="P2754" s="18"/>
      <c r="Q2754" s="23"/>
      <c r="R2754" s="23"/>
      <c r="S2754" s="24"/>
      <c r="T2754" s="28"/>
      <c r="U2754" s="18"/>
      <c r="V2754" s="18"/>
      <c r="W2754" s="18"/>
      <c r="X2754" s="20"/>
      <c r="Y2754" s="18"/>
      <c r="Z2754" s="18"/>
      <c r="AA2754" s="18"/>
      <c r="AB2754" s="18"/>
      <c r="AC2754" s="18"/>
      <c r="AD2754" s="18"/>
      <c r="AE2754" s="18"/>
      <c r="AF2754" s="18"/>
      <c r="AG2754" s="18"/>
      <c r="AH2754" s="18"/>
      <c r="AI2754" s="18"/>
      <c r="AJ2754" s="18"/>
      <c r="AK2754" s="18"/>
      <c r="AL2754" s="18"/>
      <c r="AM2754" s="18"/>
      <c r="AN2754" s="18"/>
      <c r="AO2754" s="18"/>
      <c r="AP2754" s="18"/>
      <c r="AQ2754" s="18"/>
      <c r="AR2754" s="18"/>
      <c r="AS2754" s="24"/>
      <c r="AT2754" s="24"/>
      <c r="AU2754" s="24"/>
      <c r="AV2754" s="24"/>
      <c r="AW2754" s="24"/>
      <c r="AX2754" s="29"/>
      <c r="AY2754" s="29"/>
      <c r="AZ2754" s="29"/>
      <c r="BA2754" s="24"/>
      <c r="BB2754" s="24"/>
      <c r="BC2754" s="24"/>
      <c r="BD2754" s="24"/>
      <c r="BE2754" s="24"/>
      <c r="BF2754" s="18"/>
    </row>
    <row r="2755" spans="1:58">
      <c r="B2755" s="19"/>
      <c r="K2755" s="21"/>
      <c r="T2755" s="28"/>
      <c r="AS2755" s="24"/>
      <c r="AT2755" s="24"/>
      <c r="AU2755" s="24"/>
      <c r="AV2755" s="24"/>
      <c r="AX2755" s="29"/>
    </row>
    <row r="2756" spans="1:58">
      <c r="B2756" s="19"/>
      <c r="K2756" s="21"/>
      <c r="T2756" s="28"/>
      <c r="AS2756" s="24"/>
      <c r="AT2756" s="24"/>
      <c r="AU2756" s="24"/>
      <c r="AV2756" s="24"/>
      <c r="AX2756" s="29"/>
    </row>
    <row r="2757" spans="1:58">
      <c r="B2757" s="19"/>
      <c r="K2757" s="21"/>
      <c r="T2757" s="28"/>
      <c r="AS2757" s="24"/>
      <c r="AT2757" s="24"/>
      <c r="AU2757" s="24"/>
      <c r="AV2757" s="24"/>
      <c r="AX2757" s="29"/>
    </row>
    <row r="2758" spans="1:58">
      <c r="B2758" s="19"/>
      <c r="K2758" s="21"/>
      <c r="T2758" s="28"/>
      <c r="AS2758" s="24"/>
      <c r="AT2758" s="24"/>
      <c r="AU2758" s="24"/>
      <c r="AV2758" s="24"/>
      <c r="AX2758" s="29"/>
    </row>
    <row r="2759" spans="1:58">
      <c r="B2759" s="19"/>
      <c r="K2759" s="21"/>
      <c r="T2759" s="28"/>
      <c r="AS2759" s="24"/>
      <c r="AT2759" s="24"/>
      <c r="AU2759" s="24"/>
      <c r="AV2759" s="24"/>
      <c r="AX2759" s="29"/>
    </row>
    <row r="2760" spans="1:58">
      <c r="B2760" s="19"/>
      <c r="K2760" s="21"/>
      <c r="T2760" s="28"/>
      <c r="AS2760" s="24"/>
      <c r="AT2760" s="24"/>
      <c r="AU2760" s="24"/>
      <c r="AV2760" s="24"/>
      <c r="AX2760" s="29"/>
    </row>
    <row r="2761" spans="1:58">
      <c r="B2761" s="19"/>
      <c r="K2761" s="21"/>
      <c r="T2761" s="28"/>
      <c r="AS2761" s="24"/>
      <c r="AT2761" s="24"/>
      <c r="AU2761" s="24"/>
      <c r="AV2761" s="24"/>
      <c r="AX2761" s="29"/>
    </row>
    <row r="2762" spans="1:58">
      <c r="A2762" s="34"/>
      <c r="B2762" s="37"/>
      <c r="C2762" s="38"/>
      <c r="D2762" s="34"/>
      <c r="E2762" s="34"/>
      <c r="F2762" s="34"/>
      <c r="G2762" s="34"/>
      <c r="H2762" s="34"/>
      <c r="J2762" s="34"/>
      <c r="K2762" s="39"/>
      <c r="L2762" s="34"/>
      <c r="N2762" s="34"/>
      <c r="O2762" s="34"/>
      <c r="P2762" s="34"/>
      <c r="Q2762" s="40"/>
      <c r="R2762" s="40"/>
      <c r="S2762" s="41"/>
      <c r="T2762" s="42"/>
      <c r="U2762" s="34"/>
      <c r="W2762" s="34"/>
      <c r="X2762" s="38"/>
      <c r="Y2762" s="34"/>
      <c r="Z2762" s="34"/>
      <c r="AD2762" s="34"/>
      <c r="AE2762" s="34"/>
      <c r="AF2762" s="34"/>
      <c r="AG2762" s="34"/>
      <c r="AH2762" s="34"/>
      <c r="AI2762" s="34"/>
      <c r="AJ2762" s="34"/>
      <c r="AK2762" s="34"/>
      <c r="AL2762" s="34"/>
      <c r="AM2762" s="34"/>
      <c r="AN2762" s="34"/>
      <c r="AO2762" s="34"/>
      <c r="AP2762" s="34"/>
      <c r="AQ2762" s="34"/>
      <c r="AR2762" s="34"/>
      <c r="AS2762" s="41"/>
      <c r="AT2762" s="41"/>
      <c r="AU2762" s="41"/>
      <c r="AV2762" s="41"/>
      <c r="AW2762" s="41"/>
      <c r="AX2762" s="43"/>
      <c r="BE2762" s="41"/>
    </row>
    <row r="2763" spans="1:58">
      <c r="B2763" s="19"/>
      <c r="K2763" s="21"/>
      <c r="T2763" s="28"/>
      <c r="AS2763" s="24"/>
      <c r="AT2763" s="24"/>
      <c r="AU2763" s="24"/>
      <c r="AV2763" s="24"/>
      <c r="AX2763" s="29"/>
    </row>
    <row r="2764" spans="1:58">
      <c r="B2764" s="19"/>
      <c r="K2764" s="21"/>
      <c r="T2764" s="28"/>
      <c r="AS2764" s="24"/>
      <c r="AT2764" s="24"/>
      <c r="AU2764" s="24"/>
      <c r="AV2764" s="24"/>
      <c r="AX2764" s="29"/>
    </row>
    <row r="2765" spans="1:58">
      <c r="B2765" s="19"/>
      <c r="K2765" s="21"/>
      <c r="T2765" s="28"/>
      <c r="AS2765" s="24"/>
      <c r="AT2765" s="24"/>
      <c r="AU2765" s="24"/>
      <c r="AV2765" s="24"/>
      <c r="AX2765" s="29"/>
    </row>
    <row r="2766" spans="1:58">
      <c r="B2766" s="30"/>
      <c r="K2766" s="21"/>
      <c r="T2766" s="28"/>
      <c r="AS2766" s="24"/>
      <c r="AT2766" s="24"/>
      <c r="AU2766" s="24"/>
      <c r="AV2766" s="24"/>
      <c r="AX2766" s="29"/>
    </row>
    <row r="2767" spans="1:58">
      <c r="B2767" s="19"/>
      <c r="K2767" s="21"/>
      <c r="T2767" s="28"/>
      <c r="AS2767" s="24"/>
      <c r="AT2767" s="24"/>
      <c r="AU2767" s="24"/>
      <c r="AV2767" s="24"/>
      <c r="AX2767" s="29"/>
    </row>
    <row r="2768" spans="1:58">
      <c r="B2768" s="19"/>
      <c r="K2768" s="21"/>
      <c r="T2768" s="28"/>
      <c r="AS2768" s="24"/>
      <c r="AT2768" s="24"/>
      <c r="AU2768" s="24"/>
      <c r="AV2768" s="24"/>
      <c r="AX2768" s="29"/>
    </row>
    <row r="2769" spans="1:58">
      <c r="B2769" s="19"/>
      <c r="K2769" s="21"/>
      <c r="T2769" s="28"/>
      <c r="AS2769" s="24"/>
      <c r="AT2769" s="24"/>
      <c r="AU2769" s="24"/>
      <c r="AV2769" s="24"/>
      <c r="AX2769" s="29"/>
    </row>
    <row r="2770" spans="1:58">
      <c r="B2770" s="19"/>
      <c r="K2770" s="21"/>
      <c r="T2770" s="28"/>
      <c r="AS2770" s="24"/>
      <c r="AT2770" s="24"/>
      <c r="AU2770" s="24"/>
      <c r="AV2770" s="24"/>
      <c r="AX2770" s="29"/>
    </row>
    <row r="2771" spans="1:58">
      <c r="B2771" s="19"/>
      <c r="K2771" s="21"/>
      <c r="T2771" s="28"/>
      <c r="AS2771" s="24"/>
      <c r="AT2771" s="24"/>
      <c r="AU2771" s="24"/>
      <c r="AV2771" s="24"/>
      <c r="AX2771" s="29"/>
    </row>
    <row r="2772" spans="1:58" s="34" customFormat="1">
      <c r="A2772" s="18"/>
      <c r="B2772" s="19"/>
      <c r="C2772" s="20"/>
      <c r="D2772" s="18"/>
      <c r="E2772" s="18"/>
      <c r="F2772" s="18"/>
      <c r="G2772" s="18"/>
      <c r="H2772" s="18"/>
      <c r="I2772" s="18"/>
      <c r="J2772" s="18"/>
      <c r="K2772" s="21"/>
      <c r="L2772" s="18"/>
      <c r="M2772" s="18"/>
      <c r="N2772" s="18"/>
      <c r="O2772" s="18"/>
      <c r="P2772" s="18"/>
      <c r="Q2772" s="23"/>
      <c r="R2772" s="23"/>
      <c r="S2772" s="24"/>
      <c r="T2772" s="28"/>
      <c r="U2772" s="18"/>
      <c r="V2772" s="18"/>
      <c r="W2772" s="18"/>
      <c r="X2772" s="20"/>
      <c r="Y2772" s="18"/>
      <c r="Z2772" s="18"/>
      <c r="AA2772" s="18"/>
      <c r="AB2772" s="18"/>
      <c r="AC2772" s="18"/>
      <c r="AD2772" s="18"/>
      <c r="AE2772" s="18"/>
      <c r="AF2772" s="18"/>
      <c r="AG2772" s="18"/>
      <c r="AH2772" s="18"/>
      <c r="AI2772" s="18"/>
      <c r="AJ2772" s="18"/>
      <c r="AK2772" s="18"/>
      <c r="AL2772" s="18"/>
      <c r="AM2772" s="18"/>
      <c r="AN2772" s="18"/>
      <c r="AO2772" s="18"/>
      <c r="AP2772" s="18"/>
      <c r="AQ2772" s="18"/>
      <c r="AR2772" s="18"/>
      <c r="AS2772" s="24"/>
      <c r="AT2772" s="24"/>
      <c r="AU2772" s="24"/>
      <c r="AV2772" s="24"/>
      <c r="AW2772" s="24"/>
      <c r="AX2772" s="29"/>
      <c r="AY2772" s="29"/>
      <c r="AZ2772" s="29"/>
      <c r="BA2772" s="24"/>
      <c r="BB2772" s="24"/>
      <c r="BC2772" s="24"/>
      <c r="BD2772" s="24"/>
      <c r="BE2772" s="24"/>
      <c r="BF2772" s="18"/>
    </row>
    <row r="2773" spans="1:58">
      <c r="B2773" s="19"/>
      <c r="K2773" s="21"/>
      <c r="T2773" s="28"/>
      <c r="AS2773" s="24"/>
      <c r="AT2773" s="24"/>
      <c r="AU2773" s="24"/>
      <c r="AV2773" s="24"/>
      <c r="AX2773" s="29"/>
    </row>
    <row r="2774" spans="1:58">
      <c r="B2774" s="19"/>
      <c r="K2774" s="21"/>
      <c r="T2774" s="28"/>
      <c r="AS2774" s="24"/>
      <c r="AT2774" s="24"/>
      <c r="AU2774" s="24"/>
      <c r="AV2774" s="24"/>
      <c r="AX2774" s="29"/>
    </row>
    <row r="2775" spans="1:58">
      <c r="B2775" s="19"/>
      <c r="K2775" s="21"/>
      <c r="T2775" s="28"/>
      <c r="AS2775" s="24"/>
      <c r="AT2775" s="24"/>
      <c r="AU2775" s="24"/>
      <c r="AV2775" s="24"/>
      <c r="AX2775" s="29"/>
    </row>
    <row r="2776" spans="1:58">
      <c r="B2776" s="19"/>
      <c r="K2776" s="21"/>
      <c r="T2776" s="28"/>
      <c r="AS2776" s="24"/>
      <c r="AT2776" s="24"/>
      <c r="AU2776" s="24"/>
      <c r="AV2776" s="24"/>
      <c r="AX2776" s="29"/>
    </row>
    <row r="2777" spans="1:58">
      <c r="B2777" s="19"/>
      <c r="K2777" s="21"/>
      <c r="T2777" s="28"/>
      <c r="AS2777" s="24"/>
      <c r="AT2777" s="24"/>
      <c r="AU2777" s="24"/>
      <c r="AV2777" s="24"/>
      <c r="AX2777" s="29"/>
    </row>
    <row r="2778" spans="1:58">
      <c r="B2778" s="19"/>
      <c r="K2778" s="21"/>
      <c r="T2778" s="28"/>
      <c r="AS2778" s="24"/>
      <c r="AT2778" s="24"/>
      <c r="AU2778" s="24"/>
      <c r="AV2778" s="24"/>
      <c r="AX2778" s="29"/>
    </row>
    <row r="2779" spans="1:58">
      <c r="B2779" s="19"/>
      <c r="K2779" s="21"/>
      <c r="T2779" s="28"/>
      <c r="AS2779" s="24"/>
      <c r="AT2779" s="24"/>
      <c r="AU2779" s="24"/>
      <c r="AV2779" s="24"/>
      <c r="AX2779" s="29"/>
    </row>
    <row r="2780" spans="1:58">
      <c r="B2780" s="19"/>
      <c r="K2780" s="21"/>
      <c r="T2780" s="28"/>
      <c r="AS2780" s="24"/>
      <c r="AT2780" s="24"/>
      <c r="AU2780" s="24"/>
      <c r="AV2780" s="24"/>
      <c r="AX2780" s="29"/>
    </row>
    <row r="2781" spans="1:58">
      <c r="B2781" s="19"/>
      <c r="K2781" s="21"/>
      <c r="T2781" s="28"/>
      <c r="AS2781" s="24"/>
      <c r="AT2781" s="24"/>
      <c r="AU2781" s="24"/>
      <c r="AV2781" s="24"/>
      <c r="AX2781" s="29"/>
    </row>
    <row r="2782" spans="1:58">
      <c r="B2782" s="19"/>
      <c r="K2782" s="21"/>
      <c r="T2782" s="28"/>
      <c r="AS2782" s="24"/>
      <c r="AT2782" s="24"/>
      <c r="AU2782" s="24"/>
      <c r="AV2782" s="24"/>
      <c r="AX2782" s="29"/>
    </row>
    <row r="2783" spans="1:58">
      <c r="B2783" s="19"/>
      <c r="K2783" s="21"/>
      <c r="T2783" s="28"/>
      <c r="AS2783" s="24"/>
      <c r="AT2783" s="24"/>
      <c r="AU2783" s="24"/>
      <c r="AV2783" s="24"/>
      <c r="AX2783" s="29"/>
    </row>
    <row r="2784" spans="1:58">
      <c r="A2784" s="34"/>
      <c r="B2784" s="37"/>
      <c r="G2784" s="34"/>
      <c r="J2784" s="34"/>
      <c r="K2784" s="39"/>
      <c r="L2784" s="34"/>
      <c r="N2784" s="34"/>
      <c r="O2784" s="34"/>
      <c r="P2784" s="34"/>
      <c r="Q2784" s="40"/>
      <c r="R2784" s="40"/>
      <c r="S2784" s="41"/>
      <c r="T2784" s="42"/>
      <c r="U2784" s="34"/>
      <c r="W2784" s="34"/>
      <c r="X2784" s="38"/>
      <c r="Y2784" s="22"/>
      <c r="Z2784" s="34"/>
      <c r="AD2784" s="34"/>
      <c r="AE2784" s="34"/>
      <c r="AF2784" s="34"/>
      <c r="AG2784" s="34"/>
      <c r="AH2784" s="34"/>
      <c r="AI2784" s="34"/>
      <c r="AJ2784" s="34"/>
      <c r="AK2784" s="34"/>
      <c r="AL2784" s="34"/>
      <c r="AM2784" s="34"/>
      <c r="AN2784" s="34"/>
      <c r="AO2784" s="34"/>
      <c r="AP2784" s="34"/>
      <c r="AQ2784" s="34"/>
      <c r="AR2784" s="34"/>
      <c r="AS2784" s="41"/>
      <c r="AT2784" s="41"/>
      <c r="AU2784" s="41"/>
      <c r="AV2784" s="41"/>
      <c r="AW2784" s="41"/>
      <c r="AX2784" s="29"/>
      <c r="BE2784" s="41"/>
    </row>
    <row r="2785" spans="2:50">
      <c r="B2785" s="19"/>
      <c r="K2785" s="21"/>
      <c r="T2785" s="28"/>
      <c r="AS2785" s="24"/>
      <c r="AT2785" s="24"/>
      <c r="AU2785" s="24"/>
      <c r="AV2785" s="24"/>
      <c r="AX2785" s="29"/>
    </row>
    <row r="2786" spans="2:50">
      <c r="B2786" s="19"/>
      <c r="K2786" s="21"/>
      <c r="T2786" s="28"/>
      <c r="AS2786" s="24"/>
      <c r="AT2786" s="24"/>
      <c r="AU2786" s="24"/>
      <c r="AV2786" s="24"/>
      <c r="AX2786" s="29"/>
    </row>
    <row r="2787" spans="2:50">
      <c r="B2787" s="19"/>
      <c r="K2787" s="21"/>
      <c r="T2787" s="28"/>
      <c r="AS2787" s="24"/>
      <c r="AT2787" s="24"/>
      <c r="AU2787" s="24"/>
      <c r="AV2787" s="24"/>
      <c r="AX2787" s="29"/>
    </row>
    <row r="2788" spans="2:50">
      <c r="B2788" s="19"/>
      <c r="K2788" s="21"/>
      <c r="T2788" s="28"/>
      <c r="AS2788" s="24"/>
      <c r="AT2788" s="24"/>
      <c r="AU2788" s="24"/>
      <c r="AV2788" s="24"/>
      <c r="AX2788" s="29"/>
    </row>
    <row r="2789" spans="2:50">
      <c r="B2789" s="19"/>
      <c r="K2789" s="21"/>
      <c r="T2789" s="28"/>
      <c r="AS2789" s="24"/>
      <c r="AT2789" s="24"/>
      <c r="AU2789" s="24"/>
      <c r="AV2789" s="24"/>
      <c r="AX2789" s="29"/>
    </row>
    <row r="2790" spans="2:50">
      <c r="B2790" s="19"/>
      <c r="K2790" s="21"/>
      <c r="T2790" s="28"/>
      <c r="AS2790" s="24"/>
      <c r="AT2790" s="24"/>
      <c r="AU2790" s="24"/>
      <c r="AV2790" s="24"/>
      <c r="AX2790" s="29"/>
    </row>
    <row r="2791" spans="2:50">
      <c r="B2791" s="19"/>
      <c r="K2791" s="21"/>
      <c r="T2791" s="28"/>
      <c r="AS2791" s="24"/>
      <c r="AT2791" s="24"/>
      <c r="AU2791" s="24"/>
      <c r="AV2791" s="24"/>
      <c r="AX2791" s="29"/>
    </row>
    <row r="2792" spans="2:50">
      <c r="B2792" s="19"/>
      <c r="K2792" s="21"/>
      <c r="T2792" s="28"/>
      <c r="AS2792" s="24"/>
      <c r="AT2792" s="24"/>
      <c r="AU2792" s="24"/>
      <c r="AV2792" s="24"/>
      <c r="AX2792" s="29"/>
    </row>
    <row r="2793" spans="2:50">
      <c r="B2793" s="19"/>
      <c r="K2793" s="21"/>
      <c r="T2793" s="28"/>
      <c r="AS2793" s="24"/>
      <c r="AT2793" s="24"/>
      <c r="AU2793" s="24"/>
      <c r="AV2793" s="24"/>
      <c r="AX2793" s="29"/>
    </row>
    <row r="2794" spans="2:50">
      <c r="B2794" s="19"/>
      <c r="K2794" s="21"/>
      <c r="T2794" s="28"/>
      <c r="AS2794" s="24"/>
      <c r="AT2794" s="24"/>
      <c r="AU2794" s="24"/>
      <c r="AV2794" s="24"/>
      <c r="AX2794" s="29"/>
    </row>
    <row r="2795" spans="2:50">
      <c r="B2795" s="19"/>
      <c r="K2795" s="21"/>
      <c r="T2795" s="28"/>
      <c r="AS2795" s="24"/>
      <c r="AT2795" s="24"/>
      <c r="AU2795" s="24"/>
      <c r="AV2795" s="24"/>
      <c r="AX2795" s="29"/>
    </row>
    <row r="2796" spans="2:50">
      <c r="B2796" s="19"/>
      <c r="K2796" s="21"/>
      <c r="T2796" s="28"/>
      <c r="AS2796" s="24"/>
      <c r="AT2796" s="24"/>
      <c r="AU2796" s="24"/>
      <c r="AV2796" s="24"/>
      <c r="AX2796" s="29"/>
    </row>
    <row r="2797" spans="2:50">
      <c r="B2797" s="19"/>
      <c r="K2797" s="21"/>
      <c r="T2797" s="28"/>
      <c r="AS2797" s="24"/>
      <c r="AT2797" s="24"/>
      <c r="AU2797" s="24"/>
      <c r="AV2797" s="24"/>
      <c r="AX2797" s="29"/>
    </row>
    <row r="2798" spans="2:50">
      <c r="B2798" s="19"/>
      <c r="K2798" s="21"/>
      <c r="T2798" s="28"/>
      <c r="AS2798" s="24"/>
      <c r="AT2798" s="24"/>
      <c r="AU2798" s="24"/>
      <c r="AV2798" s="24"/>
      <c r="AX2798" s="29"/>
    </row>
    <row r="2799" spans="2:50">
      <c r="B2799" s="19"/>
      <c r="K2799" s="21"/>
      <c r="T2799" s="28"/>
      <c r="AS2799" s="24"/>
      <c r="AT2799" s="24"/>
      <c r="AU2799" s="24"/>
      <c r="AV2799" s="24"/>
      <c r="AX2799" s="29"/>
    </row>
    <row r="2800" spans="2:50">
      <c r="B2800" s="19"/>
      <c r="K2800" s="21"/>
      <c r="T2800" s="28"/>
      <c r="AS2800" s="24"/>
      <c r="AT2800" s="24"/>
      <c r="AU2800" s="24"/>
      <c r="AV2800" s="24"/>
      <c r="AX2800" s="29"/>
    </row>
    <row r="2801" spans="2:50">
      <c r="B2801" s="19"/>
      <c r="K2801" s="21"/>
      <c r="T2801" s="28"/>
      <c r="AS2801" s="24"/>
      <c r="AT2801" s="24"/>
      <c r="AU2801" s="24"/>
      <c r="AV2801" s="24"/>
      <c r="AX2801" s="29"/>
    </row>
    <row r="2802" spans="2:50">
      <c r="B2802" s="19"/>
      <c r="K2802" s="21"/>
      <c r="T2802" s="28"/>
      <c r="AS2802" s="24"/>
      <c r="AT2802" s="24"/>
      <c r="AU2802" s="24"/>
      <c r="AV2802" s="24"/>
      <c r="AX2802" s="29"/>
    </row>
    <row r="2803" spans="2:50">
      <c r="B2803" s="19"/>
      <c r="K2803" s="21"/>
      <c r="T2803" s="28"/>
      <c r="AS2803" s="24"/>
      <c r="AT2803" s="24"/>
      <c r="AU2803" s="24"/>
      <c r="AV2803" s="24"/>
      <c r="AX2803" s="29"/>
    </row>
    <row r="2804" spans="2:50">
      <c r="B2804" s="19"/>
      <c r="K2804" s="21"/>
      <c r="T2804" s="28"/>
      <c r="AS2804" s="24"/>
      <c r="AT2804" s="24"/>
      <c r="AU2804" s="24"/>
      <c r="AV2804" s="24"/>
      <c r="AX2804" s="29"/>
    </row>
    <row r="2805" spans="2:50">
      <c r="B2805" s="19"/>
      <c r="K2805" s="21"/>
      <c r="T2805" s="28"/>
      <c r="AS2805" s="24"/>
      <c r="AT2805" s="24"/>
      <c r="AU2805" s="24"/>
      <c r="AV2805" s="24"/>
      <c r="AX2805" s="29"/>
    </row>
    <row r="2806" spans="2:50">
      <c r="B2806" s="30"/>
      <c r="K2806" s="21"/>
      <c r="T2806" s="28"/>
      <c r="AS2806" s="24"/>
      <c r="AT2806" s="24"/>
      <c r="AU2806" s="24"/>
      <c r="AV2806" s="24"/>
      <c r="AX2806" s="29"/>
    </row>
    <row r="2807" spans="2:50">
      <c r="B2807" s="19"/>
      <c r="K2807" s="21"/>
      <c r="T2807" s="28"/>
      <c r="AS2807" s="24"/>
      <c r="AT2807" s="24"/>
      <c r="AU2807" s="24"/>
      <c r="AV2807" s="24"/>
      <c r="AX2807" s="29"/>
    </row>
    <row r="2808" spans="2:50">
      <c r="B2808" s="19"/>
      <c r="K2808" s="21"/>
      <c r="T2808" s="28"/>
      <c r="AS2808" s="24"/>
      <c r="AT2808" s="24"/>
      <c r="AU2808" s="24"/>
      <c r="AV2808" s="24"/>
      <c r="AX2808" s="29"/>
    </row>
    <row r="2809" spans="2:50">
      <c r="B2809" s="19"/>
      <c r="K2809" s="21"/>
      <c r="T2809" s="28"/>
      <c r="AS2809" s="24"/>
      <c r="AT2809" s="24"/>
      <c r="AU2809" s="24"/>
      <c r="AV2809" s="24"/>
      <c r="AX2809" s="29"/>
    </row>
    <row r="2810" spans="2:50">
      <c r="B2810" s="19"/>
      <c r="K2810" s="21"/>
      <c r="T2810" s="28"/>
      <c r="AS2810" s="24"/>
      <c r="AT2810" s="24"/>
      <c r="AU2810" s="24"/>
      <c r="AV2810" s="24"/>
      <c r="AX2810" s="29"/>
    </row>
    <row r="2811" spans="2:50">
      <c r="B2811" s="19"/>
      <c r="G2811" s="31"/>
      <c r="K2811" s="21"/>
      <c r="T2811" s="28"/>
      <c r="AS2811" s="24"/>
      <c r="AT2811" s="24"/>
      <c r="AU2811" s="24"/>
      <c r="AV2811" s="24"/>
      <c r="AX2811" s="29"/>
    </row>
    <row r="2812" spans="2:50">
      <c r="B2812" s="19"/>
      <c r="K2812" s="21"/>
      <c r="T2812" s="28"/>
      <c r="AS2812" s="24"/>
      <c r="AT2812" s="24"/>
      <c r="AU2812" s="24"/>
      <c r="AV2812" s="24"/>
      <c r="AX2812" s="29"/>
    </row>
    <row r="2813" spans="2:50">
      <c r="B2813" s="19"/>
      <c r="K2813" s="21"/>
      <c r="T2813" s="28"/>
      <c r="AS2813" s="24"/>
      <c r="AT2813" s="24"/>
      <c r="AU2813" s="24"/>
      <c r="AV2813" s="24"/>
      <c r="AX2813" s="29"/>
    </row>
    <row r="2814" spans="2:50">
      <c r="B2814" s="19"/>
      <c r="K2814" s="21"/>
      <c r="T2814" s="28"/>
      <c r="AS2814" s="24"/>
      <c r="AT2814" s="24"/>
      <c r="AU2814" s="24"/>
      <c r="AV2814" s="24"/>
      <c r="AX2814" s="29"/>
    </row>
    <row r="2815" spans="2:50">
      <c r="B2815" s="19"/>
      <c r="K2815" s="21"/>
      <c r="T2815" s="28"/>
      <c r="AS2815" s="24"/>
      <c r="AT2815" s="24"/>
      <c r="AU2815" s="24"/>
      <c r="AV2815" s="24"/>
      <c r="AX2815" s="29"/>
    </row>
    <row r="2816" spans="2:50">
      <c r="B2816" s="19"/>
      <c r="K2816" s="21"/>
      <c r="T2816" s="28"/>
      <c r="AS2816" s="24"/>
      <c r="AT2816" s="24"/>
      <c r="AU2816" s="24"/>
      <c r="AV2816" s="24"/>
      <c r="AX2816" s="29"/>
    </row>
    <row r="2817" spans="2:50">
      <c r="B2817" s="19"/>
      <c r="K2817" s="21"/>
      <c r="T2817" s="28"/>
      <c r="AS2817" s="24"/>
      <c r="AT2817" s="24"/>
      <c r="AU2817" s="24"/>
      <c r="AV2817" s="24"/>
      <c r="AX2817" s="29"/>
    </row>
    <row r="2818" spans="2:50">
      <c r="B2818" s="19"/>
      <c r="K2818" s="21"/>
      <c r="T2818" s="28"/>
      <c r="AS2818" s="24"/>
      <c r="AT2818" s="24"/>
      <c r="AU2818" s="24"/>
      <c r="AV2818" s="24"/>
      <c r="AX2818" s="29"/>
    </row>
    <row r="2819" spans="2:50">
      <c r="B2819" s="19"/>
      <c r="K2819" s="21"/>
      <c r="T2819" s="28"/>
      <c r="AS2819" s="24"/>
      <c r="AT2819" s="24"/>
      <c r="AU2819" s="24"/>
      <c r="AV2819" s="24"/>
      <c r="AX2819" s="29"/>
    </row>
    <row r="2820" spans="2:50">
      <c r="B2820" s="19"/>
      <c r="K2820" s="21"/>
      <c r="T2820" s="28"/>
      <c r="AS2820" s="24"/>
      <c r="AT2820" s="24"/>
      <c r="AU2820" s="24"/>
      <c r="AV2820" s="24"/>
      <c r="AX2820" s="29"/>
    </row>
    <row r="2821" spans="2:50">
      <c r="B2821" s="19"/>
      <c r="K2821" s="21"/>
      <c r="T2821" s="28"/>
      <c r="AS2821" s="24"/>
      <c r="AT2821" s="24"/>
      <c r="AU2821" s="24"/>
      <c r="AV2821" s="24"/>
      <c r="AX2821" s="29"/>
    </row>
    <row r="2822" spans="2:50">
      <c r="B2822" s="19"/>
      <c r="K2822" s="21"/>
      <c r="T2822" s="28"/>
      <c r="AS2822" s="24"/>
      <c r="AT2822" s="24"/>
      <c r="AU2822" s="24"/>
      <c r="AV2822" s="24"/>
      <c r="AX2822" s="29"/>
    </row>
    <row r="2823" spans="2:50">
      <c r="B2823" s="19"/>
      <c r="K2823" s="21"/>
      <c r="T2823" s="28"/>
      <c r="AS2823" s="24"/>
      <c r="AT2823" s="24"/>
      <c r="AU2823" s="24"/>
      <c r="AV2823" s="24"/>
      <c r="AX2823" s="29"/>
    </row>
    <row r="2824" spans="2:50">
      <c r="B2824" s="19"/>
      <c r="K2824" s="21"/>
      <c r="T2824" s="28"/>
      <c r="AS2824" s="24"/>
      <c r="AT2824" s="24"/>
      <c r="AU2824" s="24"/>
      <c r="AV2824" s="24"/>
      <c r="AX2824" s="29"/>
    </row>
    <row r="2825" spans="2:50">
      <c r="B2825" s="19"/>
      <c r="K2825" s="21"/>
      <c r="T2825" s="28"/>
      <c r="AS2825" s="24"/>
      <c r="AT2825" s="24"/>
      <c r="AU2825" s="24"/>
      <c r="AV2825" s="24"/>
      <c r="AX2825" s="29"/>
    </row>
    <row r="2826" spans="2:50">
      <c r="B2826" s="19"/>
      <c r="K2826" s="21"/>
      <c r="T2826" s="28"/>
      <c r="AS2826" s="24"/>
      <c r="AT2826" s="24"/>
      <c r="AU2826" s="24"/>
      <c r="AV2826" s="24"/>
      <c r="AX2826" s="29"/>
    </row>
    <row r="2827" spans="2:50">
      <c r="B2827" s="19"/>
      <c r="K2827" s="21"/>
      <c r="T2827" s="28"/>
      <c r="AS2827" s="24"/>
      <c r="AT2827" s="24"/>
      <c r="AU2827" s="24"/>
      <c r="AV2827" s="24"/>
      <c r="AX2827" s="29"/>
    </row>
    <row r="2828" spans="2:50">
      <c r="B2828" s="30"/>
      <c r="K2828" s="21"/>
      <c r="T2828" s="28"/>
      <c r="AS2828" s="24"/>
      <c r="AT2828" s="24"/>
      <c r="AU2828" s="24"/>
      <c r="AV2828" s="24"/>
      <c r="AX2828" s="29"/>
    </row>
    <row r="2829" spans="2:50">
      <c r="B2829" s="19"/>
      <c r="K2829" s="21"/>
      <c r="T2829" s="28"/>
      <c r="AS2829" s="24"/>
      <c r="AT2829" s="24"/>
      <c r="AU2829" s="24"/>
      <c r="AV2829" s="24"/>
      <c r="AX2829" s="29"/>
    </row>
    <row r="2830" spans="2:50">
      <c r="B2830" s="19"/>
      <c r="K2830" s="21"/>
      <c r="T2830" s="28"/>
      <c r="W2830" s="20"/>
      <c r="AS2830" s="24"/>
      <c r="AT2830" s="24"/>
      <c r="AU2830" s="24"/>
      <c r="AV2830" s="24"/>
      <c r="AX2830" s="29"/>
    </row>
    <row r="2831" spans="2:50">
      <c r="B2831" s="19"/>
      <c r="K2831" s="21"/>
      <c r="T2831" s="28"/>
      <c r="AS2831" s="24"/>
      <c r="AT2831" s="24"/>
      <c r="AU2831" s="24"/>
      <c r="AV2831" s="24"/>
      <c r="AX2831" s="29"/>
    </row>
    <row r="2832" spans="2:50">
      <c r="B2832" s="19"/>
      <c r="K2832" s="21"/>
      <c r="T2832" s="28"/>
      <c r="AS2832" s="24"/>
      <c r="AT2832" s="24"/>
      <c r="AU2832" s="24"/>
      <c r="AV2832" s="24"/>
      <c r="AX2832" s="29"/>
    </row>
    <row r="2833" spans="2:50">
      <c r="B2833" s="19"/>
      <c r="K2833" s="21"/>
      <c r="T2833" s="28"/>
      <c r="AS2833" s="24"/>
      <c r="AT2833" s="24"/>
      <c r="AU2833" s="24"/>
      <c r="AV2833" s="24"/>
      <c r="AX2833" s="29"/>
    </row>
    <row r="2834" spans="2:50">
      <c r="B2834" s="19"/>
      <c r="K2834" s="21"/>
      <c r="T2834" s="28"/>
      <c r="AS2834" s="24"/>
      <c r="AT2834" s="24"/>
      <c r="AU2834" s="24"/>
      <c r="AV2834" s="24"/>
      <c r="AX2834" s="29"/>
    </row>
    <row r="2835" spans="2:50">
      <c r="B2835" s="19"/>
      <c r="K2835" s="21"/>
      <c r="T2835" s="28"/>
      <c r="AS2835" s="24"/>
      <c r="AT2835" s="24"/>
      <c r="AU2835" s="24"/>
      <c r="AV2835" s="24"/>
      <c r="AX2835" s="29"/>
    </row>
    <row r="2836" spans="2:50">
      <c r="B2836" s="19"/>
      <c r="K2836" s="21"/>
      <c r="T2836" s="28"/>
      <c r="AS2836" s="24"/>
      <c r="AT2836" s="24"/>
      <c r="AU2836" s="24"/>
      <c r="AV2836" s="24"/>
      <c r="AX2836" s="29"/>
    </row>
    <row r="2837" spans="2:50">
      <c r="B2837" s="19"/>
      <c r="K2837" s="21"/>
      <c r="T2837" s="28"/>
      <c r="AS2837" s="24"/>
      <c r="AT2837" s="24"/>
      <c r="AU2837" s="24"/>
      <c r="AV2837" s="24"/>
      <c r="AX2837" s="29"/>
    </row>
    <row r="2838" spans="2:50">
      <c r="B2838" s="19"/>
      <c r="K2838" s="21"/>
      <c r="T2838" s="28"/>
      <c r="AS2838" s="24"/>
      <c r="AT2838" s="24"/>
      <c r="AU2838" s="24"/>
      <c r="AV2838" s="24"/>
      <c r="AX2838" s="29"/>
    </row>
    <row r="2839" spans="2:50">
      <c r="B2839" s="19"/>
      <c r="K2839" s="21"/>
      <c r="T2839" s="28"/>
      <c r="AS2839" s="24"/>
      <c r="AT2839" s="24"/>
      <c r="AU2839" s="24"/>
      <c r="AV2839" s="24"/>
      <c r="AX2839" s="29"/>
    </row>
    <row r="2840" spans="2:50">
      <c r="B2840" s="19"/>
      <c r="K2840" s="21"/>
      <c r="T2840" s="28"/>
      <c r="AS2840" s="24"/>
      <c r="AT2840" s="24"/>
      <c r="AU2840" s="24"/>
      <c r="AV2840" s="24"/>
      <c r="AX2840" s="29"/>
    </row>
    <row r="2841" spans="2:50">
      <c r="B2841" s="19"/>
      <c r="K2841" s="21"/>
      <c r="T2841" s="28"/>
      <c r="AS2841" s="24"/>
      <c r="AT2841" s="24"/>
      <c r="AU2841" s="24"/>
      <c r="AV2841" s="24"/>
      <c r="AX2841" s="29"/>
    </row>
    <row r="2842" spans="2:50">
      <c r="B2842" s="19"/>
      <c r="K2842" s="21"/>
      <c r="T2842" s="28"/>
      <c r="AS2842" s="24"/>
      <c r="AT2842" s="24"/>
      <c r="AU2842" s="24"/>
      <c r="AV2842" s="24"/>
      <c r="AX2842" s="29"/>
    </row>
    <row r="2843" spans="2:50">
      <c r="B2843" s="19"/>
      <c r="K2843" s="21"/>
      <c r="T2843" s="28"/>
      <c r="AS2843" s="24"/>
      <c r="AT2843" s="24"/>
      <c r="AU2843" s="24"/>
      <c r="AV2843" s="24"/>
      <c r="AX2843" s="29"/>
    </row>
    <row r="2844" spans="2:50">
      <c r="B2844" s="19"/>
      <c r="K2844" s="21"/>
      <c r="T2844" s="28"/>
      <c r="AS2844" s="24"/>
      <c r="AT2844" s="24"/>
      <c r="AU2844" s="24"/>
      <c r="AV2844" s="24"/>
      <c r="AX2844" s="29"/>
    </row>
    <row r="2845" spans="2:50">
      <c r="B2845" s="19"/>
      <c r="K2845" s="21"/>
      <c r="T2845" s="28"/>
      <c r="AS2845" s="24"/>
      <c r="AT2845" s="24"/>
      <c r="AU2845" s="24"/>
      <c r="AV2845" s="24"/>
      <c r="AX2845" s="29"/>
    </row>
    <row r="2846" spans="2:50">
      <c r="B2846" s="19"/>
      <c r="K2846" s="21"/>
      <c r="T2846" s="28"/>
      <c r="AS2846" s="24"/>
      <c r="AT2846" s="24"/>
      <c r="AU2846" s="24"/>
      <c r="AV2846" s="24"/>
      <c r="AX2846" s="29"/>
    </row>
    <row r="2847" spans="2:50">
      <c r="B2847" s="19"/>
      <c r="K2847" s="21"/>
      <c r="T2847" s="28"/>
      <c r="AS2847" s="24"/>
      <c r="AT2847" s="24"/>
      <c r="AU2847" s="24"/>
      <c r="AV2847" s="24"/>
      <c r="AX2847" s="29"/>
    </row>
    <row r="2848" spans="2:50">
      <c r="B2848" s="19"/>
      <c r="K2848" s="21"/>
      <c r="T2848" s="28"/>
      <c r="AS2848" s="24"/>
      <c r="AT2848" s="24"/>
      <c r="AU2848" s="24"/>
      <c r="AV2848" s="24"/>
      <c r="AX2848" s="29"/>
    </row>
    <row r="2849" spans="2:50">
      <c r="B2849" s="19"/>
      <c r="K2849" s="21"/>
      <c r="T2849" s="28"/>
      <c r="AS2849" s="24"/>
      <c r="AT2849" s="24"/>
      <c r="AU2849" s="24"/>
      <c r="AV2849" s="24"/>
      <c r="AX2849" s="29"/>
    </row>
    <row r="2850" spans="2:50">
      <c r="B2850" s="19"/>
      <c r="K2850" s="21"/>
      <c r="T2850" s="28"/>
      <c r="AS2850" s="24"/>
      <c r="AT2850" s="24"/>
      <c r="AU2850" s="24"/>
      <c r="AV2850" s="24"/>
      <c r="AX2850" s="29"/>
    </row>
    <row r="2851" spans="2:50">
      <c r="B2851" s="19"/>
      <c r="K2851" s="21"/>
      <c r="T2851" s="28"/>
      <c r="W2851" s="20"/>
      <c r="AS2851" s="24"/>
      <c r="AT2851" s="24"/>
      <c r="AU2851" s="24"/>
      <c r="AV2851" s="24"/>
      <c r="AX2851" s="29"/>
    </row>
    <row r="2852" spans="2:50">
      <c r="B2852" s="19"/>
      <c r="K2852" s="21"/>
      <c r="T2852" s="28"/>
      <c r="AS2852" s="24"/>
      <c r="AT2852" s="24"/>
      <c r="AU2852" s="24"/>
      <c r="AV2852" s="24"/>
      <c r="AX2852" s="29"/>
    </row>
    <row r="2853" spans="2:50">
      <c r="B2853" s="19"/>
      <c r="K2853" s="21"/>
      <c r="T2853" s="28"/>
      <c r="W2853" s="20"/>
      <c r="AS2853" s="24"/>
      <c r="AT2853" s="24"/>
      <c r="AU2853" s="24"/>
      <c r="AV2853" s="24"/>
      <c r="AX2853" s="29"/>
    </row>
    <row r="2854" spans="2:50">
      <c r="B2854" s="19"/>
      <c r="K2854" s="21"/>
      <c r="T2854" s="28"/>
      <c r="AS2854" s="24"/>
      <c r="AT2854" s="24"/>
      <c r="AU2854" s="24"/>
      <c r="AV2854" s="24"/>
      <c r="AX2854" s="29"/>
    </row>
    <row r="2855" spans="2:50">
      <c r="B2855" s="19"/>
      <c r="K2855" s="21"/>
      <c r="T2855" s="28"/>
      <c r="AS2855" s="24"/>
      <c r="AT2855" s="24"/>
      <c r="AU2855" s="24"/>
      <c r="AV2855" s="24"/>
      <c r="AX2855" s="29"/>
    </row>
    <row r="2856" spans="2:50">
      <c r="B2856" s="19"/>
      <c r="K2856" s="21"/>
      <c r="T2856" s="28"/>
      <c r="AS2856" s="24"/>
      <c r="AT2856" s="24"/>
      <c r="AU2856" s="24"/>
      <c r="AV2856" s="24"/>
      <c r="AX2856" s="29"/>
    </row>
    <row r="2857" spans="2:50">
      <c r="B2857" s="19"/>
      <c r="K2857" s="21"/>
      <c r="T2857" s="28"/>
      <c r="AS2857" s="24"/>
      <c r="AT2857" s="24"/>
      <c r="AU2857" s="24"/>
      <c r="AV2857" s="24"/>
      <c r="AX2857" s="29"/>
    </row>
    <row r="2858" spans="2:50">
      <c r="B2858" s="19"/>
      <c r="K2858" s="21"/>
      <c r="T2858" s="28"/>
      <c r="AS2858" s="24"/>
      <c r="AT2858" s="24"/>
      <c r="AU2858" s="24"/>
      <c r="AV2858" s="24"/>
      <c r="AX2858" s="29"/>
    </row>
    <row r="2859" spans="2:50">
      <c r="B2859" s="19"/>
      <c r="K2859" s="21"/>
      <c r="T2859" s="28"/>
      <c r="AS2859" s="24"/>
      <c r="AT2859" s="24"/>
      <c r="AU2859" s="24"/>
      <c r="AV2859" s="24"/>
      <c r="AX2859" s="29"/>
    </row>
    <row r="2860" spans="2:50">
      <c r="B2860" s="19"/>
      <c r="K2860" s="21"/>
      <c r="T2860" s="28"/>
      <c r="AS2860" s="24"/>
      <c r="AT2860" s="24"/>
      <c r="AU2860" s="24"/>
      <c r="AV2860" s="24"/>
      <c r="AX2860" s="29"/>
    </row>
    <row r="2861" spans="2:50">
      <c r="B2861" s="19"/>
      <c r="K2861" s="21"/>
      <c r="T2861" s="28"/>
      <c r="AS2861" s="24"/>
      <c r="AT2861" s="24"/>
      <c r="AU2861" s="24"/>
      <c r="AV2861" s="24"/>
      <c r="AX2861" s="29"/>
    </row>
    <row r="2862" spans="2:50">
      <c r="B2862" s="19"/>
      <c r="K2862" s="21"/>
      <c r="T2862" s="28"/>
      <c r="AS2862" s="24"/>
      <c r="AT2862" s="24"/>
      <c r="AU2862" s="24"/>
      <c r="AV2862" s="24"/>
      <c r="AX2862" s="29"/>
    </row>
    <row r="2863" spans="2:50">
      <c r="B2863" s="19"/>
      <c r="K2863" s="21"/>
      <c r="T2863" s="28"/>
      <c r="AS2863" s="24"/>
      <c r="AT2863" s="24"/>
      <c r="AU2863" s="24"/>
      <c r="AV2863" s="24"/>
      <c r="AX2863" s="29"/>
    </row>
    <row r="2864" spans="2:50">
      <c r="B2864" s="19"/>
      <c r="K2864" s="21"/>
      <c r="T2864" s="28"/>
      <c r="AS2864" s="24"/>
      <c r="AT2864" s="24"/>
      <c r="AU2864" s="24"/>
      <c r="AV2864" s="24"/>
      <c r="AX2864" s="29"/>
    </row>
    <row r="2865" spans="2:50">
      <c r="B2865" s="19"/>
      <c r="K2865" s="21"/>
      <c r="T2865" s="28"/>
      <c r="AS2865" s="24"/>
      <c r="AT2865" s="24"/>
      <c r="AU2865" s="24"/>
      <c r="AV2865" s="24"/>
      <c r="AX2865" s="29"/>
    </row>
    <row r="2866" spans="2:50">
      <c r="B2866" s="19"/>
      <c r="K2866" s="21"/>
      <c r="T2866" s="28"/>
      <c r="AS2866" s="24"/>
      <c r="AT2866" s="24"/>
      <c r="AU2866" s="24"/>
      <c r="AV2866" s="24"/>
      <c r="AX2866" s="29"/>
    </row>
    <row r="2867" spans="2:50">
      <c r="B2867" s="19"/>
      <c r="K2867" s="21"/>
      <c r="T2867" s="28"/>
      <c r="AS2867" s="24"/>
      <c r="AT2867" s="24"/>
      <c r="AU2867" s="24"/>
      <c r="AV2867" s="24"/>
      <c r="AX2867" s="29"/>
    </row>
    <row r="2868" spans="2:50">
      <c r="B2868" s="19"/>
      <c r="K2868" s="21"/>
      <c r="T2868" s="28"/>
      <c r="AS2868" s="24"/>
      <c r="AT2868" s="24"/>
      <c r="AU2868" s="24"/>
      <c r="AV2868" s="24"/>
      <c r="AX2868" s="29"/>
    </row>
    <row r="2869" spans="2:50">
      <c r="B2869" s="19"/>
      <c r="K2869" s="21"/>
      <c r="T2869" s="28"/>
      <c r="AS2869" s="24"/>
      <c r="AT2869" s="24"/>
      <c r="AU2869" s="24"/>
      <c r="AV2869" s="24"/>
      <c r="AX2869" s="29"/>
    </row>
    <row r="2870" spans="2:50">
      <c r="B2870" s="19"/>
      <c r="K2870" s="21"/>
      <c r="T2870" s="28"/>
      <c r="AS2870" s="24"/>
      <c r="AT2870" s="24"/>
      <c r="AU2870" s="24"/>
      <c r="AV2870" s="24"/>
      <c r="AX2870" s="29"/>
    </row>
    <row r="2871" spans="2:50">
      <c r="B2871" s="19"/>
      <c r="K2871" s="21"/>
      <c r="T2871" s="28"/>
      <c r="AS2871" s="24"/>
      <c r="AT2871" s="24"/>
      <c r="AU2871" s="24"/>
      <c r="AV2871" s="24"/>
      <c r="AX2871" s="29"/>
    </row>
    <row r="2872" spans="2:50">
      <c r="B2872" s="19"/>
      <c r="K2872" s="21"/>
      <c r="T2872" s="28"/>
      <c r="AS2872" s="24"/>
      <c r="AT2872" s="24"/>
      <c r="AU2872" s="24"/>
      <c r="AV2872" s="24"/>
      <c r="AX2872" s="29"/>
    </row>
    <row r="2873" spans="2:50">
      <c r="B2873" s="19"/>
      <c r="K2873" s="21"/>
      <c r="T2873" s="28"/>
      <c r="AS2873" s="24"/>
      <c r="AT2873" s="24"/>
      <c r="AU2873" s="24"/>
      <c r="AV2873" s="24"/>
      <c r="AX2873" s="29"/>
    </row>
    <row r="2874" spans="2:50">
      <c r="B2874" s="19"/>
      <c r="K2874" s="21"/>
      <c r="T2874" s="28"/>
      <c r="AS2874" s="24"/>
      <c r="AT2874" s="24"/>
      <c r="AU2874" s="24"/>
      <c r="AV2874" s="24"/>
      <c r="AX2874" s="29"/>
    </row>
    <row r="2875" spans="2:50">
      <c r="B2875" s="19"/>
      <c r="K2875" s="21"/>
      <c r="T2875" s="28"/>
      <c r="AS2875" s="24"/>
      <c r="AT2875" s="24"/>
      <c r="AU2875" s="24"/>
      <c r="AV2875" s="24"/>
      <c r="AX2875" s="29"/>
    </row>
    <row r="2876" spans="2:50">
      <c r="B2876" s="19"/>
      <c r="K2876" s="21"/>
      <c r="T2876" s="28"/>
      <c r="AS2876" s="24"/>
      <c r="AT2876" s="24"/>
      <c r="AU2876" s="24"/>
      <c r="AV2876" s="24"/>
      <c r="AX2876" s="29"/>
    </row>
    <row r="2877" spans="2:50">
      <c r="B2877" s="19"/>
      <c r="K2877" s="21"/>
      <c r="T2877" s="28"/>
      <c r="AS2877" s="24"/>
      <c r="AT2877" s="24"/>
      <c r="AU2877" s="24"/>
      <c r="AV2877" s="24"/>
      <c r="AX2877" s="29"/>
    </row>
    <row r="2878" spans="2:50">
      <c r="B2878" s="19"/>
      <c r="K2878" s="21"/>
      <c r="T2878" s="28"/>
      <c r="AS2878" s="24"/>
      <c r="AT2878" s="24"/>
      <c r="AU2878" s="24"/>
      <c r="AV2878" s="24"/>
      <c r="AX2878" s="29"/>
    </row>
    <row r="2879" spans="2:50">
      <c r="B2879" s="19"/>
      <c r="K2879" s="21"/>
      <c r="T2879" s="28"/>
      <c r="AS2879" s="24"/>
      <c r="AT2879" s="24"/>
      <c r="AU2879" s="24"/>
      <c r="AV2879" s="24"/>
      <c r="AX2879" s="29"/>
    </row>
    <row r="2880" spans="2:50">
      <c r="B2880" s="19"/>
      <c r="K2880" s="21"/>
      <c r="T2880" s="28"/>
      <c r="AS2880" s="24"/>
      <c r="AT2880" s="24"/>
      <c r="AU2880" s="24"/>
      <c r="AV2880" s="24"/>
      <c r="AX2880" s="29"/>
    </row>
    <row r="2881" spans="2:50">
      <c r="B2881" s="19"/>
      <c r="K2881" s="21"/>
      <c r="T2881" s="28"/>
      <c r="AS2881" s="24"/>
      <c r="AT2881" s="24"/>
      <c r="AU2881" s="24"/>
      <c r="AV2881" s="24"/>
      <c r="AX2881" s="29"/>
    </row>
    <row r="2882" spans="2:50">
      <c r="B2882" s="19"/>
      <c r="K2882" s="21"/>
      <c r="T2882" s="28"/>
      <c r="AS2882" s="24"/>
      <c r="AT2882" s="24"/>
      <c r="AU2882" s="24"/>
      <c r="AV2882" s="24"/>
      <c r="AX2882" s="29"/>
    </row>
    <row r="2883" spans="2:50">
      <c r="B2883" s="19"/>
      <c r="K2883" s="21"/>
      <c r="T2883" s="28"/>
      <c r="AS2883" s="24"/>
      <c r="AT2883" s="24"/>
      <c r="AU2883" s="24"/>
      <c r="AV2883" s="24"/>
      <c r="AX2883" s="29"/>
    </row>
    <row r="2884" spans="2:50">
      <c r="B2884" s="19"/>
      <c r="K2884" s="21"/>
      <c r="T2884" s="28"/>
      <c r="AS2884" s="24"/>
      <c r="AT2884" s="24"/>
      <c r="AU2884" s="24"/>
      <c r="AV2884" s="24"/>
      <c r="AX2884" s="29"/>
    </row>
    <row r="2885" spans="2:50">
      <c r="B2885" s="19"/>
      <c r="K2885" s="21"/>
      <c r="T2885" s="28"/>
      <c r="AS2885" s="24"/>
      <c r="AT2885" s="24"/>
      <c r="AU2885" s="24"/>
      <c r="AV2885" s="24"/>
      <c r="AX2885" s="29"/>
    </row>
    <row r="2886" spans="2:50">
      <c r="B2886" s="19"/>
      <c r="K2886" s="21"/>
      <c r="T2886" s="28"/>
      <c r="AS2886" s="24"/>
      <c r="AT2886" s="24"/>
      <c r="AU2886" s="24"/>
      <c r="AV2886" s="24"/>
      <c r="AX2886" s="29"/>
    </row>
    <row r="2887" spans="2:50">
      <c r="B2887" s="19"/>
      <c r="K2887" s="21"/>
      <c r="T2887" s="28"/>
      <c r="AS2887" s="24"/>
      <c r="AT2887" s="24"/>
      <c r="AU2887" s="24"/>
      <c r="AV2887" s="24"/>
      <c r="AX2887" s="29"/>
    </row>
    <row r="2888" spans="2:50">
      <c r="B2888" s="19"/>
      <c r="K2888" s="21"/>
      <c r="T2888" s="28"/>
      <c r="AS2888" s="24"/>
      <c r="AT2888" s="24"/>
      <c r="AU2888" s="24"/>
      <c r="AV2888" s="24"/>
      <c r="AX2888" s="29"/>
    </row>
    <row r="2889" spans="2:50">
      <c r="B2889" s="19"/>
      <c r="K2889" s="21"/>
      <c r="T2889" s="28"/>
      <c r="AS2889" s="24"/>
      <c r="AT2889" s="24"/>
      <c r="AU2889" s="24"/>
      <c r="AV2889" s="24"/>
      <c r="AX2889" s="29"/>
    </row>
    <row r="2890" spans="2:50">
      <c r="B2890" s="19"/>
      <c r="K2890" s="21"/>
      <c r="T2890" s="28"/>
      <c r="AS2890" s="24"/>
      <c r="AT2890" s="24"/>
      <c r="AU2890" s="24"/>
      <c r="AV2890" s="24"/>
      <c r="AX2890" s="29"/>
    </row>
    <row r="2891" spans="2:50">
      <c r="B2891" s="19"/>
      <c r="K2891" s="21"/>
      <c r="T2891" s="28"/>
      <c r="AS2891" s="24"/>
      <c r="AT2891" s="24"/>
      <c r="AU2891" s="24"/>
      <c r="AV2891" s="24"/>
      <c r="AX2891" s="29"/>
    </row>
    <row r="2892" spans="2:50">
      <c r="B2892" s="19"/>
      <c r="K2892" s="21"/>
      <c r="T2892" s="28"/>
      <c r="AS2892" s="24"/>
      <c r="AT2892" s="24"/>
      <c r="AU2892" s="24"/>
      <c r="AV2892" s="24"/>
      <c r="AX2892" s="29"/>
    </row>
    <row r="2893" spans="2:50">
      <c r="B2893" s="19"/>
      <c r="K2893" s="21"/>
      <c r="T2893" s="28"/>
      <c r="AS2893" s="24"/>
      <c r="AT2893" s="24"/>
      <c r="AU2893" s="24"/>
      <c r="AV2893" s="24"/>
      <c r="AX2893" s="29"/>
    </row>
    <row r="2894" spans="2:50">
      <c r="B2894" s="19"/>
      <c r="K2894" s="21"/>
      <c r="T2894" s="28"/>
      <c r="AS2894" s="24"/>
      <c r="AT2894" s="24"/>
      <c r="AU2894" s="24"/>
      <c r="AV2894" s="24"/>
      <c r="AX2894" s="29"/>
    </row>
    <row r="2895" spans="2:50">
      <c r="B2895" s="19"/>
      <c r="K2895" s="21"/>
      <c r="T2895" s="28"/>
      <c r="AS2895" s="24"/>
      <c r="AT2895" s="24"/>
      <c r="AU2895" s="24"/>
      <c r="AV2895" s="24"/>
      <c r="AX2895" s="29"/>
    </row>
    <row r="2896" spans="2:50">
      <c r="B2896" s="19"/>
      <c r="K2896" s="21"/>
      <c r="T2896" s="28"/>
      <c r="AS2896" s="24"/>
      <c r="AT2896" s="24"/>
      <c r="AU2896" s="24"/>
      <c r="AV2896" s="24"/>
      <c r="AX2896" s="29"/>
    </row>
    <row r="2897" spans="2:50">
      <c r="B2897" s="19"/>
      <c r="K2897" s="21"/>
      <c r="T2897" s="28"/>
      <c r="AS2897" s="24"/>
      <c r="AT2897" s="24"/>
      <c r="AU2897" s="24"/>
      <c r="AV2897" s="24"/>
      <c r="AX2897" s="29"/>
    </row>
    <row r="2898" spans="2:50">
      <c r="B2898" s="19"/>
      <c r="K2898" s="21"/>
      <c r="T2898" s="28"/>
      <c r="AS2898" s="24"/>
      <c r="AT2898" s="24"/>
      <c r="AU2898" s="24"/>
      <c r="AV2898" s="24"/>
      <c r="AX2898" s="29"/>
    </row>
    <row r="2899" spans="2:50">
      <c r="B2899" s="19"/>
      <c r="K2899" s="21"/>
      <c r="T2899" s="28"/>
      <c r="AS2899" s="24"/>
      <c r="AT2899" s="24"/>
      <c r="AU2899" s="24"/>
      <c r="AV2899" s="24"/>
      <c r="AX2899" s="29"/>
    </row>
    <row r="2900" spans="2:50">
      <c r="B2900" s="19"/>
      <c r="K2900" s="21"/>
      <c r="T2900" s="28"/>
      <c r="AS2900" s="24"/>
      <c r="AT2900" s="24"/>
      <c r="AU2900" s="24"/>
      <c r="AV2900" s="24"/>
      <c r="AX2900" s="29"/>
    </row>
    <row r="2901" spans="2:50">
      <c r="B2901" s="19"/>
      <c r="K2901" s="21"/>
      <c r="T2901" s="28"/>
      <c r="AS2901" s="24"/>
      <c r="AT2901" s="24"/>
      <c r="AU2901" s="24"/>
      <c r="AV2901" s="24"/>
      <c r="AX2901" s="29"/>
    </row>
    <row r="2902" spans="2:50">
      <c r="B2902" s="19"/>
      <c r="K2902" s="21"/>
      <c r="T2902" s="28"/>
      <c r="AS2902" s="24"/>
      <c r="AT2902" s="24"/>
      <c r="AU2902" s="24"/>
      <c r="AV2902" s="24"/>
      <c r="AX2902" s="29"/>
    </row>
    <row r="2903" spans="2:50">
      <c r="B2903" s="19"/>
      <c r="K2903" s="21"/>
      <c r="T2903" s="28"/>
      <c r="AS2903" s="24"/>
      <c r="AT2903" s="24"/>
      <c r="AU2903" s="24"/>
      <c r="AV2903" s="24"/>
      <c r="AX2903" s="29"/>
    </row>
    <row r="2904" spans="2:50">
      <c r="B2904" s="19"/>
      <c r="K2904" s="21"/>
      <c r="T2904" s="28"/>
      <c r="AS2904" s="24"/>
      <c r="AT2904" s="24"/>
      <c r="AU2904" s="24"/>
      <c r="AV2904" s="24"/>
      <c r="AX2904" s="29"/>
    </row>
    <row r="2905" spans="2:50">
      <c r="B2905" s="19"/>
      <c r="K2905" s="21"/>
      <c r="T2905" s="28"/>
      <c r="AS2905" s="24"/>
      <c r="AT2905" s="24"/>
      <c r="AU2905" s="24"/>
      <c r="AV2905" s="24"/>
      <c r="AX2905" s="29"/>
    </row>
    <row r="2906" spans="2:50">
      <c r="B2906" s="19"/>
      <c r="K2906" s="21"/>
      <c r="T2906" s="28"/>
      <c r="AS2906" s="24"/>
      <c r="AT2906" s="24"/>
      <c r="AU2906" s="24"/>
      <c r="AV2906" s="24"/>
      <c r="AX2906" s="29"/>
    </row>
    <row r="2907" spans="2:50">
      <c r="B2907" s="19"/>
      <c r="K2907" s="21"/>
      <c r="T2907" s="28"/>
      <c r="AS2907" s="24"/>
      <c r="AT2907" s="24"/>
      <c r="AU2907" s="24"/>
      <c r="AV2907" s="24"/>
      <c r="AX2907" s="29"/>
    </row>
    <row r="2908" spans="2:50">
      <c r="B2908" s="19"/>
      <c r="K2908" s="21"/>
      <c r="T2908" s="28"/>
      <c r="AS2908" s="24"/>
      <c r="AT2908" s="24"/>
      <c r="AU2908" s="24"/>
      <c r="AV2908" s="24"/>
      <c r="AX2908" s="29"/>
    </row>
    <row r="2909" spans="2:50">
      <c r="B2909" s="19"/>
      <c r="K2909" s="21"/>
      <c r="T2909" s="28"/>
      <c r="AS2909" s="24"/>
      <c r="AT2909" s="24"/>
      <c r="AU2909" s="24"/>
      <c r="AV2909" s="24"/>
      <c r="AX2909" s="29"/>
    </row>
    <row r="2910" spans="2:50">
      <c r="B2910" s="19"/>
      <c r="K2910" s="21"/>
      <c r="T2910" s="28"/>
      <c r="AS2910" s="24"/>
      <c r="AT2910" s="24"/>
      <c r="AU2910" s="24"/>
      <c r="AV2910" s="24"/>
      <c r="AX2910" s="29"/>
    </row>
    <row r="2911" spans="2:50">
      <c r="B2911" s="19"/>
      <c r="K2911" s="21"/>
      <c r="T2911" s="28"/>
      <c r="AS2911" s="24"/>
      <c r="AT2911" s="24"/>
      <c r="AU2911" s="24"/>
      <c r="AV2911" s="24"/>
      <c r="AX2911" s="29"/>
    </row>
    <row r="2912" spans="2:50">
      <c r="B2912" s="19"/>
      <c r="K2912" s="21"/>
      <c r="T2912" s="28"/>
      <c r="AS2912" s="24"/>
      <c r="AT2912" s="24"/>
      <c r="AU2912" s="24"/>
      <c r="AV2912" s="24"/>
      <c r="AX2912" s="29"/>
    </row>
    <row r="2913" spans="2:50">
      <c r="B2913" s="19"/>
      <c r="K2913" s="21"/>
      <c r="T2913" s="28"/>
      <c r="AS2913" s="24"/>
      <c r="AT2913" s="24"/>
      <c r="AU2913" s="24"/>
      <c r="AV2913" s="24"/>
      <c r="AX2913" s="29"/>
    </row>
    <row r="2914" spans="2:50">
      <c r="B2914" s="19"/>
      <c r="K2914" s="21"/>
      <c r="T2914" s="28"/>
      <c r="AS2914" s="24"/>
      <c r="AT2914" s="24"/>
      <c r="AU2914" s="24"/>
      <c r="AV2914" s="24"/>
      <c r="AX2914" s="29"/>
    </row>
    <row r="2915" spans="2:50">
      <c r="B2915" s="19"/>
      <c r="K2915" s="21"/>
      <c r="T2915" s="28"/>
      <c r="AS2915" s="24"/>
      <c r="AT2915" s="24"/>
      <c r="AU2915" s="24"/>
      <c r="AV2915" s="24"/>
      <c r="AX2915" s="29"/>
    </row>
    <row r="2916" spans="2:50">
      <c r="B2916" s="19"/>
      <c r="K2916" s="21"/>
      <c r="T2916" s="28"/>
      <c r="AS2916" s="24"/>
      <c r="AT2916" s="24"/>
      <c r="AU2916" s="24"/>
      <c r="AV2916" s="24"/>
      <c r="AX2916" s="29"/>
    </row>
    <row r="2917" spans="2:50">
      <c r="B2917" s="19"/>
      <c r="K2917" s="21"/>
      <c r="T2917" s="28"/>
      <c r="AS2917" s="24"/>
      <c r="AT2917" s="24"/>
      <c r="AU2917" s="24"/>
      <c r="AV2917" s="24"/>
      <c r="AX2917" s="29"/>
    </row>
    <row r="2918" spans="2:50">
      <c r="B2918" s="19"/>
      <c r="K2918" s="21"/>
      <c r="T2918" s="28"/>
      <c r="AS2918" s="24"/>
      <c r="AT2918" s="24"/>
      <c r="AU2918" s="24"/>
      <c r="AV2918" s="24"/>
      <c r="AX2918" s="29"/>
    </row>
    <row r="2919" spans="2:50">
      <c r="B2919" s="19"/>
      <c r="K2919" s="21"/>
      <c r="T2919" s="28"/>
      <c r="AS2919" s="24"/>
      <c r="AT2919" s="24"/>
      <c r="AU2919" s="24"/>
      <c r="AV2919" s="24"/>
      <c r="AX2919" s="29"/>
    </row>
    <row r="2920" spans="2:50">
      <c r="B2920" s="19"/>
      <c r="K2920" s="21"/>
      <c r="T2920" s="28"/>
      <c r="AS2920" s="24"/>
      <c r="AT2920" s="24"/>
      <c r="AU2920" s="24"/>
      <c r="AV2920" s="24"/>
      <c r="AX2920" s="29"/>
    </row>
    <row r="2921" spans="2:50">
      <c r="B2921" s="19"/>
      <c r="K2921" s="21"/>
      <c r="T2921" s="28"/>
      <c r="AS2921" s="24"/>
      <c r="AT2921" s="24"/>
      <c r="AU2921" s="24"/>
      <c r="AV2921" s="24"/>
      <c r="AX2921" s="29"/>
    </row>
    <row r="2922" spans="2:50">
      <c r="B2922" s="19"/>
      <c r="K2922" s="21"/>
      <c r="T2922" s="28"/>
      <c r="AS2922" s="24"/>
      <c r="AT2922" s="24"/>
      <c r="AU2922" s="24"/>
      <c r="AV2922" s="24"/>
      <c r="AX2922" s="29"/>
    </row>
    <row r="2923" spans="2:50">
      <c r="B2923" s="19"/>
      <c r="K2923" s="21"/>
      <c r="T2923" s="28"/>
      <c r="AS2923" s="24"/>
      <c r="AT2923" s="24"/>
      <c r="AU2923" s="24"/>
      <c r="AV2923" s="24"/>
      <c r="AX2923" s="29"/>
    </row>
    <row r="2924" spans="2:50">
      <c r="B2924" s="19"/>
      <c r="K2924" s="21"/>
      <c r="T2924" s="28"/>
      <c r="AS2924" s="24"/>
      <c r="AT2924" s="24"/>
      <c r="AU2924" s="24"/>
      <c r="AV2924" s="24"/>
      <c r="AX2924" s="29"/>
    </row>
    <row r="2925" spans="2:50">
      <c r="B2925" s="19"/>
      <c r="K2925" s="21"/>
      <c r="T2925" s="28"/>
      <c r="AS2925" s="24"/>
      <c r="AT2925" s="24"/>
      <c r="AU2925" s="24"/>
      <c r="AV2925" s="24"/>
      <c r="AX2925" s="29"/>
    </row>
    <row r="2926" spans="2:50">
      <c r="B2926" s="19"/>
      <c r="K2926" s="21"/>
      <c r="T2926" s="28"/>
      <c r="AS2926" s="24"/>
      <c r="AT2926" s="24"/>
      <c r="AU2926" s="24"/>
      <c r="AV2926" s="24"/>
      <c r="AX2926" s="29"/>
    </row>
    <row r="2927" spans="2:50">
      <c r="B2927" s="19"/>
      <c r="K2927" s="21"/>
      <c r="T2927" s="28"/>
      <c r="AS2927" s="24"/>
      <c r="AT2927" s="24"/>
      <c r="AU2927" s="24"/>
      <c r="AV2927" s="24"/>
      <c r="AX2927" s="29"/>
    </row>
    <row r="2928" spans="2:50">
      <c r="B2928" s="19"/>
      <c r="K2928" s="21"/>
      <c r="T2928" s="28"/>
      <c r="AS2928" s="24"/>
      <c r="AT2928" s="24"/>
      <c r="AU2928" s="24"/>
      <c r="AV2928" s="24"/>
      <c r="AX2928" s="29"/>
    </row>
    <row r="2929" spans="2:50">
      <c r="B2929" s="19"/>
      <c r="K2929" s="21"/>
      <c r="T2929" s="28"/>
      <c r="AS2929" s="24"/>
      <c r="AT2929" s="24"/>
      <c r="AU2929" s="24"/>
      <c r="AV2929" s="24"/>
      <c r="AX2929" s="29"/>
    </row>
    <row r="2930" spans="2:50">
      <c r="B2930" s="19"/>
      <c r="K2930" s="21"/>
      <c r="T2930" s="28"/>
      <c r="AS2930" s="24"/>
      <c r="AT2930" s="24"/>
      <c r="AU2930" s="24"/>
      <c r="AV2930" s="24"/>
      <c r="AX2930" s="29"/>
    </row>
    <row r="2931" spans="2:50">
      <c r="B2931" s="19"/>
      <c r="K2931" s="21"/>
      <c r="T2931" s="28"/>
      <c r="AS2931" s="24"/>
      <c r="AT2931" s="24"/>
      <c r="AU2931" s="24"/>
      <c r="AV2931" s="24"/>
      <c r="AX2931" s="29"/>
    </row>
    <row r="2932" spans="2:50">
      <c r="B2932" s="19"/>
      <c r="K2932" s="21"/>
      <c r="T2932" s="28"/>
      <c r="AS2932" s="24"/>
      <c r="AT2932" s="24"/>
      <c r="AU2932" s="24"/>
      <c r="AV2932" s="24"/>
      <c r="AX2932" s="29"/>
    </row>
    <row r="2933" spans="2:50">
      <c r="B2933" s="19"/>
      <c r="K2933" s="21"/>
      <c r="T2933" s="28"/>
      <c r="AS2933" s="24"/>
      <c r="AT2933" s="24"/>
      <c r="AU2933" s="24"/>
      <c r="AV2933" s="24"/>
      <c r="AX2933" s="29"/>
    </row>
    <row r="2934" spans="2:50">
      <c r="B2934" s="19"/>
      <c r="K2934" s="21"/>
      <c r="T2934" s="28"/>
      <c r="AS2934" s="24"/>
      <c r="AT2934" s="24"/>
      <c r="AU2934" s="24"/>
      <c r="AV2934" s="24"/>
      <c r="AX2934" s="29"/>
    </row>
    <row r="2935" spans="2:50">
      <c r="B2935" s="19"/>
      <c r="K2935" s="21"/>
      <c r="T2935" s="28"/>
      <c r="AS2935" s="24"/>
      <c r="AT2935" s="24"/>
      <c r="AU2935" s="24"/>
      <c r="AV2935" s="24"/>
      <c r="AX2935" s="29"/>
    </row>
    <row r="2936" spans="2:50">
      <c r="B2936" s="19"/>
      <c r="K2936" s="21"/>
      <c r="T2936" s="28"/>
      <c r="AS2936" s="24"/>
      <c r="AT2936" s="24"/>
      <c r="AU2936" s="24"/>
      <c r="AV2936" s="24"/>
      <c r="AX2936" s="29"/>
    </row>
    <row r="2937" spans="2:50">
      <c r="B2937" s="19"/>
      <c r="K2937" s="21"/>
      <c r="T2937" s="28"/>
      <c r="AS2937" s="24"/>
      <c r="AT2937" s="24"/>
      <c r="AU2937" s="24"/>
      <c r="AV2937" s="24"/>
      <c r="AX2937" s="29"/>
    </row>
    <row r="2938" spans="2:50">
      <c r="B2938" s="19"/>
      <c r="K2938" s="21"/>
      <c r="T2938" s="28"/>
      <c r="AS2938" s="24"/>
      <c r="AT2938" s="24"/>
      <c r="AU2938" s="24"/>
      <c r="AV2938" s="24"/>
      <c r="AX2938" s="29"/>
    </row>
    <row r="2939" spans="2:50">
      <c r="B2939" s="19"/>
      <c r="K2939" s="21"/>
      <c r="T2939" s="28"/>
      <c r="AS2939" s="24"/>
      <c r="AT2939" s="24"/>
      <c r="AU2939" s="24"/>
      <c r="AV2939" s="24"/>
      <c r="AX2939" s="29"/>
    </row>
    <row r="2940" spans="2:50">
      <c r="B2940" s="19"/>
      <c r="K2940" s="21"/>
      <c r="T2940" s="28"/>
      <c r="AS2940" s="24"/>
      <c r="AT2940" s="24"/>
      <c r="AU2940" s="24"/>
      <c r="AV2940" s="24"/>
      <c r="AX2940" s="29"/>
    </row>
    <row r="2941" spans="2:50">
      <c r="B2941" s="19"/>
      <c r="K2941" s="21"/>
      <c r="T2941" s="28"/>
      <c r="AS2941" s="24"/>
      <c r="AT2941" s="24"/>
      <c r="AU2941" s="24"/>
      <c r="AV2941" s="24"/>
      <c r="AX2941" s="29"/>
    </row>
    <row r="2942" spans="2:50">
      <c r="B2942" s="19"/>
      <c r="K2942" s="21"/>
      <c r="T2942" s="28"/>
      <c r="AS2942" s="24"/>
      <c r="AT2942" s="24"/>
      <c r="AU2942" s="24"/>
      <c r="AV2942" s="24"/>
      <c r="AX2942" s="29"/>
    </row>
    <row r="2943" spans="2:50">
      <c r="B2943" s="19"/>
      <c r="K2943" s="21"/>
      <c r="T2943" s="28"/>
      <c r="AS2943" s="24"/>
      <c r="AT2943" s="24"/>
      <c r="AU2943" s="24"/>
      <c r="AV2943" s="24"/>
      <c r="AX2943" s="29"/>
    </row>
    <row r="2944" spans="2:50">
      <c r="B2944" s="19"/>
      <c r="K2944" s="21"/>
      <c r="T2944" s="28"/>
      <c r="AS2944" s="24"/>
      <c r="AT2944" s="24"/>
      <c r="AU2944" s="24"/>
      <c r="AV2944" s="24"/>
      <c r="AX2944" s="29"/>
    </row>
    <row r="2945" spans="2:50">
      <c r="B2945" s="19"/>
      <c r="K2945" s="21"/>
      <c r="T2945" s="28"/>
      <c r="AS2945" s="24"/>
      <c r="AT2945" s="24"/>
      <c r="AU2945" s="24"/>
      <c r="AV2945" s="24"/>
      <c r="AX2945" s="29"/>
    </row>
    <row r="2946" spans="2:50">
      <c r="B2946" s="19"/>
      <c r="K2946" s="21"/>
      <c r="T2946" s="28"/>
      <c r="AS2946" s="24"/>
      <c r="AT2946" s="24"/>
      <c r="AU2946" s="24"/>
      <c r="AV2946" s="24"/>
      <c r="AX2946" s="29"/>
    </row>
    <row r="2947" spans="2:50">
      <c r="B2947" s="30"/>
      <c r="K2947" s="21"/>
      <c r="T2947" s="28"/>
      <c r="AS2947" s="24"/>
      <c r="AT2947" s="24"/>
      <c r="AU2947" s="24"/>
      <c r="AV2947" s="24"/>
      <c r="AX2947" s="29"/>
    </row>
    <row r="2948" spans="2:50">
      <c r="B2948" s="19"/>
      <c r="K2948" s="21"/>
      <c r="T2948" s="28"/>
      <c r="AS2948" s="24"/>
      <c r="AT2948" s="24"/>
      <c r="AU2948" s="24"/>
      <c r="AV2948" s="24"/>
      <c r="AX2948" s="29"/>
    </row>
    <row r="2949" spans="2:50">
      <c r="B2949" s="19"/>
      <c r="K2949" s="21"/>
      <c r="T2949" s="28"/>
      <c r="AS2949" s="24"/>
      <c r="AT2949" s="24"/>
      <c r="AU2949" s="24"/>
      <c r="AV2949" s="24"/>
      <c r="AX2949" s="29"/>
    </row>
    <row r="2950" spans="2:50">
      <c r="B2950" s="19"/>
      <c r="K2950" s="21"/>
      <c r="T2950" s="28"/>
      <c r="AS2950" s="24"/>
      <c r="AT2950" s="24"/>
      <c r="AU2950" s="24"/>
      <c r="AV2950" s="24"/>
      <c r="AX2950" s="29"/>
    </row>
    <row r="2951" spans="2:50">
      <c r="B2951" s="19"/>
      <c r="K2951" s="21"/>
      <c r="T2951" s="28"/>
      <c r="AS2951" s="24"/>
      <c r="AT2951" s="24"/>
      <c r="AU2951" s="24"/>
      <c r="AV2951" s="24"/>
      <c r="AX2951" s="29"/>
    </row>
    <row r="2952" spans="2:50">
      <c r="B2952" s="19"/>
      <c r="K2952" s="21"/>
      <c r="T2952" s="28"/>
      <c r="AS2952" s="24"/>
      <c r="AT2952" s="24"/>
      <c r="AU2952" s="24"/>
      <c r="AV2952" s="24"/>
      <c r="AX2952" s="29"/>
    </row>
    <row r="2953" spans="2:50">
      <c r="B2953" s="19"/>
      <c r="K2953" s="21"/>
      <c r="T2953" s="28"/>
      <c r="AS2953" s="24"/>
      <c r="AT2953" s="24"/>
      <c r="AU2953" s="24"/>
      <c r="AV2953" s="24"/>
      <c r="AX2953" s="29"/>
    </row>
    <row r="2954" spans="2:50">
      <c r="B2954" s="19"/>
      <c r="K2954" s="21"/>
      <c r="T2954" s="28"/>
      <c r="AS2954" s="24"/>
      <c r="AT2954" s="24"/>
      <c r="AU2954" s="24"/>
      <c r="AV2954" s="24"/>
      <c r="AX2954" s="29"/>
    </row>
    <row r="2955" spans="2:50">
      <c r="B2955" s="19"/>
      <c r="K2955" s="21"/>
      <c r="T2955" s="28"/>
      <c r="AS2955" s="24"/>
      <c r="AT2955" s="24"/>
      <c r="AU2955" s="24"/>
      <c r="AV2955" s="24"/>
      <c r="AX2955" s="29"/>
    </row>
    <row r="2956" spans="2:50">
      <c r="B2956" s="19"/>
      <c r="K2956" s="21"/>
      <c r="T2956" s="28"/>
      <c r="AS2956" s="24"/>
      <c r="AT2956" s="24"/>
      <c r="AU2956" s="24"/>
      <c r="AV2956" s="24"/>
      <c r="AX2956" s="29"/>
    </row>
    <row r="2957" spans="2:50">
      <c r="B2957" s="19"/>
      <c r="K2957" s="21"/>
      <c r="T2957" s="28"/>
      <c r="AS2957" s="24"/>
      <c r="AT2957" s="24"/>
      <c r="AU2957" s="24"/>
      <c r="AV2957" s="24"/>
      <c r="AX2957" s="29"/>
    </row>
    <row r="2958" spans="2:50">
      <c r="B2958" s="19"/>
      <c r="K2958" s="21"/>
      <c r="T2958" s="28"/>
      <c r="AS2958" s="24"/>
      <c r="AT2958" s="24"/>
      <c r="AU2958" s="24"/>
      <c r="AV2958" s="24"/>
      <c r="AX2958" s="29"/>
    </row>
    <row r="2959" spans="2:50">
      <c r="B2959" s="19"/>
      <c r="K2959" s="21"/>
      <c r="T2959" s="28"/>
      <c r="AS2959" s="24"/>
      <c r="AT2959" s="24"/>
      <c r="AU2959" s="24"/>
      <c r="AV2959" s="24"/>
      <c r="AX2959" s="29"/>
    </row>
    <row r="2960" spans="2:50">
      <c r="B2960" s="19"/>
      <c r="K2960" s="21"/>
      <c r="T2960" s="28"/>
      <c r="AS2960" s="24"/>
      <c r="AT2960" s="24"/>
      <c r="AU2960" s="24"/>
      <c r="AV2960" s="24"/>
      <c r="AX2960" s="29"/>
    </row>
    <row r="2961" spans="2:50">
      <c r="B2961" s="19"/>
      <c r="K2961" s="21"/>
      <c r="T2961" s="28"/>
      <c r="AS2961" s="24"/>
      <c r="AT2961" s="24"/>
      <c r="AU2961" s="24"/>
      <c r="AV2961" s="24"/>
      <c r="AX2961" s="29"/>
    </row>
    <row r="2962" spans="2:50">
      <c r="B2962" s="19"/>
      <c r="K2962" s="21"/>
      <c r="T2962" s="28"/>
      <c r="AS2962" s="24"/>
      <c r="AT2962" s="24"/>
      <c r="AU2962" s="24"/>
      <c r="AV2962" s="24"/>
      <c r="AX2962" s="29"/>
    </row>
    <row r="2963" spans="2:50">
      <c r="B2963" s="19"/>
      <c r="K2963" s="21"/>
      <c r="T2963" s="28"/>
      <c r="AS2963" s="24"/>
      <c r="AT2963" s="24"/>
      <c r="AU2963" s="24"/>
      <c r="AV2963" s="24"/>
      <c r="AX2963" s="29"/>
    </row>
    <row r="2964" spans="2:50">
      <c r="B2964" s="19"/>
      <c r="K2964" s="21"/>
      <c r="T2964" s="28"/>
      <c r="AS2964" s="24"/>
      <c r="AT2964" s="24"/>
      <c r="AU2964" s="24"/>
      <c r="AV2964" s="24"/>
      <c r="AX2964" s="29"/>
    </row>
    <row r="2965" spans="2:50">
      <c r="B2965" s="19"/>
      <c r="K2965" s="21"/>
      <c r="T2965" s="28"/>
      <c r="AS2965" s="24"/>
      <c r="AT2965" s="24"/>
      <c r="AU2965" s="24"/>
      <c r="AV2965" s="24"/>
      <c r="AX2965" s="29"/>
    </row>
    <row r="2966" spans="2:50">
      <c r="B2966" s="19"/>
      <c r="K2966" s="21"/>
      <c r="T2966" s="28"/>
      <c r="AS2966" s="24"/>
      <c r="AT2966" s="24"/>
      <c r="AU2966" s="24"/>
      <c r="AV2966" s="24"/>
      <c r="AX2966" s="29"/>
    </row>
    <row r="2967" spans="2:50">
      <c r="B2967" s="19"/>
      <c r="K2967" s="21"/>
      <c r="T2967" s="28"/>
      <c r="AS2967" s="24"/>
      <c r="AT2967" s="24"/>
      <c r="AU2967" s="24"/>
      <c r="AV2967" s="24"/>
      <c r="AX2967" s="29"/>
    </row>
    <row r="2968" spans="2:50">
      <c r="B2968" s="19"/>
      <c r="K2968" s="21"/>
      <c r="T2968" s="28"/>
      <c r="AS2968" s="24"/>
      <c r="AT2968" s="24"/>
      <c r="AU2968" s="24"/>
      <c r="AV2968" s="24"/>
      <c r="AX2968" s="29"/>
    </row>
    <row r="2969" spans="2:50">
      <c r="B2969" s="19"/>
      <c r="K2969" s="21"/>
      <c r="T2969" s="28"/>
      <c r="AS2969" s="24"/>
      <c r="AT2969" s="24"/>
      <c r="AU2969" s="24"/>
      <c r="AV2969" s="24"/>
      <c r="AX2969" s="29"/>
    </row>
    <row r="2970" spans="2:50">
      <c r="B2970" s="19"/>
      <c r="K2970" s="21"/>
      <c r="T2970" s="28"/>
      <c r="AS2970" s="24"/>
      <c r="AT2970" s="24"/>
      <c r="AU2970" s="24"/>
      <c r="AV2970" s="24"/>
      <c r="AX2970" s="29"/>
    </row>
    <row r="2971" spans="2:50">
      <c r="B2971" s="19"/>
      <c r="K2971" s="21"/>
      <c r="T2971" s="28"/>
      <c r="AS2971" s="24"/>
      <c r="AT2971" s="24"/>
      <c r="AU2971" s="24"/>
      <c r="AV2971" s="24"/>
      <c r="AX2971" s="29"/>
    </row>
    <row r="2972" spans="2:50">
      <c r="B2972" s="19"/>
      <c r="K2972" s="21"/>
      <c r="T2972" s="28"/>
      <c r="AS2972" s="24"/>
      <c r="AT2972" s="24"/>
      <c r="AU2972" s="24"/>
      <c r="AV2972" s="24"/>
      <c r="AX2972" s="29"/>
    </row>
    <row r="2973" spans="2:50">
      <c r="B2973" s="19"/>
      <c r="K2973" s="21"/>
      <c r="T2973" s="28"/>
      <c r="AS2973" s="24"/>
      <c r="AT2973" s="24"/>
      <c r="AU2973" s="24"/>
      <c r="AV2973" s="24"/>
      <c r="AX2973" s="29"/>
    </row>
    <row r="2974" spans="2:50">
      <c r="B2974" s="19"/>
      <c r="K2974" s="21"/>
      <c r="T2974" s="28"/>
      <c r="AS2974" s="24"/>
      <c r="AT2974" s="24"/>
      <c r="AU2974" s="24"/>
      <c r="AV2974" s="24"/>
      <c r="AX2974" s="29"/>
    </row>
    <row r="2975" spans="2:50">
      <c r="B2975" s="19"/>
      <c r="K2975" s="21"/>
      <c r="T2975" s="28"/>
      <c r="AS2975" s="24"/>
      <c r="AT2975" s="24"/>
      <c r="AU2975" s="24"/>
      <c r="AV2975" s="24"/>
      <c r="AX2975" s="29"/>
    </row>
    <row r="2976" spans="2:50">
      <c r="B2976" s="19"/>
      <c r="K2976" s="21"/>
      <c r="T2976" s="28"/>
      <c r="AS2976" s="24"/>
      <c r="AT2976" s="24"/>
      <c r="AU2976" s="24"/>
      <c r="AV2976" s="24"/>
      <c r="AX2976" s="29"/>
    </row>
    <row r="2977" spans="2:50">
      <c r="B2977" s="19"/>
      <c r="K2977" s="21"/>
      <c r="T2977" s="28"/>
      <c r="AS2977" s="24"/>
      <c r="AT2977" s="24"/>
      <c r="AU2977" s="24"/>
      <c r="AV2977" s="24"/>
      <c r="AX2977" s="29"/>
    </row>
    <row r="2978" spans="2:50">
      <c r="B2978" s="19"/>
      <c r="K2978" s="21"/>
      <c r="T2978" s="28"/>
      <c r="AS2978" s="24"/>
      <c r="AT2978" s="24"/>
      <c r="AU2978" s="24"/>
      <c r="AV2978" s="24"/>
      <c r="AX2978" s="29"/>
    </row>
    <row r="2979" spans="2:50">
      <c r="B2979" s="19"/>
      <c r="K2979" s="21"/>
      <c r="T2979" s="28"/>
      <c r="AS2979" s="24"/>
      <c r="AT2979" s="24"/>
      <c r="AU2979" s="24"/>
      <c r="AV2979" s="24"/>
      <c r="AX2979" s="29"/>
    </row>
    <row r="2980" spans="2:50">
      <c r="B2980" s="19"/>
      <c r="K2980" s="21"/>
      <c r="T2980" s="28"/>
      <c r="AS2980" s="24"/>
      <c r="AT2980" s="24"/>
      <c r="AU2980" s="24"/>
      <c r="AV2980" s="24"/>
      <c r="AX2980" s="29"/>
    </row>
    <row r="2981" spans="2:50">
      <c r="B2981" s="19"/>
      <c r="K2981" s="21"/>
      <c r="T2981" s="28"/>
      <c r="AS2981" s="24"/>
      <c r="AT2981" s="24"/>
      <c r="AU2981" s="24"/>
      <c r="AV2981" s="24"/>
      <c r="AX2981" s="29"/>
    </row>
    <row r="2982" spans="2:50">
      <c r="B2982" s="19"/>
      <c r="K2982" s="21"/>
      <c r="T2982" s="28"/>
      <c r="AS2982" s="24"/>
      <c r="AT2982" s="24"/>
      <c r="AU2982" s="24"/>
      <c r="AV2982" s="24"/>
      <c r="AX2982" s="29"/>
    </row>
    <row r="2983" spans="2:50">
      <c r="B2983" s="19"/>
      <c r="K2983" s="21"/>
      <c r="T2983" s="28"/>
      <c r="AS2983" s="24"/>
      <c r="AT2983" s="24"/>
      <c r="AU2983" s="24"/>
      <c r="AV2983" s="24"/>
      <c r="AX2983" s="29"/>
    </row>
    <row r="2984" spans="2:50">
      <c r="B2984" s="19"/>
      <c r="K2984" s="21"/>
      <c r="T2984" s="28"/>
      <c r="AS2984" s="24"/>
      <c r="AT2984" s="24"/>
      <c r="AU2984" s="24"/>
      <c r="AV2984" s="24"/>
      <c r="AX2984" s="29"/>
    </row>
    <row r="2985" spans="2:50">
      <c r="B2985" s="19"/>
      <c r="K2985" s="21"/>
      <c r="T2985" s="28"/>
      <c r="AS2985" s="24"/>
      <c r="AT2985" s="24"/>
      <c r="AU2985" s="24"/>
      <c r="AV2985" s="24"/>
      <c r="AX2985" s="29"/>
    </row>
    <row r="2986" spans="2:50">
      <c r="B2986" s="19"/>
      <c r="K2986" s="21"/>
      <c r="T2986" s="28"/>
      <c r="AS2986" s="24"/>
      <c r="AT2986" s="24"/>
      <c r="AU2986" s="24"/>
      <c r="AV2986" s="24"/>
      <c r="AX2986" s="29"/>
    </row>
    <row r="2987" spans="2:50">
      <c r="B2987" s="19"/>
      <c r="K2987" s="21"/>
      <c r="T2987" s="28"/>
      <c r="AS2987" s="24"/>
      <c r="AT2987" s="24"/>
      <c r="AU2987" s="24"/>
      <c r="AV2987" s="24"/>
      <c r="AX2987" s="29"/>
    </row>
    <row r="2988" spans="2:50">
      <c r="B2988" s="19"/>
      <c r="K2988" s="21"/>
      <c r="T2988" s="28"/>
      <c r="AS2988" s="24"/>
      <c r="AT2988" s="24"/>
      <c r="AU2988" s="24"/>
      <c r="AV2988" s="24"/>
      <c r="AX2988" s="29"/>
    </row>
    <row r="2989" spans="2:50">
      <c r="B2989" s="19"/>
      <c r="K2989" s="21"/>
      <c r="T2989" s="28"/>
      <c r="AS2989" s="24"/>
      <c r="AT2989" s="24"/>
      <c r="AU2989" s="24"/>
      <c r="AV2989" s="24"/>
      <c r="AX2989" s="29"/>
    </row>
    <row r="2990" spans="2:50">
      <c r="B2990" s="19"/>
      <c r="K2990" s="21"/>
      <c r="T2990" s="28"/>
      <c r="AS2990" s="24"/>
      <c r="AT2990" s="24"/>
      <c r="AU2990" s="24"/>
      <c r="AV2990" s="24"/>
      <c r="AX2990" s="29"/>
    </row>
    <row r="2991" spans="2:50">
      <c r="B2991" s="19"/>
      <c r="K2991" s="21"/>
      <c r="T2991" s="28"/>
      <c r="AS2991" s="24"/>
      <c r="AT2991" s="24"/>
      <c r="AU2991" s="24"/>
      <c r="AV2991" s="24"/>
      <c r="AX2991" s="29"/>
    </row>
    <row r="2992" spans="2:50">
      <c r="B2992" s="19"/>
      <c r="K2992" s="21"/>
      <c r="T2992" s="28"/>
      <c r="AS2992" s="24"/>
      <c r="AT2992" s="24"/>
      <c r="AU2992" s="24"/>
      <c r="AV2992" s="24"/>
      <c r="AX2992" s="29"/>
    </row>
    <row r="2993" spans="2:50">
      <c r="B2993" s="19"/>
      <c r="K2993" s="21"/>
      <c r="T2993" s="28"/>
      <c r="AS2993" s="24"/>
      <c r="AT2993" s="24"/>
      <c r="AU2993" s="24"/>
      <c r="AV2993" s="24"/>
      <c r="AX2993" s="29"/>
    </row>
    <row r="2994" spans="2:50">
      <c r="B2994" s="19"/>
      <c r="K2994" s="21"/>
      <c r="T2994" s="28"/>
      <c r="AS2994" s="24"/>
      <c r="AT2994" s="24"/>
      <c r="AU2994" s="24"/>
      <c r="AV2994" s="24"/>
      <c r="AX2994" s="29"/>
    </row>
    <row r="2995" spans="2:50">
      <c r="B2995" s="19"/>
      <c r="K2995" s="21"/>
      <c r="T2995" s="28"/>
      <c r="AS2995" s="24"/>
      <c r="AT2995" s="24"/>
      <c r="AU2995" s="24"/>
      <c r="AV2995" s="24"/>
      <c r="AX2995" s="29"/>
    </row>
    <row r="2996" spans="2:50">
      <c r="B2996" s="19"/>
      <c r="K2996" s="21"/>
      <c r="T2996" s="28"/>
      <c r="AS2996" s="24"/>
      <c r="AT2996" s="24"/>
      <c r="AU2996" s="24"/>
      <c r="AV2996" s="24"/>
      <c r="AX2996" s="29"/>
    </row>
    <row r="2997" spans="2:50">
      <c r="B2997" s="19"/>
      <c r="K2997" s="21"/>
      <c r="T2997" s="28"/>
      <c r="AS2997" s="24"/>
      <c r="AT2997" s="24"/>
      <c r="AU2997" s="24"/>
      <c r="AV2997" s="24"/>
      <c r="AX2997" s="29"/>
    </row>
    <row r="2998" spans="2:50">
      <c r="B2998" s="19"/>
      <c r="K2998" s="21"/>
      <c r="T2998" s="28"/>
      <c r="AS2998" s="24"/>
      <c r="AT2998" s="24"/>
      <c r="AU2998" s="24"/>
      <c r="AV2998" s="24"/>
      <c r="AX2998" s="29"/>
    </row>
    <row r="2999" spans="2:50">
      <c r="B2999" s="19"/>
      <c r="K2999" s="21"/>
      <c r="T2999" s="28"/>
      <c r="AS2999" s="24"/>
      <c r="AT2999" s="24"/>
      <c r="AU2999" s="24"/>
      <c r="AV2999" s="24"/>
      <c r="AX2999" s="29"/>
    </row>
    <row r="3000" spans="2:50">
      <c r="B3000" s="19"/>
      <c r="K3000" s="21"/>
      <c r="T3000" s="28"/>
      <c r="AS3000" s="24"/>
      <c r="AT3000" s="24"/>
      <c r="AU3000" s="24"/>
      <c r="AV3000" s="24"/>
      <c r="AX3000" s="29"/>
    </row>
    <row r="3001" spans="2:50">
      <c r="B3001" s="19"/>
      <c r="K3001" s="21"/>
      <c r="T3001" s="28"/>
      <c r="AS3001" s="24"/>
      <c r="AT3001" s="24"/>
      <c r="AU3001" s="24"/>
      <c r="AV3001" s="24"/>
      <c r="AX3001" s="29"/>
    </row>
    <row r="3002" spans="2:50">
      <c r="B3002" s="19"/>
      <c r="K3002" s="21"/>
      <c r="T3002" s="28"/>
      <c r="AS3002" s="24"/>
      <c r="AT3002" s="24"/>
      <c r="AU3002" s="24"/>
      <c r="AV3002" s="24"/>
      <c r="AX3002" s="29"/>
    </row>
    <row r="3003" spans="2:50">
      <c r="B3003" s="19"/>
      <c r="K3003" s="21"/>
      <c r="T3003" s="28"/>
      <c r="AS3003" s="24"/>
      <c r="AT3003" s="24"/>
      <c r="AU3003" s="24"/>
      <c r="AV3003" s="24"/>
      <c r="AX3003" s="29"/>
    </row>
    <row r="3004" spans="2:50">
      <c r="B3004" s="19"/>
      <c r="K3004" s="21"/>
      <c r="T3004" s="28"/>
      <c r="AS3004" s="24"/>
      <c r="AT3004" s="24"/>
      <c r="AU3004" s="24"/>
      <c r="AV3004" s="24"/>
      <c r="AX3004" s="29"/>
    </row>
    <row r="3005" spans="2:50">
      <c r="B3005" s="19"/>
      <c r="K3005" s="21"/>
      <c r="T3005" s="28"/>
      <c r="AS3005" s="24"/>
      <c r="AT3005" s="24"/>
      <c r="AU3005" s="24"/>
      <c r="AV3005" s="24"/>
      <c r="AX3005" s="29"/>
    </row>
    <row r="3006" spans="2:50">
      <c r="B3006" s="19"/>
      <c r="K3006" s="21"/>
      <c r="T3006" s="28"/>
      <c r="AS3006" s="24"/>
      <c r="AT3006" s="24"/>
      <c r="AU3006" s="24"/>
      <c r="AV3006" s="24"/>
      <c r="AX3006" s="29"/>
    </row>
    <row r="3007" spans="2:50">
      <c r="B3007" s="19"/>
      <c r="K3007" s="21"/>
      <c r="T3007" s="28"/>
      <c r="AS3007" s="24"/>
      <c r="AT3007" s="24"/>
      <c r="AU3007" s="24"/>
      <c r="AV3007" s="24"/>
      <c r="AX3007" s="29"/>
    </row>
    <row r="3008" spans="2:50">
      <c r="B3008" s="19"/>
      <c r="K3008" s="21"/>
      <c r="T3008" s="28"/>
      <c r="AS3008" s="24"/>
      <c r="AT3008" s="24"/>
      <c r="AU3008" s="24"/>
      <c r="AV3008" s="24"/>
      <c r="AX3008" s="29"/>
    </row>
    <row r="3009" spans="2:50">
      <c r="B3009" s="19"/>
      <c r="K3009" s="21"/>
      <c r="T3009" s="28"/>
      <c r="AS3009" s="24"/>
      <c r="AT3009" s="24"/>
      <c r="AU3009" s="24"/>
      <c r="AV3009" s="24"/>
      <c r="AX3009" s="29"/>
    </row>
    <row r="3010" spans="2:50">
      <c r="B3010" s="19"/>
      <c r="K3010" s="21"/>
      <c r="T3010" s="28"/>
      <c r="AS3010" s="24"/>
      <c r="AT3010" s="24"/>
      <c r="AU3010" s="24"/>
      <c r="AV3010" s="24"/>
      <c r="AX3010" s="29"/>
    </row>
    <row r="3011" spans="2:50">
      <c r="B3011" s="19"/>
      <c r="K3011" s="21"/>
      <c r="T3011" s="28"/>
      <c r="AS3011" s="24"/>
      <c r="AT3011" s="24"/>
      <c r="AU3011" s="24"/>
      <c r="AV3011" s="24"/>
      <c r="AX3011" s="29"/>
    </row>
    <row r="3012" spans="2:50">
      <c r="B3012" s="19"/>
      <c r="K3012" s="21"/>
      <c r="T3012" s="28"/>
      <c r="AS3012" s="24"/>
      <c r="AT3012" s="24"/>
      <c r="AU3012" s="24"/>
      <c r="AV3012" s="24"/>
      <c r="AX3012" s="29"/>
    </row>
    <row r="3013" spans="2:50">
      <c r="B3013" s="19"/>
      <c r="K3013" s="21"/>
      <c r="T3013" s="28"/>
      <c r="AS3013" s="24"/>
      <c r="AT3013" s="24"/>
      <c r="AU3013" s="24"/>
      <c r="AV3013" s="24"/>
      <c r="AX3013" s="29"/>
    </row>
    <row r="3014" spans="2:50">
      <c r="B3014" s="19"/>
      <c r="K3014" s="21"/>
      <c r="T3014" s="28"/>
      <c r="AS3014" s="24"/>
      <c r="AT3014" s="24"/>
      <c r="AU3014" s="24"/>
      <c r="AV3014" s="24"/>
      <c r="AX3014" s="29"/>
    </row>
    <row r="3015" spans="2:50">
      <c r="B3015" s="19"/>
      <c r="K3015" s="21"/>
      <c r="T3015" s="28"/>
      <c r="AS3015" s="24"/>
      <c r="AT3015" s="24"/>
      <c r="AU3015" s="24"/>
      <c r="AV3015" s="24"/>
      <c r="AX3015" s="29"/>
    </row>
    <row r="3016" spans="2:50">
      <c r="B3016" s="19"/>
      <c r="K3016" s="21"/>
      <c r="T3016" s="28"/>
      <c r="AS3016" s="24"/>
      <c r="AT3016" s="24"/>
      <c r="AU3016" s="24"/>
      <c r="AV3016" s="24"/>
      <c r="AX3016" s="29"/>
    </row>
    <row r="3017" spans="2:50">
      <c r="B3017" s="19"/>
      <c r="K3017" s="21"/>
      <c r="T3017" s="28"/>
      <c r="AS3017" s="24"/>
      <c r="AT3017" s="24"/>
      <c r="AU3017" s="24"/>
      <c r="AV3017" s="24"/>
      <c r="AX3017" s="29"/>
    </row>
    <row r="3018" spans="2:50">
      <c r="B3018" s="19"/>
      <c r="K3018" s="21"/>
      <c r="T3018" s="28"/>
      <c r="AS3018" s="24"/>
      <c r="AT3018" s="24"/>
      <c r="AU3018" s="24"/>
      <c r="AV3018" s="24"/>
      <c r="AX3018" s="29"/>
    </row>
    <row r="3019" spans="2:50">
      <c r="B3019" s="19"/>
      <c r="K3019" s="21"/>
      <c r="T3019" s="28"/>
      <c r="AS3019" s="24"/>
      <c r="AT3019" s="24"/>
      <c r="AU3019" s="24"/>
      <c r="AV3019" s="24"/>
      <c r="AX3019" s="29"/>
    </row>
    <row r="3020" spans="2:50">
      <c r="B3020" s="19"/>
      <c r="K3020" s="21"/>
      <c r="T3020" s="28"/>
      <c r="AS3020" s="24"/>
      <c r="AT3020" s="24"/>
      <c r="AU3020" s="24"/>
      <c r="AV3020" s="24"/>
      <c r="AX3020" s="29"/>
    </row>
    <row r="3021" spans="2:50">
      <c r="B3021" s="19"/>
      <c r="K3021" s="21"/>
      <c r="T3021" s="28"/>
      <c r="AS3021" s="24"/>
      <c r="AT3021" s="24"/>
      <c r="AU3021" s="24"/>
      <c r="AV3021" s="24"/>
      <c r="AX3021" s="29"/>
    </row>
    <row r="3022" spans="2:50">
      <c r="B3022" s="19"/>
      <c r="K3022" s="21"/>
      <c r="T3022" s="28"/>
      <c r="AS3022" s="24"/>
      <c r="AT3022" s="24"/>
      <c r="AU3022" s="24"/>
      <c r="AV3022" s="24"/>
      <c r="AX3022" s="29"/>
    </row>
    <row r="3023" spans="2:50">
      <c r="B3023" s="19"/>
      <c r="K3023" s="21"/>
      <c r="T3023" s="28"/>
      <c r="AS3023" s="24"/>
      <c r="AT3023" s="24"/>
      <c r="AU3023" s="24"/>
      <c r="AV3023" s="24"/>
      <c r="AX3023" s="29"/>
    </row>
    <row r="3024" spans="2:50">
      <c r="B3024" s="30"/>
      <c r="K3024" s="21"/>
      <c r="T3024" s="28"/>
      <c r="AS3024" s="24"/>
      <c r="AT3024" s="24"/>
      <c r="AU3024" s="24"/>
      <c r="AV3024" s="24"/>
      <c r="AX3024" s="29"/>
    </row>
    <row r="3025" spans="2:50">
      <c r="B3025" s="19"/>
      <c r="K3025" s="21"/>
      <c r="T3025" s="28"/>
      <c r="AS3025" s="24"/>
      <c r="AT3025" s="24"/>
      <c r="AU3025" s="24"/>
      <c r="AV3025" s="24"/>
      <c r="AX3025" s="29"/>
    </row>
    <row r="3026" spans="2:50">
      <c r="B3026" s="19"/>
      <c r="K3026" s="21"/>
      <c r="T3026" s="28"/>
      <c r="AS3026" s="24"/>
      <c r="AT3026" s="24"/>
      <c r="AU3026" s="24"/>
      <c r="AV3026" s="24"/>
      <c r="AX3026" s="29"/>
    </row>
    <row r="3027" spans="2:50">
      <c r="B3027" s="19"/>
      <c r="K3027" s="21"/>
      <c r="T3027" s="28"/>
      <c r="AS3027" s="24"/>
      <c r="AT3027" s="24"/>
      <c r="AU3027" s="24"/>
      <c r="AV3027" s="24"/>
      <c r="AX3027" s="29"/>
    </row>
    <row r="3028" spans="2:50">
      <c r="B3028" s="19"/>
      <c r="K3028" s="21"/>
      <c r="T3028" s="28"/>
      <c r="AS3028" s="24"/>
      <c r="AT3028" s="24"/>
      <c r="AU3028" s="24"/>
      <c r="AV3028" s="24"/>
      <c r="AX3028" s="29"/>
    </row>
    <row r="3029" spans="2:50">
      <c r="B3029" s="19"/>
      <c r="K3029" s="21"/>
      <c r="T3029" s="28"/>
      <c r="AS3029" s="24"/>
      <c r="AT3029" s="24"/>
      <c r="AU3029" s="24"/>
      <c r="AV3029" s="24"/>
      <c r="AX3029" s="29"/>
    </row>
    <row r="3030" spans="2:50">
      <c r="B3030" s="19"/>
      <c r="K3030" s="21"/>
      <c r="T3030" s="28"/>
      <c r="AS3030" s="24"/>
      <c r="AT3030" s="24"/>
      <c r="AU3030" s="24"/>
      <c r="AV3030" s="24"/>
      <c r="AX3030" s="29"/>
    </row>
    <row r="3031" spans="2:50">
      <c r="B3031" s="19"/>
      <c r="K3031" s="21"/>
      <c r="T3031" s="28"/>
      <c r="AS3031" s="24"/>
      <c r="AT3031" s="24"/>
      <c r="AU3031" s="24"/>
      <c r="AV3031" s="24"/>
      <c r="AX3031" s="29"/>
    </row>
    <row r="3032" spans="2:50">
      <c r="B3032" s="19"/>
      <c r="K3032" s="21"/>
      <c r="T3032" s="28"/>
      <c r="AS3032" s="24"/>
      <c r="AT3032" s="24"/>
      <c r="AU3032" s="24"/>
      <c r="AV3032" s="24"/>
      <c r="AX3032" s="29"/>
    </row>
    <row r="3033" spans="2:50">
      <c r="B3033" s="19"/>
      <c r="K3033" s="21"/>
      <c r="T3033" s="28"/>
      <c r="AS3033" s="24"/>
      <c r="AT3033" s="24"/>
      <c r="AU3033" s="24"/>
      <c r="AV3033" s="24"/>
      <c r="AX3033" s="29"/>
    </row>
    <row r="3034" spans="2:50">
      <c r="B3034" s="19"/>
      <c r="K3034" s="21"/>
      <c r="T3034" s="28"/>
      <c r="AS3034" s="24"/>
      <c r="AT3034" s="24"/>
      <c r="AU3034" s="24"/>
      <c r="AV3034" s="24"/>
      <c r="AX3034" s="29"/>
    </row>
    <row r="3035" spans="2:50">
      <c r="B3035" s="19"/>
      <c r="K3035" s="21"/>
      <c r="T3035" s="28"/>
      <c r="AS3035" s="24"/>
      <c r="AT3035" s="24"/>
      <c r="AU3035" s="24"/>
      <c r="AV3035" s="24"/>
      <c r="AX3035" s="29"/>
    </row>
    <row r="3036" spans="2:50">
      <c r="B3036" s="19"/>
      <c r="K3036" s="21"/>
      <c r="T3036" s="28"/>
      <c r="AS3036" s="24"/>
      <c r="AT3036" s="24"/>
      <c r="AU3036" s="24"/>
      <c r="AV3036" s="24"/>
      <c r="AX3036" s="29"/>
    </row>
    <row r="3037" spans="2:50">
      <c r="B3037" s="19"/>
      <c r="K3037" s="21"/>
      <c r="T3037" s="28"/>
      <c r="AS3037" s="24"/>
      <c r="AT3037" s="24"/>
      <c r="AU3037" s="24"/>
      <c r="AV3037" s="24"/>
      <c r="AX3037" s="29"/>
    </row>
    <row r="3038" spans="2:50">
      <c r="B3038" s="19"/>
      <c r="K3038" s="21"/>
      <c r="T3038" s="28"/>
      <c r="AS3038" s="24"/>
      <c r="AT3038" s="24"/>
      <c r="AU3038" s="24"/>
      <c r="AV3038" s="24"/>
      <c r="AX3038" s="29"/>
    </row>
    <row r="3039" spans="2:50">
      <c r="B3039" s="19"/>
      <c r="K3039" s="21"/>
      <c r="T3039" s="28"/>
      <c r="AS3039" s="24"/>
      <c r="AT3039" s="24"/>
      <c r="AU3039" s="24"/>
      <c r="AV3039" s="24"/>
      <c r="AX3039" s="29"/>
    </row>
    <row r="3040" spans="2:50">
      <c r="B3040" s="19"/>
      <c r="K3040" s="21"/>
      <c r="T3040" s="28"/>
      <c r="AS3040" s="24"/>
      <c r="AT3040" s="24"/>
      <c r="AU3040" s="24"/>
      <c r="AV3040" s="24"/>
      <c r="AX3040" s="29"/>
    </row>
    <row r="3041" spans="2:50">
      <c r="B3041" s="19"/>
      <c r="K3041" s="21"/>
      <c r="T3041" s="28"/>
      <c r="AS3041" s="24"/>
      <c r="AT3041" s="24"/>
      <c r="AU3041" s="24"/>
      <c r="AV3041" s="24"/>
      <c r="AX3041" s="29"/>
    </row>
    <row r="3042" spans="2:50">
      <c r="B3042" s="19"/>
      <c r="K3042" s="21"/>
      <c r="T3042" s="28"/>
      <c r="AS3042" s="24"/>
      <c r="AT3042" s="24"/>
      <c r="AU3042" s="24"/>
      <c r="AV3042" s="24"/>
      <c r="AX3042" s="29"/>
    </row>
    <row r="3043" spans="2:50">
      <c r="B3043" s="19"/>
      <c r="K3043" s="21"/>
      <c r="T3043" s="28"/>
      <c r="AS3043" s="24"/>
      <c r="AT3043" s="24"/>
      <c r="AU3043" s="24"/>
      <c r="AV3043" s="24"/>
      <c r="AX3043" s="29"/>
    </row>
    <row r="3044" spans="2:50">
      <c r="B3044" s="19"/>
      <c r="K3044" s="21"/>
      <c r="T3044" s="28"/>
      <c r="AS3044" s="24"/>
      <c r="AT3044" s="24"/>
      <c r="AU3044" s="24"/>
      <c r="AV3044" s="24"/>
      <c r="AX3044" s="29"/>
    </row>
    <row r="3045" spans="2:50">
      <c r="B3045" s="19"/>
      <c r="K3045" s="21"/>
      <c r="T3045" s="28"/>
      <c r="AS3045" s="24"/>
      <c r="AT3045" s="24"/>
      <c r="AU3045" s="24"/>
      <c r="AV3045" s="24"/>
      <c r="AX3045" s="29"/>
    </row>
    <row r="3046" spans="2:50">
      <c r="B3046" s="19"/>
      <c r="K3046" s="21"/>
      <c r="T3046" s="28"/>
      <c r="AS3046" s="24"/>
      <c r="AT3046" s="24"/>
      <c r="AU3046" s="24"/>
      <c r="AV3046" s="24"/>
      <c r="AX3046" s="29"/>
    </row>
    <row r="3047" spans="2:50">
      <c r="B3047" s="19"/>
      <c r="K3047" s="21"/>
      <c r="T3047" s="28"/>
      <c r="AS3047" s="24"/>
      <c r="AT3047" s="24"/>
      <c r="AU3047" s="24"/>
      <c r="AV3047" s="24"/>
      <c r="AX3047" s="29"/>
    </row>
    <row r="3048" spans="2:50">
      <c r="B3048" s="19"/>
      <c r="K3048" s="21"/>
      <c r="T3048" s="28"/>
      <c r="AS3048" s="24"/>
      <c r="AT3048" s="24"/>
      <c r="AU3048" s="24"/>
      <c r="AV3048" s="24"/>
      <c r="AX3048" s="29"/>
    </row>
    <row r="3049" spans="2:50">
      <c r="B3049" s="19"/>
      <c r="K3049" s="21"/>
      <c r="T3049" s="28"/>
      <c r="AS3049" s="24"/>
      <c r="AT3049" s="24"/>
      <c r="AU3049" s="24"/>
      <c r="AV3049" s="24"/>
      <c r="AX3049" s="29"/>
    </row>
    <row r="3050" spans="2:50">
      <c r="B3050" s="19"/>
      <c r="K3050" s="21"/>
      <c r="T3050" s="28"/>
      <c r="AS3050" s="24"/>
      <c r="AT3050" s="24"/>
      <c r="AU3050" s="24"/>
      <c r="AV3050" s="24"/>
      <c r="AX3050" s="29"/>
    </row>
    <row r="3051" spans="2:50">
      <c r="B3051" s="19"/>
      <c r="K3051" s="21"/>
      <c r="T3051" s="28"/>
      <c r="AS3051" s="24"/>
      <c r="AT3051" s="24"/>
      <c r="AU3051" s="24"/>
      <c r="AV3051" s="24"/>
      <c r="AX3051" s="29"/>
    </row>
    <row r="3052" spans="2:50">
      <c r="B3052" s="19"/>
      <c r="K3052" s="21"/>
      <c r="T3052" s="28"/>
      <c r="AS3052" s="24"/>
      <c r="AT3052" s="24"/>
      <c r="AU3052" s="24"/>
      <c r="AV3052" s="24"/>
      <c r="AX3052" s="29"/>
    </row>
    <row r="3053" spans="2:50">
      <c r="B3053" s="19"/>
      <c r="K3053" s="21"/>
      <c r="T3053" s="28"/>
      <c r="AS3053" s="24"/>
      <c r="AT3053" s="24"/>
      <c r="AU3053" s="24"/>
      <c r="AV3053" s="24"/>
      <c r="AX3053" s="29"/>
    </row>
    <row r="3054" spans="2:50">
      <c r="B3054" s="19"/>
      <c r="K3054" s="21"/>
      <c r="T3054" s="28"/>
      <c r="AS3054" s="24"/>
      <c r="AT3054" s="24"/>
      <c r="AU3054" s="24"/>
      <c r="AV3054" s="24"/>
      <c r="AX3054" s="29"/>
    </row>
    <row r="3055" spans="2:50">
      <c r="B3055" s="19"/>
      <c r="K3055" s="21"/>
      <c r="T3055" s="28"/>
      <c r="AS3055" s="24"/>
      <c r="AT3055" s="24"/>
      <c r="AU3055" s="24"/>
      <c r="AV3055" s="24"/>
      <c r="AX3055" s="29"/>
    </row>
    <row r="3056" spans="2:50">
      <c r="B3056" s="19"/>
      <c r="K3056" s="21"/>
      <c r="T3056" s="28"/>
      <c r="AS3056" s="24"/>
      <c r="AT3056" s="24"/>
      <c r="AU3056" s="24"/>
      <c r="AV3056" s="24"/>
      <c r="AX3056" s="29"/>
    </row>
    <row r="3057" spans="2:50">
      <c r="B3057" s="19"/>
      <c r="K3057" s="21"/>
      <c r="T3057" s="28"/>
      <c r="AS3057" s="24"/>
      <c r="AT3057" s="24"/>
      <c r="AU3057" s="24"/>
      <c r="AV3057" s="24"/>
      <c r="AX3057" s="29"/>
    </row>
    <row r="3058" spans="2:50">
      <c r="B3058" s="19"/>
      <c r="K3058" s="21"/>
      <c r="T3058" s="28"/>
      <c r="AS3058" s="24"/>
      <c r="AT3058" s="24"/>
      <c r="AU3058" s="24"/>
      <c r="AV3058" s="24"/>
      <c r="AX3058" s="29"/>
    </row>
    <row r="3059" spans="2:50">
      <c r="B3059" s="19"/>
      <c r="K3059" s="21"/>
      <c r="T3059" s="28"/>
      <c r="AS3059" s="24"/>
      <c r="AT3059" s="24"/>
      <c r="AU3059" s="24"/>
      <c r="AV3059" s="24"/>
      <c r="AX3059" s="29"/>
    </row>
    <row r="3060" spans="2:50">
      <c r="B3060" s="19"/>
      <c r="K3060" s="21"/>
      <c r="T3060" s="28"/>
      <c r="AS3060" s="24"/>
      <c r="AT3060" s="24"/>
      <c r="AU3060" s="24"/>
      <c r="AV3060" s="24"/>
      <c r="AX3060" s="29"/>
    </row>
    <row r="3061" spans="2:50">
      <c r="B3061" s="19"/>
      <c r="K3061" s="21"/>
      <c r="T3061" s="28"/>
      <c r="AS3061" s="24"/>
      <c r="AT3061" s="24"/>
      <c r="AU3061" s="24"/>
      <c r="AV3061" s="24"/>
      <c r="AX3061" s="29"/>
    </row>
    <row r="3062" spans="2:50">
      <c r="B3062" s="19"/>
      <c r="K3062" s="21"/>
      <c r="T3062" s="28"/>
      <c r="AS3062" s="24"/>
      <c r="AT3062" s="24"/>
      <c r="AU3062" s="24"/>
      <c r="AV3062" s="24"/>
      <c r="AX3062" s="29"/>
    </row>
    <row r="3063" spans="2:50">
      <c r="B3063" s="19"/>
      <c r="K3063" s="21"/>
      <c r="T3063" s="28"/>
      <c r="AS3063" s="24"/>
      <c r="AT3063" s="24"/>
      <c r="AU3063" s="24"/>
      <c r="AV3063" s="24"/>
      <c r="AX3063" s="29"/>
    </row>
    <row r="3064" spans="2:50">
      <c r="B3064" s="19"/>
      <c r="K3064" s="21"/>
      <c r="T3064" s="28"/>
      <c r="AS3064" s="24"/>
      <c r="AT3064" s="24"/>
      <c r="AU3064" s="24"/>
      <c r="AV3064" s="24"/>
      <c r="AX3064" s="29"/>
    </row>
    <row r="3065" spans="2:50">
      <c r="B3065" s="19"/>
      <c r="K3065" s="21"/>
      <c r="T3065" s="28"/>
      <c r="AS3065" s="24"/>
      <c r="AT3065" s="24"/>
      <c r="AU3065" s="24"/>
      <c r="AV3065" s="24"/>
      <c r="AX3065" s="29"/>
    </row>
    <row r="3066" spans="2:50">
      <c r="B3066" s="19"/>
      <c r="K3066" s="21"/>
      <c r="T3066" s="28"/>
      <c r="AS3066" s="24"/>
      <c r="AT3066" s="24"/>
      <c r="AU3066" s="24"/>
      <c r="AV3066" s="24"/>
      <c r="AX3066" s="29"/>
    </row>
    <row r="3067" spans="2:50">
      <c r="B3067" s="19"/>
      <c r="K3067" s="21"/>
      <c r="T3067" s="28"/>
      <c r="AS3067" s="24"/>
      <c r="AT3067" s="24"/>
      <c r="AU3067" s="24"/>
      <c r="AV3067" s="24"/>
      <c r="AX3067" s="29"/>
    </row>
    <row r="3068" spans="2:50">
      <c r="B3068" s="19"/>
      <c r="K3068" s="21"/>
      <c r="T3068" s="28"/>
      <c r="AS3068" s="24"/>
      <c r="AT3068" s="24"/>
      <c r="AU3068" s="24"/>
      <c r="AV3068" s="24"/>
      <c r="AX3068" s="29"/>
    </row>
    <row r="3069" spans="2:50">
      <c r="B3069" s="19"/>
      <c r="K3069" s="21"/>
      <c r="T3069" s="28"/>
      <c r="AS3069" s="24"/>
      <c r="AT3069" s="24"/>
      <c r="AU3069" s="24"/>
      <c r="AV3069" s="24"/>
      <c r="AX3069" s="29"/>
    </row>
    <row r="3070" spans="2:50">
      <c r="B3070" s="19"/>
      <c r="K3070" s="21"/>
      <c r="T3070" s="28"/>
      <c r="AS3070" s="24"/>
      <c r="AT3070" s="24"/>
      <c r="AU3070" s="24"/>
      <c r="AV3070" s="24"/>
      <c r="AX3070" s="29"/>
    </row>
    <row r="3071" spans="2:50">
      <c r="B3071" s="19"/>
      <c r="K3071" s="21"/>
      <c r="T3071" s="28"/>
      <c r="AS3071" s="24"/>
      <c r="AT3071" s="24"/>
      <c r="AU3071" s="24"/>
      <c r="AV3071" s="24"/>
      <c r="AX3071" s="29"/>
    </row>
    <row r="3072" spans="2:50">
      <c r="B3072" s="19"/>
      <c r="K3072" s="21"/>
      <c r="T3072" s="28"/>
      <c r="AS3072" s="24"/>
      <c r="AT3072" s="24"/>
      <c r="AU3072" s="24"/>
      <c r="AV3072" s="24"/>
      <c r="AX3072" s="29"/>
    </row>
    <row r="3073" spans="2:50">
      <c r="B3073" s="19"/>
      <c r="K3073" s="21"/>
      <c r="T3073" s="28"/>
      <c r="AS3073" s="24"/>
      <c r="AT3073" s="24"/>
      <c r="AU3073" s="24"/>
      <c r="AV3073" s="24"/>
      <c r="AX3073" s="29"/>
    </row>
    <row r="3074" spans="2:50">
      <c r="B3074" s="19"/>
      <c r="K3074" s="21"/>
      <c r="T3074" s="28"/>
      <c r="AS3074" s="24"/>
      <c r="AT3074" s="24"/>
      <c r="AU3074" s="24"/>
      <c r="AV3074" s="24"/>
      <c r="AX3074" s="29"/>
    </row>
    <row r="3075" spans="2:50">
      <c r="B3075" s="19"/>
      <c r="K3075" s="21"/>
      <c r="T3075" s="28"/>
      <c r="AS3075" s="24"/>
      <c r="AT3075" s="24"/>
      <c r="AU3075" s="24"/>
      <c r="AV3075" s="24"/>
      <c r="AX3075" s="29"/>
    </row>
    <row r="3076" spans="2:50">
      <c r="B3076" s="19"/>
      <c r="K3076" s="21"/>
      <c r="T3076" s="28"/>
      <c r="AS3076" s="24"/>
      <c r="AT3076" s="24"/>
      <c r="AU3076" s="24"/>
      <c r="AV3076" s="24"/>
      <c r="AX3076" s="29"/>
    </row>
    <row r="3077" spans="2:50">
      <c r="B3077" s="19"/>
      <c r="K3077" s="21"/>
      <c r="T3077" s="28"/>
      <c r="AS3077" s="24"/>
      <c r="AT3077" s="24"/>
      <c r="AU3077" s="24"/>
      <c r="AV3077" s="24"/>
      <c r="AX3077" s="29"/>
    </row>
    <row r="3078" spans="2:50">
      <c r="B3078" s="19"/>
      <c r="K3078" s="21"/>
      <c r="T3078" s="28"/>
      <c r="AS3078" s="24"/>
      <c r="AT3078" s="24"/>
      <c r="AU3078" s="24"/>
      <c r="AV3078" s="24"/>
      <c r="AX3078" s="29"/>
    </row>
    <row r="3079" spans="2:50">
      <c r="B3079" s="19"/>
      <c r="K3079" s="21"/>
      <c r="T3079" s="28"/>
      <c r="AS3079" s="24"/>
      <c r="AT3079" s="24"/>
      <c r="AU3079" s="24"/>
      <c r="AV3079" s="24"/>
      <c r="AX3079" s="29"/>
    </row>
    <row r="3080" spans="2:50">
      <c r="B3080" s="19"/>
      <c r="K3080" s="21"/>
      <c r="T3080" s="28"/>
      <c r="AS3080" s="24"/>
      <c r="AT3080" s="24"/>
      <c r="AU3080" s="24"/>
      <c r="AV3080" s="24"/>
      <c r="AX3080" s="29"/>
    </row>
    <row r="3081" spans="2:50">
      <c r="B3081" s="19"/>
      <c r="K3081" s="21"/>
      <c r="T3081" s="28"/>
      <c r="AS3081" s="24"/>
      <c r="AT3081" s="24"/>
      <c r="AU3081" s="24"/>
      <c r="AV3081" s="24"/>
      <c r="AX3081" s="29"/>
    </row>
    <row r="3082" spans="2:50">
      <c r="B3082" s="19"/>
      <c r="K3082" s="21"/>
      <c r="T3082" s="28"/>
      <c r="AS3082" s="24"/>
      <c r="AT3082" s="24"/>
      <c r="AU3082" s="24"/>
      <c r="AV3082" s="24"/>
      <c r="AX3082" s="29"/>
    </row>
    <row r="3083" spans="2:50">
      <c r="B3083" s="19"/>
      <c r="K3083" s="21"/>
      <c r="T3083" s="28"/>
      <c r="AS3083" s="24"/>
      <c r="AT3083" s="24"/>
      <c r="AU3083" s="24"/>
      <c r="AV3083" s="24"/>
      <c r="AX3083" s="29"/>
    </row>
    <row r="3084" spans="2:50">
      <c r="B3084" s="19"/>
      <c r="K3084" s="21"/>
      <c r="T3084" s="28"/>
      <c r="AS3084" s="24"/>
      <c r="AT3084" s="24"/>
      <c r="AU3084" s="24"/>
      <c r="AV3084" s="24"/>
      <c r="AX3084" s="29"/>
    </row>
    <row r="3085" spans="2:50">
      <c r="B3085" s="19"/>
      <c r="K3085" s="21"/>
      <c r="T3085" s="28"/>
      <c r="AS3085" s="24"/>
      <c r="AT3085" s="24"/>
      <c r="AU3085" s="24"/>
      <c r="AV3085" s="24"/>
      <c r="AX3085" s="29"/>
    </row>
    <row r="3086" spans="2:50">
      <c r="B3086" s="19"/>
      <c r="K3086" s="21"/>
      <c r="T3086" s="28"/>
      <c r="AS3086" s="24"/>
      <c r="AT3086" s="24"/>
      <c r="AU3086" s="24"/>
      <c r="AV3086" s="24"/>
      <c r="AX3086" s="29"/>
    </row>
    <row r="3087" spans="2:50">
      <c r="B3087" s="19"/>
      <c r="K3087" s="21"/>
      <c r="T3087" s="28"/>
      <c r="AS3087" s="24"/>
      <c r="AT3087" s="24"/>
      <c r="AU3087" s="24"/>
      <c r="AV3087" s="24"/>
      <c r="AX3087" s="29"/>
    </row>
    <row r="3088" spans="2:50">
      <c r="B3088" s="19"/>
      <c r="K3088" s="21"/>
      <c r="T3088" s="28"/>
      <c r="AS3088" s="24"/>
      <c r="AT3088" s="24"/>
      <c r="AU3088" s="24"/>
      <c r="AV3088" s="24"/>
      <c r="AX3088" s="29"/>
    </row>
    <row r="3089" spans="2:50">
      <c r="B3089" s="19"/>
      <c r="K3089" s="21"/>
      <c r="T3089" s="28"/>
      <c r="AS3089" s="24"/>
      <c r="AT3089" s="24"/>
      <c r="AU3089" s="24"/>
      <c r="AV3089" s="24"/>
      <c r="AX3089" s="29"/>
    </row>
    <row r="3090" spans="2:50">
      <c r="B3090" s="19"/>
      <c r="K3090" s="21"/>
      <c r="T3090" s="28"/>
      <c r="AS3090" s="24"/>
      <c r="AT3090" s="24"/>
      <c r="AU3090" s="24"/>
      <c r="AV3090" s="24"/>
      <c r="AX3090" s="29"/>
    </row>
    <row r="3091" spans="2:50">
      <c r="B3091" s="19"/>
      <c r="K3091" s="21"/>
      <c r="T3091" s="28"/>
      <c r="AS3091" s="24"/>
      <c r="AT3091" s="24"/>
      <c r="AU3091" s="24"/>
      <c r="AV3091" s="24"/>
      <c r="AX3091" s="29"/>
    </row>
    <row r="3092" spans="2:50">
      <c r="B3092" s="19"/>
      <c r="K3092" s="21"/>
      <c r="T3092" s="28"/>
      <c r="AS3092" s="24"/>
      <c r="AT3092" s="24"/>
      <c r="AU3092" s="24"/>
      <c r="AV3092" s="24"/>
      <c r="AX3092" s="29"/>
    </row>
    <row r="3093" spans="2:50">
      <c r="B3093" s="19"/>
      <c r="K3093" s="21"/>
      <c r="T3093" s="28"/>
      <c r="AS3093" s="24"/>
      <c r="AT3093" s="24"/>
      <c r="AU3093" s="24"/>
      <c r="AV3093" s="24"/>
      <c r="AX3093" s="29"/>
    </row>
    <row r="3094" spans="2:50">
      <c r="B3094" s="19"/>
      <c r="K3094" s="21"/>
      <c r="T3094" s="28"/>
      <c r="AS3094" s="24"/>
      <c r="AT3094" s="24"/>
      <c r="AU3094" s="24"/>
      <c r="AV3094" s="24"/>
      <c r="AX3094" s="29"/>
    </row>
    <row r="3095" spans="2:50">
      <c r="B3095" s="19"/>
      <c r="K3095" s="21"/>
      <c r="T3095" s="28"/>
      <c r="AS3095" s="24"/>
      <c r="AT3095" s="24"/>
      <c r="AU3095" s="24"/>
      <c r="AV3095" s="24"/>
      <c r="AX3095" s="29"/>
    </row>
    <row r="3096" spans="2:50">
      <c r="B3096" s="19"/>
      <c r="K3096" s="21"/>
      <c r="T3096" s="28"/>
      <c r="AS3096" s="24"/>
      <c r="AT3096" s="24"/>
      <c r="AU3096" s="24"/>
      <c r="AV3096" s="24"/>
      <c r="AX3096" s="29"/>
    </row>
    <row r="3097" spans="2:50">
      <c r="B3097" s="19"/>
      <c r="K3097" s="21"/>
      <c r="T3097" s="28"/>
      <c r="AS3097" s="24"/>
      <c r="AT3097" s="24"/>
      <c r="AU3097" s="24"/>
      <c r="AV3097" s="24"/>
      <c r="AX3097" s="29"/>
    </row>
    <row r="3098" spans="2:50">
      <c r="B3098" s="19"/>
      <c r="K3098" s="21"/>
      <c r="T3098" s="28"/>
      <c r="AS3098" s="24"/>
      <c r="AT3098" s="24"/>
      <c r="AU3098" s="24"/>
      <c r="AV3098" s="24"/>
      <c r="AX3098" s="29"/>
    </row>
    <row r="3099" spans="2:50">
      <c r="B3099" s="19"/>
      <c r="K3099" s="21"/>
      <c r="T3099" s="28"/>
      <c r="AS3099" s="24"/>
      <c r="AT3099" s="24"/>
      <c r="AU3099" s="24"/>
      <c r="AV3099" s="24"/>
      <c r="AX3099" s="29"/>
    </row>
    <row r="3100" spans="2:50">
      <c r="B3100" s="19"/>
      <c r="K3100" s="21"/>
      <c r="T3100" s="28"/>
      <c r="AS3100" s="24"/>
      <c r="AT3100" s="24"/>
      <c r="AU3100" s="24"/>
      <c r="AV3100" s="24"/>
      <c r="AX3100" s="29"/>
    </row>
    <row r="3101" spans="2:50">
      <c r="B3101" s="19"/>
      <c r="K3101" s="21"/>
      <c r="T3101" s="28"/>
      <c r="AS3101" s="24"/>
      <c r="AT3101" s="24"/>
      <c r="AU3101" s="24"/>
      <c r="AV3101" s="24"/>
      <c r="AX3101" s="29"/>
    </row>
    <row r="3102" spans="2:50">
      <c r="B3102" s="19"/>
      <c r="K3102" s="21"/>
      <c r="T3102" s="28"/>
      <c r="AS3102" s="24"/>
      <c r="AT3102" s="24"/>
      <c r="AU3102" s="24"/>
      <c r="AV3102" s="24"/>
      <c r="AX3102" s="29"/>
    </row>
    <row r="3103" spans="2:50">
      <c r="B3103" s="19"/>
      <c r="K3103" s="21"/>
      <c r="T3103" s="28"/>
      <c r="AS3103" s="24"/>
      <c r="AT3103" s="24"/>
      <c r="AU3103" s="24"/>
      <c r="AV3103" s="24"/>
      <c r="AX3103" s="29"/>
    </row>
    <row r="3104" spans="2:50">
      <c r="B3104" s="19"/>
      <c r="K3104" s="21"/>
      <c r="T3104" s="28"/>
      <c r="AS3104" s="24"/>
      <c r="AT3104" s="24"/>
      <c r="AU3104" s="24"/>
      <c r="AV3104" s="24"/>
      <c r="AX3104" s="29"/>
    </row>
    <row r="3105" spans="2:50">
      <c r="B3105" s="19"/>
      <c r="K3105" s="21"/>
      <c r="T3105" s="28"/>
      <c r="AS3105" s="24"/>
      <c r="AT3105" s="24"/>
      <c r="AU3105" s="24"/>
      <c r="AV3105" s="24"/>
      <c r="AX3105" s="29"/>
    </row>
    <row r="3106" spans="2:50">
      <c r="B3106" s="30"/>
      <c r="K3106" s="21"/>
      <c r="T3106" s="28"/>
      <c r="AS3106" s="24"/>
      <c r="AT3106" s="24"/>
      <c r="AU3106" s="24"/>
      <c r="AV3106" s="24"/>
      <c r="AX3106" s="29"/>
    </row>
    <row r="3107" spans="2:50">
      <c r="B3107" s="19"/>
      <c r="K3107" s="21"/>
      <c r="T3107" s="28"/>
      <c r="AS3107" s="24"/>
      <c r="AT3107" s="24"/>
      <c r="AU3107" s="24"/>
      <c r="AV3107" s="24"/>
      <c r="AX3107" s="29"/>
    </row>
    <row r="3108" spans="2:50">
      <c r="B3108" s="19"/>
      <c r="K3108" s="21"/>
      <c r="T3108" s="28"/>
      <c r="AS3108" s="24"/>
      <c r="AT3108" s="24"/>
      <c r="AU3108" s="24"/>
      <c r="AV3108" s="24"/>
      <c r="AX3108" s="29"/>
    </row>
    <row r="3109" spans="2:50">
      <c r="B3109" s="19"/>
      <c r="K3109" s="21"/>
      <c r="T3109" s="28"/>
      <c r="AS3109" s="24"/>
      <c r="AT3109" s="24"/>
      <c r="AU3109" s="24"/>
      <c r="AV3109" s="24"/>
      <c r="AX3109" s="29"/>
    </row>
    <row r="3110" spans="2:50">
      <c r="B3110" s="19"/>
      <c r="K3110" s="21"/>
      <c r="T3110" s="28"/>
      <c r="AS3110" s="24"/>
      <c r="AT3110" s="24"/>
      <c r="AU3110" s="24"/>
      <c r="AV3110" s="24"/>
      <c r="AX3110" s="29"/>
    </row>
    <row r="3111" spans="2:50">
      <c r="B3111" s="19"/>
      <c r="K3111" s="21"/>
      <c r="T3111" s="28"/>
      <c r="AS3111" s="24"/>
      <c r="AT3111" s="24"/>
      <c r="AU3111" s="24"/>
      <c r="AV3111" s="24"/>
      <c r="AX3111" s="29"/>
    </row>
    <row r="3112" spans="2:50">
      <c r="B3112" s="19"/>
      <c r="K3112" s="21"/>
      <c r="T3112" s="28"/>
      <c r="AS3112" s="24"/>
      <c r="AT3112" s="24"/>
      <c r="AU3112" s="24"/>
      <c r="AV3112" s="24"/>
      <c r="AX3112" s="29"/>
    </row>
    <row r="3113" spans="2:50">
      <c r="B3113" s="19"/>
      <c r="K3113" s="21"/>
      <c r="T3113" s="28"/>
      <c r="AS3113" s="24"/>
      <c r="AT3113" s="24"/>
      <c r="AU3113" s="24"/>
      <c r="AV3113" s="24"/>
      <c r="AX3113" s="29"/>
    </row>
    <row r="3114" spans="2:50">
      <c r="B3114" s="19"/>
      <c r="K3114" s="21"/>
      <c r="T3114" s="28"/>
      <c r="AS3114" s="24"/>
      <c r="AT3114" s="24"/>
      <c r="AU3114" s="24"/>
      <c r="AV3114" s="24"/>
      <c r="AX3114" s="29"/>
    </row>
    <row r="3115" spans="2:50">
      <c r="B3115" s="19"/>
      <c r="K3115" s="21"/>
      <c r="T3115" s="28"/>
      <c r="AS3115" s="24"/>
      <c r="AT3115" s="24"/>
      <c r="AU3115" s="24"/>
      <c r="AV3115" s="24"/>
      <c r="AX3115" s="29"/>
    </row>
    <row r="3116" spans="2:50">
      <c r="B3116" s="19"/>
      <c r="K3116" s="21"/>
      <c r="T3116" s="28"/>
      <c r="AS3116" s="24"/>
      <c r="AT3116" s="24"/>
      <c r="AU3116" s="24"/>
      <c r="AV3116" s="24"/>
      <c r="AX3116" s="29"/>
    </row>
    <row r="3117" spans="2:50">
      <c r="B3117" s="19"/>
      <c r="K3117" s="21"/>
      <c r="T3117" s="28"/>
      <c r="AS3117" s="24"/>
      <c r="AT3117" s="24"/>
      <c r="AU3117" s="24"/>
      <c r="AV3117" s="24"/>
      <c r="AX3117" s="29"/>
    </row>
    <row r="3118" spans="2:50">
      <c r="B3118" s="19"/>
      <c r="K3118" s="21"/>
      <c r="T3118" s="28"/>
      <c r="AS3118" s="24"/>
      <c r="AT3118" s="24"/>
      <c r="AU3118" s="24"/>
      <c r="AV3118" s="24"/>
      <c r="AX3118" s="29"/>
    </row>
    <row r="3119" spans="2:50">
      <c r="B3119" s="19"/>
      <c r="K3119" s="21"/>
      <c r="T3119" s="28"/>
      <c r="AS3119" s="24"/>
      <c r="AT3119" s="24"/>
      <c r="AU3119" s="24"/>
      <c r="AV3119" s="24"/>
      <c r="AX3119" s="29"/>
    </row>
    <row r="3120" spans="2:50">
      <c r="B3120" s="19"/>
      <c r="K3120" s="21"/>
      <c r="T3120" s="28"/>
      <c r="AS3120" s="24"/>
      <c r="AT3120" s="24"/>
      <c r="AU3120" s="24"/>
      <c r="AV3120" s="24"/>
      <c r="AX3120" s="29"/>
    </row>
    <row r="3121" spans="2:50">
      <c r="B3121" s="19"/>
      <c r="K3121" s="21"/>
      <c r="T3121" s="28"/>
      <c r="AS3121" s="24"/>
      <c r="AT3121" s="24"/>
      <c r="AU3121" s="24"/>
      <c r="AV3121" s="24"/>
      <c r="AX3121" s="29"/>
    </row>
    <row r="3122" spans="2:50">
      <c r="B3122" s="19"/>
      <c r="K3122" s="21"/>
      <c r="T3122" s="28"/>
      <c r="AS3122" s="24"/>
      <c r="AT3122" s="24"/>
      <c r="AU3122" s="24"/>
      <c r="AV3122" s="24"/>
      <c r="AX3122" s="29"/>
    </row>
    <row r="3123" spans="2:50">
      <c r="B3123" s="19"/>
      <c r="K3123" s="21"/>
      <c r="T3123" s="28"/>
      <c r="AS3123" s="24"/>
      <c r="AT3123" s="24"/>
      <c r="AU3123" s="24"/>
      <c r="AV3123" s="24"/>
      <c r="AX3123" s="29"/>
    </row>
    <row r="3124" spans="2:50">
      <c r="B3124" s="19"/>
      <c r="K3124" s="21"/>
      <c r="T3124" s="28"/>
      <c r="AS3124" s="24"/>
      <c r="AT3124" s="24"/>
      <c r="AU3124" s="24"/>
      <c r="AV3124" s="24"/>
      <c r="AX3124" s="29"/>
    </row>
    <row r="3125" spans="2:50">
      <c r="B3125" s="19"/>
      <c r="K3125" s="21"/>
      <c r="T3125" s="28"/>
      <c r="AS3125" s="24"/>
      <c r="AT3125" s="24"/>
      <c r="AU3125" s="24"/>
      <c r="AV3125" s="24"/>
      <c r="AX3125" s="29"/>
    </row>
    <row r="3126" spans="2:50">
      <c r="B3126" s="19"/>
      <c r="K3126" s="21"/>
      <c r="T3126" s="28"/>
      <c r="AS3126" s="24"/>
      <c r="AT3126" s="24"/>
      <c r="AU3126" s="24"/>
      <c r="AV3126" s="24"/>
      <c r="AX3126" s="29"/>
    </row>
    <row r="3127" spans="2:50">
      <c r="B3127" s="19"/>
      <c r="K3127" s="21"/>
      <c r="T3127" s="28"/>
      <c r="AS3127" s="24"/>
      <c r="AT3127" s="24"/>
      <c r="AU3127" s="24"/>
      <c r="AV3127" s="24"/>
      <c r="AX3127" s="29"/>
    </row>
    <row r="3128" spans="2:50">
      <c r="B3128" s="19"/>
      <c r="K3128" s="21"/>
      <c r="T3128" s="28"/>
      <c r="AS3128" s="24"/>
      <c r="AT3128" s="24"/>
      <c r="AU3128" s="24"/>
      <c r="AV3128" s="24"/>
      <c r="AX3128" s="29"/>
    </row>
    <row r="3129" spans="2:50">
      <c r="B3129" s="19"/>
      <c r="K3129" s="21"/>
      <c r="T3129" s="28"/>
      <c r="AS3129" s="24"/>
      <c r="AT3129" s="24"/>
      <c r="AU3129" s="24"/>
      <c r="AV3129" s="24"/>
      <c r="AX3129" s="29"/>
    </row>
    <row r="3130" spans="2:50">
      <c r="B3130" s="19"/>
      <c r="K3130" s="21"/>
      <c r="T3130" s="28"/>
      <c r="AS3130" s="24"/>
      <c r="AT3130" s="24"/>
      <c r="AU3130" s="24"/>
      <c r="AV3130" s="24"/>
      <c r="AX3130" s="29"/>
    </row>
    <row r="3131" spans="2:50">
      <c r="B3131" s="19"/>
      <c r="K3131" s="21"/>
      <c r="T3131" s="28"/>
      <c r="AS3131" s="24"/>
      <c r="AT3131" s="24"/>
      <c r="AU3131" s="24"/>
      <c r="AV3131" s="24"/>
      <c r="AX3131" s="29"/>
    </row>
    <row r="3132" spans="2:50">
      <c r="B3132" s="19"/>
      <c r="K3132" s="21"/>
      <c r="T3132" s="28"/>
      <c r="AS3132" s="24"/>
      <c r="AT3132" s="24"/>
      <c r="AU3132" s="24"/>
      <c r="AV3132" s="24"/>
      <c r="AX3132" s="29"/>
    </row>
    <row r="3133" spans="2:50">
      <c r="B3133" s="19"/>
      <c r="K3133" s="21"/>
      <c r="T3133" s="28"/>
      <c r="AS3133" s="24"/>
      <c r="AT3133" s="24"/>
      <c r="AU3133" s="24"/>
      <c r="AV3133" s="24"/>
      <c r="AX3133" s="29"/>
    </row>
    <row r="3134" spans="2:50">
      <c r="B3134" s="19"/>
      <c r="K3134" s="21"/>
      <c r="T3134" s="28"/>
      <c r="AS3134" s="24"/>
      <c r="AT3134" s="24"/>
      <c r="AU3134" s="24"/>
      <c r="AV3134" s="24"/>
      <c r="AX3134" s="29"/>
    </row>
    <row r="3135" spans="2:50">
      <c r="B3135" s="19"/>
      <c r="K3135" s="21"/>
      <c r="T3135" s="28"/>
      <c r="AS3135" s="24"/>
      <c r="AT3135" s="24"/>
      <c r="AU3135" s="24"/>
      <c r="AV3135" s="24"/>
      <c r="AX3135" s="29"/>
    </row>
    <row r="3136" spans="2:50">
      <c r="B3136" s="19"/>
      <c r="K3136" s="21"/>
      <c r="T3136" s="28"/>
      <c r="AS3136" s="24"/>
      <c r="AT3136" s="24"/>
      <c r="AU3136" s="24"/>
      <c r="AV3136" s="24"/>
      <c r="AX3136" s="29"/>
    </row>
    <row r="3137" spans="2:50">
      <c r="B3137" s="19"/>
      <c r="K3137" s="21"/>
      <c r="T3137" s="28"/>
      <c r="AS3137" s="24"/>
      <c r="AT3137" s="24"/>
      <c r="AU3137" s="24"/>
      <c r="AV3137" s="24"/>
      <c r="AX3137" s="29"/>
    </row>
    <row r="3138" spans="2:50">
      <c r="B3138" s="19"/>
      <c r="K3138" s="21"/>
      <c r="T3138" s="28"/>
      <c r="AS3138" s="24"/>
      <c r="AT3138" s="24"/>
      <c r="AU3138" s="24"/>
      <c r="AV3138" s="24"/>
      <c r="AX3138" s="29"/>
    </row>
    <row r="3139" spans="2:50">
      <c r="B3139" s="19"/>
      <c r="K3139" s="21"/>
      <c r="T3139" s="28"/>
      <c r="AS3139" s="24"/>
      <c r="AT3139" s="24"/>
      <c r="AU3139" s="24"/>
      <c r="AV3139" s="24"/>
      <c r="AX3139" s="29"/>
    </row>
    <row r="3140" spans="2:50">
      <c r="B3140" s="19"/>
      <c r="K3140" s="21"/>
      <c r="T3140" s="28"/>
      <c r="AS3140" s="24"/>
      <c r="AT3140" s="24"/>
      <c r="AU3140" s="24"/>
      <c r="AV3140" s="24"/>
      <c r="AX3140" s="29"/>
    </row>
    <row r="3141" spans="2:50">
      <c r="B3141" s="19"/>
      <c r="K3141" s="21"/>
      <c r="T3141" s="28"/>
      <c r="AS3141" s="24"/>
      <c r="AT3141" s="24"/>
      <c r="AU3141" s="24"/>
      <c r="AV3141" s="24"/>
      <c r="AX3141" s="29"/>
    </row>
    <row r="3142" spans="2:50">
      <c r="B3142" s="19"/>
      <c r="K3142" s="21"/>
      <c r="T3142" s="28"/>
      <c r="AS3142" s="24"/>
      <c r="AT3142" s="24"/>
      <c r="AU3142" s="24"/>
      <c r="AV3142" s="24"/>
      <c r="AX3142" s="29"/>
    </row>
    <row r="3143" spans="2:50">
      <c r="B3143" s="19"/>
      <c r="K3143" s="21"/>
      <c r="T3143" s="28"/>
      <c r="AS3143" s="24"/>
      <c r="AT3143" s="24"/>
      <c r="AU3143" s="24"/>
      <c r="AV3143" s="24"/>
      <c r="AX3143" s="29"/>
    </row>
    <row r="3144" spans="2:50">
      <c r="B3144" s="19"/>
      <c r="K3144" s="21"/>
      <c r="T3144" s="28"/>
      <c r="AS3144" s="24"/>
      <c r="AT3144" s="24"/>
      <c r="AU3144" s="24"/>
      <c r="AV3144" s="24"/>
      <c r="AX3144" s="29"/>
    </row>
    <row r="3145" spans="2:50">
      <c r="B3145" s="19"/>
      <c r="K3145" s="21"/>
      <c r="T3145" s="28"/>
      <c r="AS3145" s="24"/>
      <c r="AT3145" s="24"/>
      <c r="AU3145" s="24"/>
      <c r="AV3145" s="24"/>
      <c r="AX3145" s="29"/>
    </row>
    <row r="3146" spans="2:50">
      <c r="B3146" s="19"/>
      <c r="K3146" s="21"/>
      <c r="T3146" s="28"/>
      <c r="AS3146" s="24"/>
      <c r="AT3146" s="24"/>
      <c r="AU3146" s="24"/>
      <c r="AV3146" s="24"/>
      <c r="AX3146" s="29"/>
    </row>
    <row r="3147" spans="2:50">
      <c r="B3147" s="19"/>
      <c r="K3147" s="21"/>
      <c r="T3147" s="28"/>
      <c r="AS3147" s="24"/>
      <c r="AT3147" s="24"/>
      <c r="AU3147" s="24"/>
      <c r="AV3147" s="24"/>
      <c r="AX3147" s="29"/>
    </row>
    <row r="3148" spans="2:50">
      <c r="B3148" s="19"/>
      <c r="K3148" s="21"/>
      <c r="T3148" s="28"/>
      <c r="AS3148" s="24"/>
      <c r="AT3148" s="24"/>
      <c r="AU3148" s="24"/>
      <c r="AV3148" s="24"/>
      <c r="AX3148" s="29"/>
    </row>
    <row r="3149" spans="2:50">
      <c r="B3149" s="19"/>
      <c r="K3149" s="21"/>
      <c r="T3149" s="28"/>
      <c r="AS3149" s="24"/>
      <c r="AT3149" s="24"/>
      <c r="AU3149" s="24"/>
      <c r="AV3149" s="24"/>
      <c r="AX3149" s="29"/>
    </row>
    <row r="3150" spans="2:50">
      <c r="B3150" s="19"/>
      <c r="K3150" s="21"/>
      <c r="T3150" s="28"/>
      <c r="AS3150" s="24"/>
      <c r="AT3150" s="24"/>
      <c r="AU3150" s="24"/>
      <c r="AV3150" s="24"/>
      <c r="AX3150" s="29"/>
    </row>
    <row r="3151" spans="2:50">
      <c r="B3151" s="19"/>
      <c r="K3151" s="21"/>
      <c r="T3151" s="28"/>
      <c r="AS3151" s="24"/>
      <c r="AT3151" s="24"/>
      <c r="AU3151" s="24"/>
      <c r="AV3151" s="24"/>
      <c r="AX3151" s="29"/>
    </row>
    <row r="3152" spans="2:50">
      <c r="B3152" s="19"/>
      <c r="K3152" s="21"/>
      <c r="T3152" s="28"/>
      <c r="AS3152" s="24"/>
      <c r="AT3152" s="24"/>
      <c r="AU3152" s="24"/>
      <c r="AV3152" s="24"/>
      <c r="AX3152" s="29"/>
    </row>
    <row r="3153" spans="2:50">
      <c r="B3153" s="19"/>
      <c r="K3153" s="21"/>
      <c r="T3153" s="28"/>
      <c r="AS3153" s="24"/>
      <c r="AT3153" s="24"/>
      <c r="AU3153" s="24"/>
      <c r="AV3153" s="24"/>
      <c r="AX3153" s="29"/>
    </row>
    <row r="3154" spans="2:50">
      <c r="B3154" s="19"/>
      <c r="K3154" s="21"/>
      <c r="T3154" s="28"/>
      <c r="AS3154" s="24"/>
      <c r="AT3154" s="24"/>
      <c r="AU3154" s="24"/>
      <c r="AV3154" s="24"/>
      <c r="AX3154" s="29"/>
    </row>
    <row r="3155" spans="2:50">
      <c r="B3155" s="30"/>
      <c r="K3155" s="21"/>
      <c r="T3155" s="28"/>
      <c r="AS3155" s="24"/>
      <c r="AT3155" s="24"/>
      <c r="AU3155" s="24"/>
      <c r="AV3155" s="24"/>
      <c r="AX3155" s="29"/>
    </row>
    <row r="3156" spans="2:50">
      <c r="B3156" s="19"/>
      <c r="K3156" s="21"/>
      <c r="T3156" s="28"/>
      <c r="AS3156" s="24"/>
      <c r="AT3156" s="24"/>
      <c r="AU3156" s="24"/>
      <c r="AV3156" s="24"/>
      <c r="AX3156" s="29"/>
    </row>
    <row r="3157" spans="2:50">
      <c r="B3157" s="19"/>
      <c r="K3157" s="21"/>
      <c r="T3157" s="28"/>
      <c r="AS3157" s="24"/>
      <c r="AT3157" s="24"/>
      <c r="AU3157" s="24"/>
      <c r="AV3157" s="24"/>
      <c r="AX3157" s="29"/>
    </row>
    <row r="3158" spans="2:50">
      <c r="B3158" s="19"/>
      <c r="K3158" s="21"/>
      <c r="T3158" s="28"/>
      <c r="AS3158" s="24"/>
      <c r="AT3158" s="24"/>
      <c r="AU3158" s="24"/>
      <c r="AV3158" s="24"/>
      <c r="AX3158" s="29"/>
    </row>
    <row r="3159" spans="2:50">
      <c r="B3159" s="19"/>
      <c r="K3159" s="21"/>
      <c r="T3159" s="28"/>
      <c r="AS3159" s="24"/>
      <c r="AT3159" s="24"/>
      <c r="AU3159" s="24"/>
      <c r="AV3159" s="24"/>
      <c r="AX3159" s="29"/>
    </row>
    <row r="3160" spans="2:50">
      <c r="B3160" s="19"/>
      <c r="K3160" s="21"/>
      <c r="T3160" s="28"/>
      <c r="AS3160" s="24"/>
      <c r="AT3160" s="24"/>
      <c r="AU3160" s="24"/>
      <c r="AV3160" s="24"/>
      <c r="AX3160" s="29"/>
    </row>
    <row r="3161" spans="2:50">
      <c r="B3161" s="19"/>
      <c r="K3161" s="21"/>
      <c r="T3161" s="28"/>
      <c r="AS3161" s="24"/>
      <c r="AT3161" s="24"/>
      <c r="AU3161" s="24"/>
      <c r="AV3161" s="24"/>
      <c r="AX3161" s="29"/>
    </row>
    <row r="3162" spans="2:50">
      <c r="B3162" s="19"/>
      <c r="K3162" s="21"/>
      <c r="T3162" s="28"/>
      <c r="AS3162" s="24"/>
      <c r="AT3162" s="24"/>
      <c r="AU3162" s="24"/>
      <c r="AV3162" s="24"/>
      <c r="AX3162" s="29"/>
    </row>
    <row r="3163" spans="2:50">
      <c r="B3163" s="19"/>
      <c r="K3163" s="21"/>
      <c r="T3163" s="28"/>
      <c r="AS3163" s="24"/>
      <c r="AT3163" s="24"/>
      <c r="AU3163" s="24"/>
      <c r="AV3163" s="24"/>
      <c r="AX3163" s="29"/>
    </row>
    <row r="3164" spans="2:50">
      <c r="B3164" s="19"/>
      <c r="K3164" s="21"/>
      <c r="T3164" s="28"/>
      <c r="AS3164" s="24"/>
      <c r="AT3164" s="24"/>
      <c r="AU3164" s="24"/>
      <c r="AV3164" s="24"/>
      <c r="AX3164" s="29"/>
    </row>
    <row r="3165" spans="2:50">
      <c r="B3165" s="19"/>
      <c r="G3165" s="31"/>
      <c r="K3165" s="21"/>
      <c r="T3165" s="28"/>
      <c r="AS3165" s="24"/>
      <c r="AT3165" s="24"/>
      <c r="AU3165" s="24"/>
      <c r="AV3165" s="24"/>
      <c r="AX3165" s="29"/>
    </row>
    <row r="3166" spans="2:50">
      <c r="B3166" s="19"/>
      <c r="K3166" s="21"/>
      <c r="T3166" s="28"/>
      <c r="AS3166" s="24"/>
      <c r="AT3166" s="24"/>
      <c r="AU3166" s="24"/>
      <c r="AV3166" s="24"/>
      <c r="AX3166" s="29"/>
    </row>
    <row r="3167" spans="2:50">
      <c r="B3167" s="19"/>
      <c r="K3167" s="21"/>
      <c r="T3167" s="28"/>
      <c r="AS3167" s="24"/>
      <c r="AT3167" s="24"/>
      <c r="AU3167" s="24"/>
      <c r="AV3167" s="24"/>
      <c r="AX3167" s="29"/>
    </row>
    <row r="3168" spans="2:50">
      <c r="B3168" s="19"/>
      <c r="K3168" s="21"/>
      <c r="T3168" s="28"/>
      <c r="AS3168" s="24"/>
      <c r="AT3168" s="24"/>
      <c r="AU3168" s="24"/>
      <c r="AV3168" s="24"/>
      <c r="AX3168" s="29"/>
    </row>
    <row r="3169" spans="2:50">
      <c r="B3169" s="19"/>
      <c r="K3169" s="21"/>
      <c r="T3169" s="28"/>
      <c r="AS3169" s="24"/>
      <c r="AT3169" s="24"/>
      <c r="AU3169" s="24"/>
      <c r="AV3169" s="24"/>
      <c r="AX3169" s="29"/>
    </row>
    <row r="3170" spans="2:50">
      <c r="B3170" s="19"/>
      <c r="K3170" s="21"/>
      <c r="T3170" s="28"/>
      <c r="AS3170" s="24"/>
      <c r="AT3170" s="24"/>
      <c r="AU3170" s="24"/>
      <c r="AV3170" s="24"/>
      <c r="AX3170" s="29"/>
    </row>
    <row r="3171" spans="2:50">
      <c r="B3171" s="19"/>
      <c r="K3171" s="21"/>
      <c r="T3171" s="28"/>
      <c r="AS3171" s="24"/>
      <c r="AT3171" s="24"/>
      <c r="AU3171" s="24"/>
      <c r="AV3171" s="24"/>
      <c r="AX3171" s="29"/>
    </row>
    <row r="3172" spans="2:50">
      <c r="B3172" s="19"/>
      <c r="K3172" s="21"/>
      <c r="O3172" s="44"/>
      <c r="P3172" s="44"/>
      <c r="T3172" s="28"/>
      <c r="AS3172" s="24"/>
      <c r="AT3172" s="24"/>
      <c r="AU3172" s="24"/>
      <c r="AV3172" s="24"/>
      <c r="AX3172" s="29"/>
    </row>
    <row r="3173" spans="2:50">
      <c r="B3173" s="19"/>
      <c r="K3173" s="21"/>
      <c r="T3173" s="28"/>
      <c r="AS3173" s="24"/>
      <c r="AT3173" s="24"/>
      <c r="AU3173" s="24"/>
      <c r="AV3173" s="24"/>
      <c r="AX3173" s="29"/>
    </row>
    <row r="3174" spans="2:50">
      <c r="B3174" s="19"/>
      <c r="K3174" s="21"/>
      <c r="T3174" s="28"/>
      <c r="AS3174" s="24"/>
      <c r="AT3174" s="24"/>
      <c r="AU3174" s="24"/>
      <c r="AV3174" s="24"/>
      <c r="AX3174" s="29"/>
    </row>
    <row r="3175" spans="2:50">
      <c r="B3175" s="19"/>
      <c r="K3175" s="21"/>
      <c r="T3175" s="28"/>
      <c r="AS3175" s="24"/>
      <c r="AT3175" s="24"/>
      <c r="AU3175" s="24"/>
      <c r="AV3175" s="24"/>
      <c r="AX3175" s="29"/>
    </row>
    <row r="3176" spans="2:50">
      <c r="B3176" s="19"/>
      <c r="K3176" s="21"/>
      <c r="T3176" s="28"/>
      <c r="AS3176" s="24"/>
      <c r="AT3176" s="24"/>
      <c r="AU3176" s="24"/>
      <c r="AV3176" s="24"/>
      <c r="AX3176" s="29"/>
    </row>
    <row r="3177" spans="2:50">
      <c r="B3177" s="19"/>
      <c r="K3177" s="21"/>
      <c r="T3177" s="28"/>
      <c r="AS3177" s="24"/>
      <c r="AT3177" s="24"/>
      <c r="AU3177" s="24"/>
      <c r="AV3177" s="24"/>
      <c r="AX3177" s="29"/>
    </row>
    <row r="3178" spans="2:50">
      <c r="B3178" s="19"/>
      <c r="K3178" s="21"/>
      <c r="T3178" s="28"/>
      <c r="AS3178" s="24"/>
      <c r="AT3178" s="24"/>
      <c r="AU3178" s="24"/>
      <c r="AV3178" s="24"/>
      <c r="AX3178" s="29"/>
    </row>
    <row r="3179" spans="2:50">
      <c r="B3179" s="19"/>
      <c r="K3179" s="21"/>
      <c r="T3179" s="28"/>
      <c r="AS3179" s="24"/>
      <c r="AT3179" s="24"/>
      <c r="AU3179" s="24"/>
      <c r="AV3179" s="24"/>
      <c r="AX3179" s="29"/>
    </row>
    <row r="3180" spans="2:50">
      <c r="B3180" s="19"/>
      <c r="K3180" s="21"/>
      <c r="T3180" s="28"/>
      <c r="AS3180" s="24"/>
      <c r="AT3180" s="24"/>
      <c r="AU3180" s="24"/>
      <c r="AV3180" s="24"/>
      <c r="AX3180" s="29"/>
    </row>
    <row r="3181" spans="2:50">
      <c r="B3181" s="19"/>
      <c r="K3181" s="21"/>
      <c r="T3181" s="28"/>
      <c r="AS3181" s="24"/>
      <c r="AT3181" s="24"/>
      <c r="AU3181" s="24"/>
      <c r="AV3181" s="24"/>
      <c r="AX3181" s="29"/>
    </row>
    <row r="3182" spans="2:50">
      <c r="B3182" s="19"/>
      <c r="K3182" s="21"/>
      <c r="T3182" s="28"/>
      <c r="AS3182" s="24"/>
      <c r="AT3182" s="24"/>
      <c r="AU3182" s="24"/>
      <c r="AV3182" s="24"/>
      <c r="AX3182" s="29"/>
    </row>
    <row r="3183" spans="2:50">
      <c r="B3183" s="19"/>
      <c r="K3183" s="21"/>
      <c r="T3183" s="28"/>
      <c r="AS3183" s="24"/>
      <c r="AT3183" s="24"/>
      <c r="AU3183" s="24"/>
      <c r="AV3183" s="24"/>
      <c r="AX3183" s="29"/>
    </row>
    <row r="3184" spans="2:50">
      <c r="B3184" s="19"/>
      <c r="K3184" s="21"/>
      <c r="T3184" s="28"/>
      <c r="AS3184" s="24"/>
      <c r="AT3184" s="24"/>
      <c r="AU3184" s="24"/>
      <c r="AV3184" s="24"/>
      <c r="AX3184" s="29"/>
    </row>
    <row r="3185" spans="2:50">
      <c r="B3185" s="19"/>
      <c r="K3185" s="21"/>
      <c r="T3185" s="28"/>
      <c r="AS3185" s="24"/>
      <c r="AT3185" s="24"/>
      <c r="AU3185" s="24"/>
      <c r="AV3185" s="24"/>
      <c r="AX3185" s="29"/>
    </row>
    <row r="3186" spans="2:50">
      <c r="B3186" s="19"/>
      <c r="K3186" s="21"/>
      <c r="T3186" s="28"/>
      <c r="AS3186" s="24"/>
      <c r="AT3186" s="24"/>
      <c r="AU3186" s="24"/>
      <c r="AV3186" s="24"/>
      <c r="AX3186" s="29"/>
    </row>
    <row r="3187" spans="2:50">
      <c r="B3187" s="19"/>
      <c r="K3187" s="21"/>
      <c r="T3187" s="28"/>
      <c r="AS3187" s="24"/>
      <c r="AT3187" s="24"/>
      <c r="AU3187" s="24"/>
      <c r="AV3187" s="24"/>
      <c r="AX3187" s="29"/>
    </row>
    <row r="3188" spans="2:50">
      <c r="B3188" s="19"/>
      <c r="K3188" s="21"/>
      <c r="T3188" s="28"/>
      <c r="AS3188" s="24"/>
      <c r="AT3188" s="24"/>
      <c r="AU3188" s="24"/>
      <c r="AV3188" s="24"/>
      <c r="AX3188" s="29"/>
    </row>
    <row r="3189" spans="2:50">
      <c r="B3189" s="19"/>
      <c r="K3189" s="21"/>
      <c r="T3189" s="28"/>
      <c r="AS3189" s="24"/>
      <c r="AT3189" s="24"/>
      <c r="AU3189" s="24"/>
      <c r="AV3189" s="24"/>
      <c r="AX3189" s="29"/>
    </row>
    <row r="3190" spans="2:50">
      <c r="B3190" s="19"/>
      <c r="K3190" s="21"/>
      <c r="T3190" s="28"/>
      <c r="AS3190" s="24"/>
      <c r="AT3190" s="24"/>
      <c r="AU3190" s="24"/>
      <c r="AV3190" s="24"/>
      <c r="AX3190" s="29"/>
    </row>
    <row r="3191" spans="2:50">
      <c r="B3191" s="19"/>
      <c r="K3191" s="21"/>
      <c r="T3191" s="28"/>
      <c r="AS3191" s="24"/>
      <c r="AT3191" s="24"/>
      <c r="AU3191" s="24"/>
      <c r="AV3191" s="24"/>
      <c r="AX3191" s="29"/>
    </row>
    <row r="3192" spans="2:50">
      <c r="B3192" s="19"/>
      <c r="K3192" s="21"/>
      <c r="T3192" s="28"/>
      <c r="AS3192" s="24"/>
      <c r="AT3192" s="24"/>
      <c r="AU3192" s="24"/>
      <c r="AV3192" s="24"/>
      <c r="AX3192" s="29"/>
    </row>
    <row r="3193" spans="2:50">
      <c r="B3193" s="19"/>
      <c r="K3193" s="21"/>
      <c r="T3193" s="28"/>
      <c r="AS3193" s="24"/>
      <c r="AT3193" s="24"/>
      <c r="AU3193" s="24"/>
      <c r="AV3193" s="24"/>
      <c r="AX3193" s="29"/>
    </row>
    <row r="3194" spans="2:50">
      <c r="B3194" s="19"/>
      <c r="K3194" s="21"/>
      <c r="T3194" s="28"/>
      <c r="AS3194" s="24"/>
      <c r="AT3194" s="24"/>
      <c r="AU3194" s="24"/>
      <c r="AV3194" s="24"/>
      <c r="AX3194" s="29"/>
    </row>
    <row r="3195" spans="2:50">
      <c r="B3195" s="19"/>
      <c r="K3195" s="21"/>
      <c r="T3195" s="28"/>
      <c r="AS3195" s="24"/>
      <c r="AT3195" s="24"/>
      <c r="AU3195" s="24"/>
      <c r="AV3195" s="24"/>
      <c r="AX3195" s="29"/>
    </row>
    <row r="3196" spans="2:50">
      <c r="B3196" s="19"/>
      <c r="K3196" s="21"/>
      <c r="T3196" s="28"/>
      <c r="AS3196" s="24"/>
      <c r="AT3196" s="24"/>
      <c r="AU3196" s="24"/>
      <c r="AV3196" s="24"/>
      <c r="AX3196" s="29"/>
    </row>
    <row r="3197" spans="2:50">
      <c r="B3197" s="19"/>
      <c r="K3197" s="21"/>
      <c r="T3197" s="28"/>
      <c r="AS3197" s="24"/>
      <c r="AT3197" s="24"/>
      <c r="AU3197" s="24"/>
      <c r="AV3197" s="24"/>
      <c r="AX3197" s="29"/>
    </row>
    <row r="3198" spans="2:50">
      <c r="B3198" s="19"/>
      <c r="K3198" s="21"/>
      <c r="T3198" s="28"/>
      <c r="AS3198" s="24"/>
      <c r="AT3198" s="24"/>
      <c r="AU3198" s="24"/>
      <c r="AV3198" s="24"/>
      <c r="AX3198" s="29"/>
    </row>
    <row r="3199" spans="2:50">
      <c r="B3199" s="19"/>
      <c r="K3199" s="21"/>
      <c r="T3199" s="28"/>
      <c r="AS3199" s="24"/>
      <c r="AT3199" s="24"/>
      <c r="AU3199" s="24"/>
      <c r="AV3199" s="24"/>
      <c r="AX3199" s="29"/>
    </row>
    <row r="3200" spans="2:50">
      <c r="B3200" s="19"/>
      <c r="K3200" s="21"/>
      <c r="T3200" s="28"/>
      <c r="AS3200" s="24"/>
      <c r="AT3200" s="24"/>
      <c r="AU3200" s="24"/>
      <c r="AV3200" s="24"/>
      <c r="AX3200" s="29"/>
    </row>
    <row r="3201" spans="2:50">
      <c r="B3201" s="19"/>
      <c r="K3201" s="21"/>
      <c r="T3201" s="28"/>
      <c r="AS3201" s="24"/>
      <c r="AT3201" s="24"/>
      <c r="AU3201" s="24"/>
      <c r="AV3201" s="24"/>
      <c r="AX3201" s="29"/>
    </row>
    <row r="3202" spans="2:50">
      <c r="B3202" s="19"/>
      <c r="K3202" s="21"/>
      <c r="T3202" s="28"/>
      <c r="AS3202" s="24"/>
      <c r="AT3202" s="24"/>
      <c r="AU3202" s="24"/>
      <c r="AV3202" s="24"/>
      <c r="AX3202" s="29"/>
    </row>
    <row r="3203" spans="2:50">
      <c r="B3203" s="19"/>
      <c r="K3203" s="21"/>
      <c r="T3203" s="28"/>
      <c r="AS3203" s="24"/>
      <c r="AT3203" s="24"/>
      <c r="AU3203" s="24"/>
      <c r="AV3203" s="24"/>
      <c r="AX3203" s="29"/>
    </row>
    <row r="3204" spans="2:50">
      <c r="B3204" s="19"/>
      <c r="K3204" s="21"/>
      <c r="T3204" s="28"/>
      <c r="AS3204" s="24"/>
      <c r="AT3204" s="24"/>
      <c r="AU3204" s="24"/>
      <c r="AV3204" s="24"/>
      <c r="AX3204" s="29"/>
    </row>
    <row r="3205" spans="2:50">
      <c r="B3205" s="19"/>
      <c r="K3205" s="21"/>
      <c r="T3205" s="28"/>
      <c r="AS3205" s="24"/>
      <c r="AT3205" s="24"/>
      <c r="AU3205" s="24"/>
      <c r="AV3205" s="24"/>
      <c r="AX3205" s="29"/>
    </row>
    <row r="3206" spans="2:50">
      <c r="B3206" s="19"/>
      <c r="K3206" s="21"/>
      <c r="T3206" s="28"/>
      <c r="AS3206" s="24"/>
      <c r="AT3206" s="24"/>
      <c r="AU3206" s="24"/>
      <c r="AV3206" s="24"/>
      <c r="AX3206" s="29"/>
    </row>
    <row r="3207" spans="2:50">
      <c r="B3207" s="19"/>
      <c r="K3207" s="21"/>
      <c r="T3207" s="28"/>
      <c r="AS3207" s="24"/>
      <c r="AT3207" s="24"/>
      <c r="AU3207" s="24"/>
      <c r="AV3207" s="24"/>
      <c r="AX3207" s="29"/>
    </row>
    <row r="3208" spans="2:50">
      <c r="B3208" s="19"/>
      <c r="K3208" s="21"/>
      <c r="T3208" s="28"/>
      <c r="AS3208" s="24"/>
      <c r="AT3208" s="24"/>
      <c r="AU3208" s="24"/>
      <c r="AV3208" s="24"/>
      <c r="AX3208" s="29"/>
    </row>
    <row r="3209" spans="2:50">
      <c r="B3209" s="19"/>
      <c r="K3209" s="21"/>
      <c r="T3209" s="28"/>
      <c r="AS3209" s="24"/>
      <c r="AT3209" s="24"/>
      <c r="AU3209" s="24"/>
      <c r="AV3209" s="24"/>
      <c r="AX3209" s="29"/>
    </row>
    <row r="3210" spans="2:50">
      <c r="B3210" s="19"/>
      <c r="K3210" s="21"/>
      <c r="T3210" s="28"/>
      <c r="AS3210" s="24"/>
      <c r="AT3210" s="24"/>
      <c r="AU3210" s="24"/>
      <c r="AV3210" s="24"/>
      <c r="AX3210" s="29"/>
    </row>
    <row r="3211" spans="2:50">
      <c r="B3211" s="19"/>
      <c r="K3211" s="21"/>
      <c r="T3211" s="28"/>
      <c r="AS3211" s="24"/>
      <c r="AT3211" s="24"/>
      <c r="AU3211" s="24"/>
      <c r="AV3211" s="24"/>
      <c r="AX3211" s="29"/>
    </row>
    <row r="3212" spans="2:50">
      <c r="B3212" s="19"/>
      <c r="K3212" s="21"/>
      <c r="T3212" s="28"/>
      <c r="AS3212" s="24"/>
      <c r="AT3212" s="24"/>
      <c r="AU3212" s="24"/>
      <c r="AV3212" s="24"/>
      <c r="AX3212" s="29"/>
    </row>
    <row r="3213" spans="2:50">
      <c r="B3213" s="19"/>
      <c r="K3213" s="21"/>
      <c r="T3213" s="28"/>
      <c r="AS3213" s="24"/>
      <c r="AT3213" s="24"/>
      <c r="AU3213" s="24"/>
      <c r="AV3213" s="24"/>
      <c r="AX3213" s="29"/>
    </row>
    <row r="3214" spans="2:50">
      <c r="B3214" s="19"/>
      <c r="K3214" s="21"/>
      <c r="T3214" s="28"/>
      <c r="AS3214" s="24"/>
      <c r="AT3214" s="24"/>
      <c r="AU3214" s="24"/>
      <c r="AV3214" s="24"/>
      <c r="AX3214" s="29"/>
    </row>
    <row r="3215" spans="2:50">
      <c r="B3215" s="19"/>
      <c r="K3215" s="21"/>
      <c r="T3215" s="28"/>
      <c r="AS3215" s="24"/>
      <c r="AT3215" s="24"/>
      <c r="AU3215" s="24"/>
      <c r="AV3215" s="24"/>
      <c r="AX3215" s="29"/>
    </row>
    <row r="3216" spans="2:50">
      <c r="B3216" s="19"/>
      <c r="K3216" s="21"/>
      <c r="T3216" s="28"/>
      <c r="AS3216" s="24"/>
      <c r="AT3216" s="24"/>
      <c r="AU3216" s="24"/>
      <c r="AV3216" s="24"/>
      <c r="AX3216" s="29"/>
    </row>
    <row r="3217" spans="2:50">
      <c r="B3217" s="19"/>
      <c r="K3217" s="21"/>
      <c r="T3217" s="28"/>
      <c r="AS3217" s="24"/>
      <c r="AT3217" s="24"/>
      <c r="AU3217" s="24"/>
      <c r="AV3217" s="24"/>
      <c r="AX3217" s="29"/>
    </row>
    <row r="3218" spans="2:50">
      <c r="B3218" s="19"/>
      <c r="K3218" s="21"/>
      <c r="T3218" s="28"/>
      <c r="AS3218" s="24"/>
      <c r="AT3218" s="24"/>
      <c r="AU3218" s="24"/>
      <c r="AV3218" s="24"/>
      <c r="AX3218" s="29"/>
    </row>
    <row r="3219" spans="2:50">
      <c r="B3219" s="19"/>
      <c r="K3219" s="21"/>
      <c r="T3219" s="28"/>
      <c r="AS3219" s="24"/>
      <c r="AT3219" s="24"/>
      <c r="AU3219" s="24"/>
      <c r="AV3219" s="24"/>
      <c r="AX3219" s="29"/>
    </row>
    <row r="3220" spans="2:50">
      <c r="B3220" s="19"/>
      <c r="K3220" s="21"/>
      <c r="T3220" s="28"/>
      <c r="AS3220" s="24"/>
      <c r="AT3220" s="24"/>
      <c r="AU3220" s="24"/>
      <c r="AV3220" s="24"/>
      <c r="AX3220" s="29"/>
    </row>
    <row r="3221" spans="2:50">
      <c r="B3221" s="19"/>
      <c r="K3221" s="21"/>
      <c r="T3221" s="28"/>
      <c r="AS3221" s="24"/>
      <c r="AT3221" s="24"/>
      <c r="AU3221" s="24"/>
      <c r="AV3221" s="24"/>
      <c r="AX3221" s="29"/>
    </row>
    <row r="3222" spans="2:50">
      <c r="B3222" s="19"/>
      <c r="K3222" s="21"/>
      <c r="T3222" s="28"/>
      <c r="AS3222" s="24"/>
      <c r="AT3222" s="24"/>
      <c r="AU3222" s="24"/>
      <c r="AV3222" s="24"/>
      <c r="AX3222" s="29"/>
    </row>
    <row r="3223" spans="2:50">
      <c r="B3223" s="19"/>
      <c r="K3223" s="21"/>
      <c r="T3223" s="28"/>
      <c r="AS3223" s="24"/>
      <c r="AT3223" s="24"/>
      <c r="AU3223" s="24"/>
      <c r="AV3223" s="24"/>
      <c r="AX3223" s="29"/>
    </row>
    <row r="3224" spans="2:50">
      <c r="B3224" s="30"/>
      <c r="K3224" s="21"/>
      <c r="T3224" s="28"/>
      <c r="AS3224" s="24"/>
      <c r="AT3224" s="24"/>
      <c r="AU3224" s="24"/>
      <c r="AV3224" s="24"/>
      <c r="AX3224" s="29"/>
    </row>
    <row r="3225" spans="2:50">
      <c r="B3225" s="19"/>
      <c r="K3225" s="21"/>
      <c r="T3225" s="28"/>
      <c r="AS3225" s="24"/>
      <c r="AT3225" s="24"/>
      <c r="AU3225" s="24"/>
      <c r="AV3225" s="24"/>
      <c r="AX3225" s="29"/>
    </row>
    <row r="3226" spans="2:50">
      <c r="B3226" s="19"/>
      <c r="K3226" s="21"/>
      <c r="T3226" s="28"/>
      <c r="AS3226" s="24"/>
      <c r="AT3226" s="24"/>
      <c r="AU3226" s="24"/>
      <c r="AV3226" s="24"/>
      <c r="AX3226" s="29"/>
    </row>
    <row r="3227" spans="2:50">
      <c r="B3227" s="19"/>
      <c r="K3227" s="21"/>
      <c r="T3227" s="28"/>
      <c r="AS3227" s="24"/>
      <c r="AT3227" s="24"/>
      <c r="AU3227" s="24"/>
      <c r="AV3227" s="24"/>
      <c r="AX3227" s="29"/>
    </row>
    <row r="3228" spans="2:50">
      <c r="B3228" s="19"/>
      <c r="K3228" s="21"/>
      <c r="T3228" s="28"/>
      <c r="AS3228" s="24"/>
      <c r="AT3228" s="24"/>
      <c r="AU3228" s="24"/>
      <c r="AV3228" s="24"/>
      <c r="AX3228" s="29"/>
    </row>
    <row r="3229" spans="2:50">
      <c r="B3229" s="19"/>
      <c r="K3229" s="21"/>
      <c r="T3229" s="28"/>
      <c r="AS3229" s="24"/>
      <c r="AT3229" s="24"/>
      <c r="AU3229" s="24"/>
      <c r="AV3229" s="24"/>
      <c r="AX3229" s="29"/>
    </row>
    <row r="3230" spans="2:50">
      <c r="B3230" s="19"/>
      <c r="K3230" s="21"/>
      <c r="T3230" s="28"/>
      <c r="AS3230" s="24"/>
      <c r="AT3230" s="24"/>
      <c r="AU3230" s="24"/>
      <c r="AV3230" s="24"/>
      <c r="AX3230" s="29"/>
    </row>
    <row r="3231" spans="2:50">
      <c r="B3231" s="19"/>
      <c r="K3231" s="21"/>
      <c r="T3231" s="28"/>
      <c r="AS3231" s="24"/>
      <c r="AT3231" s="24"/>
      <c r="AU3231" s="24"/>
      <c r="AV3231" s="24"/>
      <c r="AX3231" s="29"/>
    </row>
    <row r="3232" spans="2:50">
      <c r="B3232" s="19"/>
      <c r="K3232" s="21"/>
      <c r="T3232" s="28"/>
      <c r="AS3232" s="24"/>
      <c r="AT3232" s="24"/>
      <c r="AU3232" s="24"/>
      <c r="AV3232" s="24"/>
      <c r="AX3232" s="29"/>
    </row>
    <row r="3233" spans="2:50">
      <c r="B3233" s="19"/>
      <c r="K3233" s="21"/>
      <c r="T3233" s="28"/>
      <c r="AS3233" s="24"/>
      <c r="AT3233" s="24"/>
      <c r="AU3233" s="24"/>
      <c r="AV3233" s="24"/>
      <c r="AX3233" s="29"/>
    </row>
    <row r="3234" spans="2:50">
      <c r="B3234" s="19"/>
      <c r="K3234" s="21"/>
      <c r="T3234" s="28"/>
      <c r="AS3234" s="24"/>
      <c r="AT3234" s="24"/>
      <c r="AU3234" s="24"/>
      <c r="AV3234" s="24"/>
      <c r="AX3234" s="29"/>
    </row>
    <row r="3235" spans="2:50">
      <c r="B3235" s="19"/>
      <c r="K3235" s="21"/>
      <c r="T3235" s="28"/>
      <c r="AS3235" s="24"/>
      <c r="AT3235" s="24"/>
      <c r="AU3235" s="24"/>
      <c r="AV3235" s="24"/>
      <c r="AX3235" s="29"/>
    </row>
    <row r="3236" spans="2:50">
      <c r="B3236" s="19"/>
      <c r="K3236" s="21"/>
      <c r="T3236" s="28"/>
      <c r="AS3236" s="24"/>
      <c r="AT3236" s="24"/>
      <c r="AU3236" s="24"/>
      <c r="AV3236" s="24"/>
      <c r="AX3236" s="29"/>
    </row>
    <row r="3237" spans="2:50">
      <c r="B3237" s="19"/>
      <c r="K3237" s="21"/>
      <c r="T3237" s="28"/>
      <c r="AS3237" s="24"/>
      <c r="AT3237" s="24"/>
      <c r="AU3237" s="24"/>
      <c r="AV3237" s="24"/>
      <c r="AX3237" s="29"/>
    </row>
    <row r="3238" spans="2:50">
      <c r="B3238" s="19"/>
      <c r="K3238" s="21"/>
      <c r="T3238" s="28"/>
      <c r="AS3238" s="24"/>
      <c r="AT3238" s="24"/>
      <c r="AU3238" s="24"/>
      <c r="AV3238" s="24"/>
      <c r="AX3238" s="29"/>
    </row>
    <row r="3239" spans="2:50">
      <c r="B3239" s="19"/>
      <c r="K3239" s="21"/>
      <c r="T3239" s="28"/>
      <c r="AS3239" s="24"/>
      <c r="AT3239" s="24"/>
      <c r="AU3239" s="24"/>
      <c r="AV3239" s="24"/>
      <c r="AX3239" s="29"/>
    </row>
    <row r="3240" spans="2:50">
      <c r="B3240" s="19"/>
      <c r="K3240" s="21"/>
      <c r="T3240" s="28"/>
      <c r="AS3240" s="24"/>
      <c r="AT3240" s="24"/>
      <c r="AU3240" s="24"/>
      <c r="AV3240" s="24"/>
      <c r="AX3240" s="29"/>
    </row>
    <row r="3241" spans="2:50">
      <c r="B3241" s="19"/>
      <c r="K3241" s="21"/>
      <c r="T3241" s="28"/>
      <c r="AS3241" s="24"/>
      <c r="AT3241" s="24"/>
      <c r="AU3241" s="24"/>
      <c r="AV3241" s="24"/>
      <c r="AX3241" s="29"/>
    </row>
    <row r="3242" spans="2:50">
      <c r="B3242" s="19"/>
      <c r="K3242" s="21"/>
      <c r="T3242" s="28"/>
      <c r="AS3242" s="24"/>
      <c r="AT3242" s="24"/>
      <c r="AU3242" s="24"/>
      <c r="AV3242" s="24"/>
      <c r="AX3242" s="29"/>
    </row>
    <row r="3243" spans="2:50">
      <c r="B3243" s="19"/>
      <c r="K3243" s="21"/>
      <c r="T3243" s="28"/>
      <c r="AS3243" s="24"/>
      <c r="AT3243" s="24"/>
      <c r="AU3243" s="24"/>
      <c r="AV3243" s="24"/>
      <c r="AX3243" s="29"/>
    </row>
    <row r="3244" spans="2:50">
      <c r="B3244" s="19"/>
      <c r="K3244" s="21"/>
      <c r="T3244" s="28"/>
      <c r="AS3244" s="24"/>
      <c r="AT3244" s="24"/>
      <c r="AU3244" s="24"/>
      <c r="AV3244" s="24"/>
      <c r="AX3244" s="29"/>
    </row>
    <row r="3245" spans="2:50">
      <c r="B3245" s="19"/>
      <c r="K3245" s="21"/>
      <c r="T3245" s="28"/>
      <c r="AS3245" s="24"/>
      <c r="AT3245" s="24"/>
      <c r="AU3245" s="24"/>
      <c r="AV3245" s="24"/>
      <c r="AX3245" s="29"/>
    </row>
    <row r="3246" spans="2:50">
      <c r="B3246" s="19"/>
      <c r="K3246" s="21"/>
      <c r="T3246" s="28"/>
      <c r="AS3246" s="24"/>
      <c r="AT3246" s="24"/>
      <c r="AU3246" s="24"/>
      <c r="AV3246" s="24"/>
      <c r="AX3246" s="29"/>
    </row>
    <row r="3247" spans="2:50">
      <c r="B3247" s="19"/>
      <c r="K3247" s="21"/>
      <c r="T3247" s="28"/>
      <c r="AS3247" s="24"/>
      <c r="AT3247" s="24"/>
      <c r="AU3247" s="24"/>
      <c r="AV3247" s="24"/>
      <c r="AX3247" s="29"/>
    </row>
    <row r="3248" spans="2:50">
      <c r="B3248" s="19"/>
      <c r="K3248" s="21"/>
      <c r="T3248" s="28"/>
      <c r="AS3248" s="24"/>
      <c r="AT3248" s="24"/>
      <c r="AU3248" s="24"/>
      <c r="AV3248" s="24"/>
      <c r="AX3248" s="29"/>
    </row>
    <row r="3249" spans="2:50">
      <c r="B3249" s="19"/>
      <c r="K3249" s="21"/>
      <c r="T3249" s="28"/>
      <c r="AS3249" s="24"/>
      <c r="AT3249" s="24"/>
      <c r="AU3249" s="24"/>
      <c r="AV3249" s="24"/>
      <c r="AX3249" s="29"/>
    </row>
    <row r="3250" spans="2:50">
      <c r="B3250" s="19"/>
      <c r="K3250" s="21"/>
      <c r="T3250" s="28"/>
      <c r="AS3250" s="24"/>
      <c r="AT3250" s="24"/>
      <c r="AU3250" s="24"/>
      <c r="AV3250" s="24"/>
      <c r="AX3250" s="29"/>
    </row>
    <row r="3251" spans="2:50">
      <c r="B3251" s="19"/>
      <c r="K3251" s="21"/>
      <c r="T3251" s="28"/>
      <c r="AS3251" s="24"/>
      <c r="AT3251" s="24"/>
      <c r="AU3251" s="24"/>
      <c r="AV3251" s="24"/>
      <c r="AX3251" s="29"/>
    </row>
    <row r="3252" spans="2:50">
      <c r="B3252" s="19"/>
      <c r="K3252" s="21"/>
      <c r="T3252" s="28"/>
      <c r="AS3252" s="24"/>
      <c r="AT3252" s="24"/>
      <c r="AU3252" s="24"/>
      <c r="AV3252" s="24"/>
      <c r="AX3252" s="29"/>
    </row>
    <row r="3253" spans="2:50">
      <c r="B3253" s="19"/>
      <c r="K3253" s="21"/>
      <c r="T3253" s="28"/>
      <c r="AS3253" s="24"/>
      <c r="AT3253" s="24"/>
      <c r="AU3253" s="24"/>
      <c r="AV3253" s="24"/>
      <c r="AX3253" s="29"/>
    </row>
    <row r="3254" spans="2:50">
      <c r="B3254" s="19"/>
      <c r="K3254" s="21"/>
      <c r="T3254" s="28"/>
      <c r="AS3254" s="24"/>
      <c r="AT3254" s="24"/>
      <c r="AU3254" s="24"/>
      <c r="AV3254" s="24"/>
      <c r="AX3254" s="29"/>
    </row>
    <row r="3255" spans="2:50">
      <c r="B3255" s="19"/>
      <c r="K3255" s="21"/>
      <c r="T3255" s="28"/>
      <c r="AS3255" s="24"/>
      <c r="AT3255" s="24"/>
      <c r="AU3255" s="24"/>
      <c r="AV3255" s="24"/>
      <c r="AX3255" s="29"/>
    </row>
    <row r="3256" spans="2:50">
      <c r="B3256" s="19"/>
      <c r="K3256" s="21"/>
      <c r="T3256" s="28"/>
      <c r="AS3256" s="24"/>
      <c r="AT3256" s="24"/>
      <c r="AU3256" s="24"/>
      <c r="AV3256" s="24"/>
      <c r="AX3256" s="29"/>
    </row>
    <row r="3257" spans="2:50">
      <c r="B3257" s="19"/>
      <c r="K3257" s="21"/>
      <c r="T3257" s="28"/>
      <c r="AS3257" s="24"/>
      <c r="AT3257" s="24"/>
      <c r="AU3257" s="24"/>
      <c r="AV3257" s="24"/>
      <c r="AX3257" s="29"/>
    </row>
    <row r="3258" spans="2:50">
      <c r="B3258" s="19"/>
      <c r="K3258" s="21"/>
      <c r="T3258" s="28"/>
      <c r="AS3258" s="24"/>
      <c r="AT3258" s="24"/>
      <c r="AU3258" s="24"/>
      <c r="AV3258" s="24"/>
      <c r="AX3258" s="29"/>
    </row>
    <row r="3259" spans="2:50">
      <c r="B3259" s="19"/>
      <c r="K3259" s="21"/>
      <c r="T3259" s="28"/>
      <c r="AS3259" s="24"/>
      <c r="AT3259" s="24"/>
      <c r="AU3259" s="24"/>
      <c r="AV3259" s="24"/>
      <c r="AX3259" s="29"/>
    </row>
    <row r="3260" spans="2:50">
      <c r="B3260" s="19"/>
      <c r="K3260" s="21"/>
      <c r="T3260" s="28"/>
      <c r="AS3260" s="24"/>
      <c r="AT3260" s="24"/>
      <c r="AU3260" s="24"/>
      <c r="AV3260" s="24"/>
      <c r="AX3260" s="29"/>
    </row>
    <row r="3261" spans="2:50">
      <c r="B3261" s="19"/>
      <c r="K3261" s="21"/>
      <c r="T3261" s="28"/>
      <c r="AS3261" s="24"/>
      <c r="AT3261" s="24"/>
      <c r="AU3261" s="24"/>
      <c r="AV3261" s="24"/>
      <c r="AX3261" s="29"/>
    </row>
    <row r="3262" spans="2:50">
      <c r="B3262" s="19"/>
      <c r="K3262" s="21"/>
      <c r="T3262" s="28"/>
      <c r="AS3262" s="24"/>
      <c r="AT3262" s="24"/>
      <c r="AU3262" s="24"/>
      <c r="AV3262" s="24"/>
      <c r="AX3262" s="29"/>
    </row>
    <row r="3263" spans="2:50">
      <c r="B3263" s="19"/>
      <c r="K3263" s="21"/>
      <c r="T3263" s="28"/>
      <c r="AS3263" s="24"/>
      <c r="AT3263" s="24"/>
      <c r="AU3263" s="24"/>
      <c r="AV3263" s="24"/>
      <c r="AX3263" s="29"/>
    </row>
    <row r="3264" spans="2:50">
      <c r="B3264" s="19"/>
      <c r="K3264" s="21"/>
      <c r="T3264" s="28"/>
      <c r="AS3264" s="24"/>
      <c r="AT3264" s="24"/>
      <c r="AU3264" s="24"/>
      <c r="AV3264" s="24"/>
      <c r="AX3264" s="29"/>
    </row>
    <row r="3265" spans="2:50">
      <c r="B3265" s="19"/>
      <c r="K3265" s="21"/>
      <c r="T3265" s="28"/>
      <c r="AS3265" s="24"/>
      <c r="AT3265" s="24"/>
      <c r="AU3265" s="24"/>
      <c r="AV3265" s="24"/>
      <c r="AX3265" s="29"/>
    </row>
    <row r="3266" spans="2:50">
      <c r="B3266" s="19"/>
      <c r="K3266" s="21"/>
      <c r="T3266" s="28"/>
      <c r="AS3266" s="24"/>
      <c r="AT3266" s="24"/>
      <c r="AU3266" s="24"/>
      <c r="AV3266" s="24"/>
      <c r="AX3266" s="29"/>
    </row>
    <row r="3267" spans="2:50">
      <c r="B3267" s="19"/>
      <c r="K3267" s="21"/>
      <c r="T3267" s="28"/>
      <c r="AS3267" s="24"/>
      <c r="AT3267" s="24"/>
      <c r="AU3267" s="24"/>
      <c r="AV3267" s="24"/>
      <c r="AX3267" s="29"/>
    </row>
    <row r="3268" spans="2:50">
      <c r="B3268" s="19"/>
      <c r="K3268" s="21"/>
      <c r="T3268" s="28"/>
      <c r="AS3268" s="24"/>
      <c r="AT3268" s="24"/>
      <c r="AU3268" s="24"/>
      <c r="AV3268" s="24"/>
      <c r="AX3268" s="29"/>
    </row>
    <row r="3269" spans="2:50">
      <c r="B3269" s="19"/>
      <c r="K3269" s="21"/>
      <c r="T3269" s="28"/>
      <c r="AS3269" s="24"/>
      <c r="AT3269" s="24"/>
      <c r="AU3269" s="24"/>
      <c r="AV3269" s="24"/>
      <c r="AX3269" s="29"/>
    </row>
    <row r="3270" spans="2:50">
      <c r="B3270" s="19"/>
      <c r="K3270" s="21"/>
      <c r="T3270" s="28"/>
      <c r="AS3270" s="24"/>
      <c r="AT3270" s="24"/>
      <c r="AU3270" s="24"/>
      <c r="AV3270" s="24"/>
      <c r="AX3270" s="29"/>
    </row>
    <row r="3271" spans="2:50">
      <c r="B3271" s="19"/>
      <c r="K3271" s="21"/>
      <c r="T3271" s="28"/>
      <c r="AS3271" s="24"/>
      <c r="AT3271" s="24"/>
      <c r="AU3271" s="24"/>
      <c r="AV3271" s="24"/>
      <c r="AX3271" s="29"/>
    </row>
    <row r="3272" spans="2:50">
      <c r="B3272" s="19"/>
      <c r="K3272" s="21"/>
      <c r="T3272" s="28"/>
      <c r="AS3272" s="24"/>
      <c r="AT3272" s="24"/>
      <c r="AU3272" s="24"/>
      <c r="AV3272" s="24"/>
      <c r="AX3272" s="29"/>
    </row>
    <row r="3273" spans="2:50">
      <c r="B3273" s="19"/>
      <c r="K3273" s="21"/>
      <c r="T3273" s="28"/>
      <c r="AS3273" s="24"/>
      <c r="AT3273" s="24"/>
      <c r="AU3273" s="24"/>
      <c r="AV3273" s="24"/>
      <c r="AX3273" s="29"/>
    </row>
    <row r="3274" spans="2:50">
      <c r="B3274" s="19"/>
      <c r="K3274" s="21"/>
      <c r="T3274" s="28"/>
      <c r="AS3274" s="24"/>
      <c r="AT3274" s="24"/>
      <c r="AU3274" s="24"/>
      <c r="AV3274" s="24"/>
      <c r="AX3274" s="29"/>
    </row>
    <row r="3275" spans="2:50">
      <c r="B3275" s="19"/>
      <c r="K3275" s="21"/>
      <c r="T3275" s="28"/>
      <c r="AS3275" s="24"/>
      <c r="AT3275" s="24"/>
      <c r="AU3275" s="24"/>
      <c r="AV3275" s="24"/>
      <c r="AX3275" s="29"/>
    </row>
    <row r="3276" spans="2:50">
      <c r="B3276" s="19"/>
      <c r="K3276" s="21"/>
      <c r="T3276" s="28"/>
      <c r="AS3276" s="24"/>
      <c r="AT3276" s="24"/>
      <c r="AU3276" s="24"/>
      <c r="AV3276" s="24"/>
      <c r="AX3276" s="29"/>
    </row>
    <row r="3277" spans="2:50">
      <c r="B3277" s="19"/>
      <c r="K3277" s="21"/>
      <c r="T3277" s="28"/>
      <c r="AS3277" s="24"/>
      <c r="AT3277" s="24"/>
      <c r="AU3277" s="24"/>
      <c r="AV3277" s="24"/>
      <c r="AX3277" s="29"/>
    </row>
    <row r="3278" spans="2:50">
      <c r="B3278" s="19"/>
      <c r="K3278" s="21"/>
      <c r="T3278" s="28"/>
      <c r="AS3278" s="24"/>
      <c r="AT3278" s="24"/>
      <c r="AU3278" s="24"/>
      <c r="AV3278" s="24"/>
      <c r="AX3278" s="29"/>
    </row>
    <row r="3279" spans="2:50">
      <c r="B3279" s="19"/>
      <c r="K3279" s="21"/>
      <c r="T3279" s="28"/>
      <c r="AS3279" s="24"/>
      <c r="AT3279" s="24"/>
      <c r="AU3279" s="24"/>
      <c r="AV3279" s="24"/>
      <c r="AX3279" s="29"/>
    </row>
    <row r="3280" spans="2:50">
      <c r="B3280" s="19"/>
      <c r="K3280" s="21"/>
      <c r="T3280" s="28"/>
      <c r="AS3280" s="24"/>
      <c r="AT3280" s="24"/>
      <c r="AU3280" s="24"/>
      <c r="AV3280" s="24"/>
      <c r="AX3280" s="29"/>
    </row>
    <row r="3281" spans="2:50">
      <c r="B3281" s="19"/>
      <c r="K3281" s="21"/>
      <c r="T3281" s="28"/>
      <c r="AS3281" s="24"/>
      <c r="AT3281" s="24"/>
      <c r="AU3281" s="24"/>
      <c r="AV3281" s="24"/>
      <c r="AX3281" s="29"/>
    </row>
    <row r="3282" spans="2:50">
      <c r="B3282" s="19"/>
      <c r="K3282" s="21"/>
      <c r="T3282" s="28"/>
      <c r="AS3282" s="24"/>
      <c r="AT3282" s="24"/>
      <c r="AU3282" s="24"/>
      <c r="AV3282" s="24"/>
      <c r="AX3282" s="29"/>
    </row>
    <row r="3283" spans="2:50">
      <c r="B3283" s="19"/>
      <c r="K3283" s="21"/>
      <c r="T3283" s="28"/>
      <c r="AS3283" s="24"/>
      <c r="AT3283" s="24"/>
      <c r="AU3283" s="24"/>
      <c r="AV3283" s="24"/>
      <c r="AX3283" s="29"/>
    </row>
    <row r="3284" spans="2:50">
      <c r="B3284" s="19"/>
      <c r="K3284" s="21"/>
      <c r="T3284" s="28"/>
      <c r="AS3284" s="24"/>
      <c r="AT3284" s="24"/>
      <c r="AU3284" s="24"/>
      <c r="AV3284" s="24"/>
      <c r="AX3284" s="29"/>
    </row>
    <row r="3285" spans="2:50">
      <c r="B3285" s="19"/>
      <c r="K3285" s="21"/>
      <c r="T3285" s="28"/>
      <c r="AS3285" s="24"/>
      <c r="AT3285" s="24"/>
      <c r="AU3285" s="24"/>
      <c r="AV3285" s="24"/>
      <c r="AX3285" s="29"/>
    </row>
    <row r="3286" spans="2:50">
      <c r="B3286" s="19"/>
      <c r="K3286" s="21"/>
      <c r="T3286" s="28"/>
      <c r="AS3286" s="24"/>
      <c r="AT3286" s="24"/>
      <c r="AU3286" s="24"/>
      <c r="AV3286" s="24"/>
      <c r="AX3286" s="29"/>
    </row>
    <row r="3287" spans="2:50">
      <c r="B3287" s="19"/>
      <c r="K3287" s="21"/>
      <c r="T3287" s="28"/>
      <c r="AS3287" s="24"/>
      <c r="AT3287" s="24"/>
      <c r="AU3287" s="24"/>
      <c r="AV3287" s="24"/>
      <c r="AX3287" s="29"/>
    </row>
    <row r="3288" spans="2:50">
      <c r="B3288" s="19"/>
      <c r="K3288" s="21"/>
      <c r="T3288" s="28"/>
      <c r="AS3288" s="24"/>
      <c r="AT3288" s="24"/>
      <c r="AU3288" s="24"/>
      <c r="AV3288" s="24"/>
      <c r="AX3288" s="29"/>
    </row>
    <row r="3289" spans="2:50">
      <c r="B3289" s="19"/>
      <c r="K3289" s="21"/>
      <c r="T3289" s="28"/>
      <c r="AS3289" s="24"/>
      <c r="AT3289" s="24"/>
      <c r="AU3289" s="24"/>
      <c r="AV3289" s="24"/>
      <c r="AX3289" s="29"/>
    </row>
    <row r="3290" spans="2:50">
      <c r="B3290" s="19"/>
      <c r="K3290" s="21"/>
      <c r="T3290" s="28"/>
      <c r="AS3290" s="24"/>
      <c r="AT3290" s="24"/>
      <c r="AU3290" s="24"/>
      <c r="AV3290" s="24"/>
      <c r="AX3290" s="29"/>
    </row>
    <row r="3291" spans="2:50">
      <c r="B3291" s="19"/>
      <c r="K3291" s="21"/>
      <c r="T3291" s="28"/>
      <c r="AS3291" s="24"/>
      <c r="AT3291" s="24"/>
      <c r="AU3291" s="24"/>
      <c r="AV3291" s="24"/>
      <c r="AX3291" s="29"/>
    </row>
    <row r="3292" spans="2:50">
      <c r="B3292" s="19"/>
      <c r="K3292" s="21"/>
      <c r="T3292" s="28"/>
      <c r="AS3292" s="24"/>
      <c r="AT3292" s="24"/>
      <c r="AU3292" s="24"/>
      <c r="AV3292" s="24"/>
      <c r="AX3292" s="29"/>
    </row>
    <row r="3293" spans="2:50">
      <c r="B3293" s="19"/>
      <c r="K3293" s="21"/>
      <c r="T3293" s="28"/>
      <c r="AS3293" s="24"/>
      <c r="AT3293" s="24"/>
      <c r="AU3293" s="24"/>
      <c r="AV3293" s="24"/>
      <c r="AX3293" s="29"/>
    </row>
    <row r="3294" spans="2:50">
      <c r="B3294" s="19"/>
      <c r="K3294" s="21"/>
      <c r="T3294" s="28"/>
      <c r="AS3294" s="24"/>
      <c r="AT3294" s="24"/>
      <c r="AU3294" s="24"/>
      <c r="AV3294" s="24"/>
      <c r="AX3294" s="29"/>
    </row>
    <row r="3295" spans="2:50">
      <c r="B3295" s="19"/>
      <c r="K3295" s="21"/>
      <c r="T3295" s="28"/>
      <c r="AS3295" s="24"/>
      <c r="AT3295" s="24"/>
      <c r="AU3295" s="24"/>
      <c r="AV3295" s="24"/>
      <c r="AX3295" s="29"/>
    </row>
    <row r="3296" spans="2:50">
      <c r="B3296" s="19"/>
      <c r="K3296" s="21"/>
      <c r="T3296" s="28"/>
      <c r="AS3296" s="24"/>
      <c r="AT3296" s="24"/>
      <c r="AU3296" s="24"/>
      <c r="AV3296" s="24"/>
      <c r="AX3296" s="29"/>
    </row>
    <row r="3297" spans="2:50">
      <c r="B3297" s="19"/>
      <c r="K3297" s="21"/>
      <c r="T3297" s="28"/>
      <c r="AS3297" s="24"/>
      <c r="AT3297" s="24"/>
      <c r="AU3297" s="24"/>
      <c r="AV3297" s="24"/>
      <c r="AX3297" s="29"/>
    </row>
    <row r="3298" spans="2:50">
      <c r="B3298" s="19"/>
      <c r="K3298" s="21"/>
      <c r="T3298" s="28"/>
      <c r="AS3298" s="24"/>
      <c r="AT3298" s="24"/>
      <c r="AU3298" s="24"/>
      <c r="AV3298" s="24"/>
      <c r="AX3298" s="29"/>
    </row>
    <row r="3299" spans="2:50">
      <c r="B3299" s="19"/>
      <c r="K3299" s="21"/>
      <c r="T3299" s="28"/>
      <c r="AS3299" s="24"/>
      <c r="AT3299" s="24"/>
      <c r="AU3299" s="24"/>
      <c r="AV3299" s="24"/>
      <c r="AX3299" s="29"/>
    </row>
    <row r="3300" spans="2:50">
      <c r="B3300" s="19"/>
      <c r="K3300" s="21"/>
      <c r="T3300" s="28"/>
      <c r="AS3300" s="24"/>
      <c r="AT3300" s="24"/>
      <c r="AU3300" s="24"/>
      <c r="AV3300" s="24"/>
      <c r="AX3300" s="29"/>
    </row>
    <row r="3301" spans="2:50">
      <c r="B3301" s="19"/>
      <c r="K3301" s="21"/>
      <c r="T3301" s="28"/>
      <c r="AS3301" s="24"/>
      <c r="AT3301" s="24"/>
      <c r="AU3301" s="24"/>
      <c r="AV3301" s="24"/>
      <c r="AX3301" s="29"/>
    </row>
    <row r="3302" spans="2:50">
      <c r="B3302" s="19"/>
      <c r="K3302" s="21"/>
      <c r="T3302" s="28"/>
      <c r="AS3302" s="24"/>
      <c r="AT3302" s="24"/>
      <c r="AU3302" s="24"/>
      <c r="AV3302" s="24"/>
      <c r="AX3302" s="29"/>
    </row>
    <row r="3303" spans="2:50">
      <c r="B3303" s="19"/>
      <c r="K3303" s="21"/>
      <c r="T3303" s="28"/>
      <c r="AS3303" s="24"/>
      <c r="AT3303" s="24"/>
      <c r="AU3303" s="24"/>
      <c r="AV3303" s="24"/>
      <c r="AX3303" s="29"/>
    </row>
    <row r="3304" spans="2:50">
      <c r="B3304" s="19"/>
      <c r="K3304" s="21"/>
      <c r="T3304" s="28"/>
      <c r="AS3304" s="24"/>
      <c r="AT3304" s="24"/>
      <c r="AU3304" s="24"/>
      <c r="AV3304" s="24"/>
      <c r="AX3304" s="29"/>
    </row>
    <row r="3305" spans="2:50">
      <c r="B3305" s="19"/>
      <c r="K3305" s="21"/>
      <c r="T3305" s="28"/>
      <c r="AS3305" s="24"/>
      <c r="AT3305" s="24"/>
      <c r="AU3305" s="24"/>
      <c r="AV3305" s="24"/>
      <c r="AX3305" s="29"/>
    </row>
    <row r="3306" spans="2:50">
      <c r="B3306" s="19"/>
      <c r="K3306" s="21"/>
      <c r="T3306" s="28"/>
      <c r="AS3306" s="24"/>
      <c r="AT3306" s="24"/>
      <c r="AU3306" s="24"/>
      <c r="AV3306" s="24"/>
      <c r="AX3306" s="29"/>
    </row>
    <row r="3307" spans="2:50">
      <c r="B3307" s="19"/>
      <c r="K3307" s="21"/>
      <c r="T3307" s="28"/>
      <c r="AS3307" s="24"/>
      <c r="AT3307" s="24"/>
      <c r="AU3307" s="24"/>
      <c r="AV3307" s="24"/>
      <c r="AX3307" s="29"/>
    </row>
    <row r="3308" spans="2:50">
      <c r="B3308" s="19"/>
      <c r="K3308" s="21"/>
      <c r="T3308" s="28"/>
      <c r="AS3308" s="24"/>
      <c r="AT3308" s="24"/>
      <c r="AU3308" s="24"/>
      <c r="AV3308" s="24"/>
      <c r="AX3308" s="29"/>
    </row>
    <row r="3309" spans="2:50">
      <c r="B3309" s="19"/>
      <c r="K3309" s="21"/>
      <c r="T3309" s="28"/>
      <c r="AS3309" s="24"/>
      <c r="AT3309" s="24"/>
      <c r="AU3309" s="24"/>
      <c r="AV3309" s="24"/>
      <c r="AX3309" s="29"/>
    </row>
    <row r="3310" spans="2:50">
      <c r="B3310" s="19"/>
      <c r="K3310" s="21"/>
      <c r="T3310" s="28"/>
      <c r="AS3310" s="24"/>
      <c r="AT3310" s="24"/>
      <c r="AU3310" s="24"/>
      <c r="AV3310" s="24"/>
      <c r="AX3310" s="29"/>
    </row>
    <row r="3311" spans="2:50">
      <c r="B3311" s="19"/>
      <c r="K3311" s="21"/>
      <c r="T3311" s="28"/>
      <c r="AS3311" s="24"/>
      <c r="AT3311" s="24"/>
      <c r="AU3311" s="24"/>
      <c r="AV3311" s="24"/>
      <c r="AX3311" s="29"/>
    </row>
    <row r="3312" spans="2:50">
      <c r="B3312" s="19"/>
      <c r="K3312" s="21"/>
      <c r="T3312" s="28"/>
      <c r="AS3312" s="24"/>
      <c r="AT3312" s="24"/>
      <c r="AU3312" s="24"/>
      <c r="AV3312" s="24"/>
      <c r="AX3312" s="29"/>
    </row>
    <row r="3313" spans="2:50">
      <c r="B3313" s="19"/>
      <c r="K3313" s="21"/>
      <c r="T3313" s="28"/>
      <c r="AS3313" s="24"/>
      <c r="AT3313" s="24"/>
      <c r="AU3313" s="24"/>
      <c r="AV3313" s="24"/>
      <c r="AX3313" s="29"/>
    </row>
    <row r="3314" spans="2:50">
      <c r="B3314" s="19"/>
      <c r="K3314" s="21"/>
      <c r="T3314" s="28"/>
      <c r="AS3314" s="24"/>
      <c r="AT3314" s="24"/>
      <c r="AU3314" s="24"/>
      <c r="AV3314" s="24"/>
      <c r="AX3314" s="29"/>
    </row>
    <row r="3315" spans="2:50">
      <c r="B3315" s="19"/>
      <c r="K3315" s="21"/>
      <c r="T3315" s="28"/>
      <c r="AS3315" s="24"/>
      <c r="AT3315" s="24"/>
      <c r="AU3315" s="24"/>
      <c r="AV3315" s="24"/>
      <c r="AX3315" s="29"/>
    </row>
    <row r="3316" spans="2:50">
      <c r="B3316" s="19"/>
      <c r="K3316" s="21"/>
      <c r="T3316" s="28"/>
      <c r="AS3316" s="24"/>
      <c r="AT3316" s="24"/>
      <c r="AU3316" s="24"/>
      <c r="AV3316" s="24"/>
      <c r="AX3316" s="29"/>
    </row>
    <row r="3317" spans="2:50">
      <c r="B3317" s="19"/>
      <c r="K3317" s="21"/>
      <c r="T3317" s="28"/>
      <c r="AS3317" s="24"/>
      <c r="AT3317" s="24"/>
      <c r="AU3317" s="24"/>
      <c r="AV3317" s="24"/>
      <c r="AX3317" s="29"/>
    </row>
    <row r="3318" spans="2:50">
      <c r="B3318" s="19"/>
      <c r="K3318" s="21"/>
      <c r="T3318" s="28"/>
      <c r="AS3318" s="24"/>
      <c r="AT3318" s="24"/>
      <c r="AU3318" s="24"/>
      <c r="AV3318" s="24"/>
      <c r="AX3318" s="29"/>
    </row>
    <row r="3319" spans="2:50">
      <c r="B3319" s="19"/>
      <c r="K3319" s="21"/>
      <c r="T3319" s="28"/>
      <c r="AS3319" s="24"/>
      <c r="AT3319" s="24"/>
      <c r="AU3319" s="24"/>
      <c r="AV3319" s="24"/>
      <c r="AX3319" s="29"/>
    </row>
    <row r="3320" spans="2:50">
      <c r="B3320" s="19"/>
      <c r="K3320" s="21"/>
      <c r="T3320" s="28"/>
      <c r="AS3320" s="24"/>
      <c r="AT3320" s="24"/>
      <c r="AU3320" s="24"/>
      <c r="AV3320" s="24"/>
      <c r="AX3320" s="29"/>
    </row>
    <row r="3321" spans="2:50">
      <c r="B3321" s="19"/>
      <c r="K3321" s="21"/>
      <c r="T3321" s="28"/>
      <c r="AS3321" s="24"/>
      <c r="AT3321" s="24"/>
      <c r="AU3321" s="24"/>
      <c r="AV3321" s="24"/>
      <c r="AX3321" s="29"/>
    </row>
    <row r="3322" spans="2:50">
      <c r="B3322" s="19"/>
      <c r="K3322" s="21"/>
      <c r="T3322" s="28"/>
      <c r="AS3322" s="24"/>
      <c r="AT3322" s="24"/>
      <c r="AU3322" s="24"/>
      <c r="AV3322" s="24"/>
      <c r="AX3322" s="29"/>
    </row>
    <row r="3323" spans="2:50">
      <c r="B3323" s="19"/>
      <c r="K3323" s="21"/>
      <c r="T3323" s="28"/>
      <c r="AS3323" s="24"/>
      <c r="AT3323" s="24"/>
      <c r="AU3323" s="24"/>
      <c r="AV3323" s="24"/>
      <c r="AX3323" s="29"/>
    </row>
    <row r="3324" spans="2:50">
      <c r="B3324" s="19"/>
      <c r="K3324" s="21"/>
      <c r="T3324" s="28"/>
      <c r="AS3324" s="24"/>
      <c r="AT3324" s="24"/>
      <c r="AU3324" s="24"/>
      <c r="AV3324" s="24"/>
      <c r="AX3324" s="29"/>
    </row>
    <row r="3325" spans="2:50">
      <c r="B3325" s="19"/>
      <c r="K3325" s="21"/>
      <c r="T3325" s="28"/>
      <c r="AS3325" s="24"/>
      <c r="AT3325" s="24"/>
      <c r="AU3325" s="24"/>
      <c r="AV3325" s="24"/>
      <c r="AX3325" s="29"/>
    </row>
    <row r="3326" spans="2:50">
      <c r="B3326" s="19"/>
      <c r="K3326" s="21"/>
      <c r="T3326" s="28"/>
      <c r="AS3326" s="24"/>
      <c r="AT3326" s="24"/>
      <c r="AU3326" s="24"/>
      <c r="AV3326" s="24"/>
      <c r="AX3326" s="29"/>
    </row>
    <row r="3327" spans="2:50">
      <c r="B3327" s="19"/>
      <c r="K3327" s="21"/>
      <c r="T3327" s="28"/>
      <c r="AS3327" s="24"/>
      <c r="AT3327" s="24"/>
      <c r="AU3327" s="24"/>
      <c r="AV3327" s="24"/>
      <c r="AX3327" s="29"/>
    </row>
    <row r="3328" spans="2:50">
      <c r="B3328" s="19"/>
      <c r="K3328" s="21"/>
      <c r="T3328" s="28"/>
      <c r="AS3328" s="24"/>
      <c r="AT3328" s="24"/>
      <c r="AU3328" s="24"/>
      <c r="AV3328" s="24"/>
      <c r="AX3328" s="29"/>
    </row>
    <row r="3329" spans="2:50">
      <c r="B3329" s="19"/>
      <c r="K3329" s="21"/>
      <c r="T3329" s="28"/>
      <c r="AS3329" s="24"/>
      <c r="AT3329" s="24"/>
      <c r="AU3329" s="24"/>
      <c r="AV3329" s="24"/>
      <c r="AX3329" s="29"/>
    </row>
    <row r="3330" spans="2:50">
      <c r="B3330" s="19"/>
      <c r="K3330" s="21"/>
      <c r="T3330" s="28"/>
      <c r="AS3330" s="24"/>
      <c r="AT3330" s="24"/>
      <c r="AU3330" s="24"/>
      <c r="AV3330" s="24"/>
      <c r="AX3330" s="29"/>
    </row>
    <row r="3331" spans="2:50">
      <c r="B3331" s="19"/>
      <c r="K3331" s="21"/>
      <c r="T3331" s="28"/>
      <c r="AS3331" s="24"/>
      <c r="AT3331" s="24"/>
      <c r="AU3331" s="24"/>
      <c r="AV3331" s="24"/>
      <c r="AX3331" s="29"/>
    </row>
    <row r="3332" spans="2:50">
      <c r="B3332" s="19"/>
      <c r="K3332" s="21"/>
      <c r="T3332" s="28"/>
      <c r="AS3332" s="24"/>
      <c r="AT3332" s="24"/>
      <c r="AU3332" s="24"/>
      <c r="AV3332" s="24"/>
      <c r="AX3332" s="29"/>
    </row>
    <row r="3333" spans="2:50">
      <c r="B3333" s="19"/>
      <c r="K3333" s="21"/>
      <c r="T3333" s="28"/>
      <c r="AS3333" s="24"/>
      <c r="AT3333" s="24"/>
      <c r="AU3333" s="24"/>
      <c r="AV3333" s="24"/>
      <c r="AX3333" s="29"/>
    </row>
    <row r="3334" spans="2:50">
      <c r="B3334" s="19"/>
      <c r="K3334" s="21"/>
      <c r="T3334" s="28"/>
      <c r="AS3334" s="24"/>
      <c r="AT3334" s="24"/>
      <c r="AU3334" s="24"/>
      <c r="AV3334" s="24"/>
      <c r="AX3334" s="29"/>
    </row>
    <row r="3335" spans="2:50">
      <c r="B3335" s="19"/>
      <c r="K3335" s="21"/>
      <c r="T3335" s="28"/>
      <c r="AS3335" s="24"/>
      <c r="AT3335" s="24"/>
      <c r="AU3335" s="24"/>
      <c r="AV3335" s="24"/>
      <c r="AX3335" s="29"/>
    </row>
    <row r="3336" spans="2:50">
      <c r="B3336" s="19"/>
      <c r="K3336" s="21"/>
      <c r="T3336" s="28"/>
      <c r="AS3336" s="24"/>
      <c r="AT3336" s="24"/>
      <c r="AU3336" s="24"/>
      <c r="AV3336" s="24"/>
      <c r="AX3336" s="29"/>
    </row>
    <row r="3337" spans="2:50">
      <c r="B3337" s="19"/>
      <c r="K3337" s="21"/>
      <c r="T3337" s="28"/>
      <c r="AS3337" s="24"/>
      <c r="AT3337" s="24"/>
      <c r="AU3337" s="24"/>
      <c r="AV3337" s="24"/>
      <c r="AX3337" s="29"/>
    </row>
    <row r="3338" spans="2:50">
      <c r="B3338" s="19"/>
      <c r="K3338" s="21"/>
      <c r="T3338" s="28"/>
      <c r="AS3338" s="24"/>
      <c r="AT3338" s="24"/>
      <c r="AU3338" s="24"/>
      <c r="AV3338" s="24"/>
      <c r="AX3338" s="29"/>
    </row>
    <row r="3339" spans="2:50">
      <c r="B3339" s="19"/>
      <c r="K3339" s="21"/>
      <c r="T3339" s="28"/>
      <c r="AS3339" s="24"/>
      <c r="AT3339" s="24"/>
      <c r="AU3339" s="24"/>
      <c r="AV3339" s="24"/>
      <c r="AX3339" s="29"/>
    </row>
    <row r="3340" spans="2:50">
      <c r="B3340" s="19"/>
      <c r="K3340" s="21"/>
      <c r="T3340" s="28"/>
      <c r="AS3340" s="24"/>
      <c r="AT3340" s="24"/>
      <c r="AU3340" s="24"/>
      <c r="AV3340" s="24"/>
      <c r="AX3340" s="29"/>
    </row>
    <row r="3341" spans="2:50">
      <c r="B3341" s="19"/>
      <c r="K3341" s="21"/>
      <c r="T3341" s="28"/>
      <c r="AS3341" s="24"/>
      <c r="AT3341" s="24"/>
      <c r="AU3341" s="24"/>
      <c r="AV3341" s="24"/>
      <c r="AX3341" s="29"/>
    </row>
    <row r="3342" spans="2:50">
      <c r="B3342" s="19"/>
      <c r="K3342" s="21"/>
      <c r="T3342" s="28"/>
      <c r="AS3342" s="24"/>
      <c r="AT3342" s="24"/>
      <c r="AU3342" s="24"/>
      <c r="AV3342" s="24"/>
      <c r="AX3342" s="29"/>
    </row>
    <row r="3343" spans="2:50">
      <c r="B3343" s="19"/>
      <c r="K3343" s="21"/>
      <c r="T3343" s="28"/>
      <c r="AS3343" s="24"/>
      <c r="AT3343" s="24"/>
      <c r="AU3343" s="24"/>
      <c r="AV3343" s="24"/>
      <c r="AX3343" s="29"/>
    </row>
    <row r="3344" spans="2:50">
      <c r="B3344" s="19"/>
      <c r="K3344" s="21"/>
      <c r="T3344" s="28"/>
      <c r="AS3344" s="24"/>
      <c r="AT3344" s="24"/>
      <c r="AU3344" s="24"/>
      <c r="AV3344" s="24"/>
      <c r="AX3344" s="29"/>
    </row>
    <row r="3345" spans="2:50">
      <c r="B3345" s="19"/>
      <c r="K3345" s="21"/>
      <c r="T3345" s="28"/>
      <c r="AS3345" s="24"/>
      <c r="AT3345" s="24"/>
      <c r="AU3345" s="24"/>
      <c r="AV3345" s="24"/>
      <c r="AX3345" s="29"/>
    </row>
    <row r="3346" spans="2:50">
      <c r="B3346" s="19"/>
      <c r="K3346" s="21"/>
      <c r="T3346" s="28"/>
      <c r="AS3346" s="24"/>
      <c r="AT3346" s="24"/>
      <c r="AU3346" s="24"/>
      <c r="AV3346" s="24"/>
      <c r="AX3346" s="29"/>
    </row>
    <row r="3347" spans="2:50">
      <c r="B3347" s="19"/>
      <c r="K3347" s="21"/>
      <c r="T3347" s="28"/>
      <c r="AS3347" s="24"/>
      <c r="AT3347" s="24"/>
      <c r="AU3347" s="24"/>
      <c r="AV3347" s="24"/>
      <c r="AX3347" s="29"/>
    </row>
    <row r="3348" spans="2:50">
      <c r="B3348" s="19"/>
      <c r="K3348" s="21"/>
      <c r="T3348" s="28"/>
      <c r="AS3348" s="24"/>
      <c r="AT3348" s="24"/>
      <c r="AU3348" s="24"/>
      <c r="AV3348" s="24"/>
      <c r="AX3348" s="29"/>
    </row>
    <row r="3349" spans="2:50">
      <c r="B3349" s="19"/>
      <c r="K3349" s="21"/>
      <c r="T3349" s="28"/>
      <c r="AS3349" s="24"/>
      <c r="AT3349" s="24"/>
      <c r="AU3349" s="24"/>
      <c r="AV3349" s="24"/>
      <c r="AX3349" s="29"/>
    </row>
    <row r="3350" spans="2:50">
      <c r="B3350" s="19"/>
      <c r="K3350" s="21"/>
      <c r="T3350" s="28"/>
      <c r="AS3350" s="24"/>
      <c r="AT3350" s="24"/>
      <c r="AU3350" s="24"/>
      <c r="AV3350" s="24"/>
      <c r="AX3350" s="29"/>
    </row>
    <row r="3351" spans="2:50">
      <c r="B3351" s="19"/>
      <c r="K3351" s="21"/>
      <c r="T3351" s="28"/>
      <c r="AS3351" s="24"/>
      <c r="AT3351" s="24"/>
      <c r="AU3351" s="24"/>
      <c r="AV3351" s="24"/>
      <c r="AX3351" s="29"/>
    </row>
    <row r="3352" spans="2:50">
      <c r="B3352" s="19"/>
      <c r="K3352" s="21"/>
      <c r="T3352" s="28"/>
      <c r="AS3352" s="24"/>
      <c r="AT3352" s="24"/>
      <c r="AU3352" s="24"/>
      <c r="AV3352" s="24"/>
      <c r="AX3352" s="29"/>
    </row>
    <row r="3353" spans="2:50">
      <c r="B3353" s="19"/>
      <c r="K3353" s="21"/>
      <c r="T3353" s="28"/>
      <c r="AS3353" s="24"/>
      <c r="AT3353" s="24"/>
      <c r="AU3353" s="24"/>
      <c r="AV3353" s="24"/>
      <c r="AX3353" s="29"/>
    </row>
    <row r="3354" spans="2:50">
      <c r="B3354" s="19"/>
      <c r="K3354" s="21"/>
      <c r="T3354" s="28"/>
      <c r="AS3354" s="24"/>
      <c r="AT3354" s="24"/>
      <c r="AU3354" s="24"/>
      <c r="AV3354" s="24"/>
      <c r="AX3354" s="29"/>
    </row>
    <row r="3355" spans="2:50" ht="11.25" customHeight="1">
      <c r="B3355" s="19"/>
      <c r="K3355" s="21"/>
      <c r="T3355" s="28"/>
      <c r="AS3355" s="24"/>
      <c r="AT3355" s="24"/>
      <c r="AU3355" s="24"/>
      <c r="AV3355" s="24"/>
      <c r="AX3355" s="29"/>
    </row>
    <row r="3356" spans="2:50">
      <c r="B3356" s="19"/>
      <c r="K3356" s="21"/>
      <c r="T3356" s="28"/>
      <c r="AS3356" s="24"/>
      <c r="AT3356" s="24"/>
      <c r="AU3356" s="24"/>
      <c r="AV3356" s="24"/>
      <c r="AX3356" s="29"/>
    </row>
    <row r="3357" spans="2:50">
      <c r="B3357" s="19"/>
      <c r="K3357" s="21"/>
      <c r="T3357" s="28"/>
      <c r="AS3357" s="24"/>
      <c r="AT3357" s="24"/>
      <c r="AU3357" s="24"/>
      <c r="AV3357" s="24"/>
      <c r="AX3357" s="29"/>
    </row>
    <row r="3358" spans="2:50">
      <c r="B3358" s="19"/>
      <c r="K3358" s="21"/>
      <c r="T3358" s="28"/>
      <c r="AS3358" s="24"/>
      <c r="AT3358" s="24"/>
      <c r="AU3358" s="24"/>
      <c r="AV3358" s="24"/>
      <c r="AX3358" s="29"/>
    </row>
    <row r="3359" spans="2:50">
      <c r="B3359" s="19"/>
      <c r="K3359" s="21"/>
      <c r="T3359" s="28"/>
      <c r="AS3359" s="24"/>
      <c r="AT3359" s="24"/>
      <c r="AU3359" s="24"/>
      <c r="AV3359" s="24"/>
      <c r="AX3359" s="29"/>
    </row>
    <row r="3360" spans="2:50">
      <c r="B3360" s="19"/>
      <c r="K3360" s="21"/>
      <c r="T3360" s="28"/>
      <c r="AS3360" s="24"/>
      <c r="AT3360" s="24"/>
      <c r="AU3360" s="24"/>
      <c r="AV3360" s="24"/>
      <c r="AX3360" s="29"/>
    </row>
    <row r="3361" spans="2:50">
      <c r="B3361" s="19"/>
      <c r="K3361" s="21"/>
      <c r="T3361" s="28"/>
      <c r="AS3361" s="24"/>
      <c r="AT3361" s="24"/>
      <c r="AU3361" s="24"/>
      <c r="AV3361" s="24"/>
      <c r="AX3361" s="29"/>
    </row>
    <row r="3362" spans="2:50">
      <c r="B3362" s="19"/>
      <c r="K3362" s="21"/>
      <c r="T3362" s="28"/>
      <c r="AS3362" s="24"/>
      <c r="AT3362" s="24"/>
      <c r="AU3362" s="24"/>
      <c r="AV3362" s="24"/>
      <c r="AX3362" s="29"/>
    </row>
    <row r="3363" spans="2:50">
      <c r="B3363" s="19"/>
      <c r="K3363" s="21"/>
      <c r="T3363" s="28"/>
      <c r="AS3363" s="24"/>
      <c r="AT3363" s="24"/>
      <c r="AU3363" s="24"/>
      <c r="AV3363" s="24"/>
      <c r="AX3363" s="29"/>
    </row>
    <row r="3364" spans="2:50">
      <c r="B3364" s="19"/>
      <c r="K3364" s="21"/>
      <c r="T3364" s="28"/>
      <c r="AS3364" s="24"/>
      <c r="AT3364" s="24"/>
      <c r="AU3364" s="24"/>
      <c r="AV3364" s="24"/>
      <c r="AX3364" s="29"/>
    </row>
    <row r="3365" spans="2:50">
      <c r="B3365" s="19"/>
      <c r="K3365" s="21"/>
      <c r="T3365" s="28"/>
      <c r="AS3365" s="24"/>
      <c r="AT3365" s="24"/>
      <c r="AU3365" s="24"/>
      <c r="AV3365" s="24"/>
      <c r="AX3365" s="29"/>
    </row>
    <row r="3366" spans="2:50">
      <c r="B3366" s="19"/>
      <c r="K3366" s="21"/>
      <c r="T3366" s="28"/>
      <c r="AS3366" s="24"/>
      <c r="AT3366" s="24"/>
      <c r="AU3366" s="24"/>
      <c r="AV3366" s="24"/>
      <c r="AX3366" s="29"/>
    </row>
    <row r="3367" spans="2:50">
      <c r="B3367" s="19"/>
      <c r="K3367" s="21"/>
      <c r="T3367" s="28"/>
      <c r="AS3367" s="24"/>
      <c r="AT3367" s="24"/>
      <c r="AU3367" s="24"/>
      <c r="AV3367" s="24"/>
      <c r="AX3367" s="29"/>
    </row>
    <row r="3368" spans="2:50">
      <c r="B3368" s="19"/>
      <c r="K3368" s="21"/>
      <c r="T3368" s="28"/>
      <c r="AS3368" s="24"/>
      <c r="AT3368" s="24"/>
      <c r="AU3368" s="24"/>
      <c r="AV3368" s="24"/>
      <c r="AX3368" s="29"/>
    </row>
    <row r="3369" spans="2:50">
      <c r="B3369" s="19"/>
      <c r="K3369" s="21"/>
      <c r="T3369" s="28"/>
      <c r="AS3369" s="24"/>
      <c r="AT3369" s="24"/>
      <c r="AU3369" s="24"/>
      <c r="AV3369" s="24"/>
      <c r="AX3369" s="29"/>
    </row>
    <row r="3370" spans="2:50">
      <c r="B3370" s="19"/>
      <c r="K3370" s="21"/>
      <c r="T3370" s="28"/>
      <c r="AS3370" s="24"/>
      <c r="AT3370" s="24"/>
      <c r="AU3370" s="24"/>
      <c r="AV3370" s="24"/>
      <c r="AX3370" s="29"/>
    </row>
    <row r="3371" spans="2:50">
      <c r="B3371" s="19"/>
      <c r="K3371" s="21"/>
      <c r="T3371" s="28"/>
      <c r="AS3371" s="24"/>
      <c r="AT3371" s="24"/>
      <c r="AU3371" s="24"/>
      <c r="AV3371" s="24"/>
      <c r="AX3371" s="29"/>
    </row>
    <row r="3372" spans="2:50">
      <c r="B3372" s="19"/>
      <c r="K3372" s="21"/>
      <c r="T3372" s="28"/>
      <c r="AS3372" s="24"/>
      <c r="AT3372" s="24"/>
      <c r="AU3372" s="24"/>
      <c r="AV3372" s="24"/>
      <c r="AX3372" s="29"/>
    </row>
    <row r="3373" spans="2:50">
      <c r="B3373" s="19"/>
      <c r="K3373" s="21"/>
      <c r="T3373" s="28"/>
      <c r="AS3373" s="24"/>
      <c r="AT3373" s="24"/>
      <c r="AU3373" s="24"/>
      <c r="AV3373" s="24"/>
      <c r="AX3373" s="29"/>
    </row>
    <row r="3374" spans="2:50">
      <c r="B3374" s="19"/>
      <c r="K3374" s="21"/>
      <c r="T3374" s="28"/>
      <c r="AS3374" s="24"/>
      <c r="AT3374" s="24"/>
      <c r="AU3374" s="24"/>
      <c r="AV3374" s="24"/>
      <c r="AX3374" s="29"/>
    </row>
    <row r="3375" spans="2:50">
      <c r="B3375" s="19"/>
      <c r="K3375" s="21"/>
      <c r="T3375" s="28"/>
      <c r="AS3375" s="24"/>
      <c r="AT3375" s="24"/>
      <c r="AU3375" s="24"/>
      <c r="AV3375" s="24"/>
      <c r="AX3375" s="29"/>
    </row>
    <row r="3376" spans="2:50">
      <c r="B3376" s="19"/>
      <c r="K3376" s="21"/>
      <c r="T3376" s="28"/>
      <c r="AS3376" s="24"/>
      <c r="AT3376" s="24"/>
      <c r="AU3376" s="24"/>
      <c r="AV3376" s="24"/>
      <c r="AX3376" s="29"/>
    </row>
    <row r="3377" spans="2:50">
      <c r="B3377" s="19"/>
      <c r="K3377" s="21"/>
      <c r="T3377" s="28"/>
      <c r="AS3377" s="24"/>
      <c r="AT3377" s="24"/>
      <c r="AU3377" s="24"/>
      <c r="AV3377" s="24"/>
      <c r="AX3377" s="29"/>
    </row>
    <row r="3378" spans="2:50">
      <c r="B3378" s="19"/>
      <c r="K3378" s="21"/>
      <c r="T3378" s="28"/>
      <c r="AS3378" s="24"/>
      <c r="AT3378" s="24"/>
      <c r="AU3378" s="24"/>
      <c r="AV3378" s="24"/>
      <c r="AX3378" s="29"/>
    </row>
    <row r="3379" spans="2:50">
      <c r="B3379" s="19"/>
      <c r="K3379" s="21"/>
      <c r="T3379" s="28"/>
      <c r="AS3379" s="24"/>
      <c r="AT3379" s="24"/>
      <c r="AU3379" s="24"/>
      <c r="AV3379" s="24"/>
      <c r="AX3379" s="29"/>
    </row>
    <row r="3380" spans="2:50">
      <c r="B3380" s="19"/>
      <c r="K3380" s="21"/>
      <c r="T3380" s="28"/>
      <c r="AS3380" s="24"/>
      <c r="AT3380" s="24"/>
      <c r="AU3380" s="24"/>
      <c r="AV3380" s="24"/>
      <c r="AX3380" s="29"/>
    </row>
    <row r="3381" spans="2:50">
      <c r="B3381" s="19"/>
      <c r="K3381" s="21"/>
      <c r="T3381" s="28"/>
      <c r="AS3381" s="24"/>
      <c r="AT3381" s="24"/>
      <c r="AU3381" s="24"/>
      <c r="AV3381" s="24"/>
      <c r="AX3381" s="29"/>
    </row>
    <row r="3382" spans="2:50">
      <c r="B3382" s="19"/>
      <c r="K3382" s="21"/>
      <c r="T3382" s="28"/>
      <c r="AS3382" s="24"/>
      <c r="AT3382" s="24"/>
      <c r="AU3382" s="24"/>
      <c r="AV3382" s="24"/>
      <c r="AX3382" s="29"/>
    </row>
    <row r="3383" spans="2:50">
      <c r="B3383" s="19"/>
      <c r="K3383" s="21"/>
      <c r="T3383" s="28"/>
      <c r="AS3383" s="24"/>
      <c r="AT3383" s="24"/>
      <c r="AU3383" s="24"/>
      <c r="AV3383" s="24"/>
      <c r="AX3383" s="29"/>
    </row>
    <row r="3384" spans="2:50">
      <c r="B3384" s="19"/>
      <c r="K3384" s="21"/>
      <c r="T3384" s="28"/>
      <c r="AS3384" s="24"/>
      <c r="AT3384" s="24"/>
      <c r="AU3384" s="24"/>
      <c r="AV3384" s="24"/>
      <c r="AX3384" s="29"/>
    </row>
    <row r="3385" spans="2:50">
      <c r="B3385" s="19"/>
      <c r="K3385" s="21"/>
      <c r="T3385" s="28"/>
      <c r="AS3385" s="24"/>
      <c r="AT3385" s="24"/>
      <c r="AU3385" s="24"/>
      <c r="AV3385" s="24"/>
      <c r="AX3385" s="29"/>
    </row>
    <row r="3386" spans="2:50">
      <c r="B3386" s="19"/>
      <c r="K3386" s="21"/>
      <c r="T3386" s="28"/>
      <c r="AS3386" s="24"/>
      <c r="AT3386" s="24"/>
      <c r="AU3386" s="24"/>
      <c r="AV3386" s="24"/>
      <c r="AX3386" s="29"/>
    </row>
    <row r="3387" spans="2:50">
      <c r="B3387" s="19"/>
      <c r="K3387" s="21"/>
      <c r="T3387" s="28"/>
      <c r="AS3387" s="24"/>
      <c r="AT3387" s="24"/>
      <c r="AU3387" s="24"/>
      <c r="AV3387" s="24"/>
      <c r="AX3387" s="29"/>
    </row>
    <row r="3388" spans="2:50">
      <c r="B3388" s="19"/>
      <c r="K3388" s="21"/>
      <c r="T3388" s="28"/>
      <c r="AS3388" s="24"/>
      <c r="AT3388" s="24"/>
      <c r="AU3388" s="24"/>
      <c r="AV3388" s="24"/>
      <c r="AX3388" s="29"/>
    </row>
    <row r="3389" spans="2:50">
      <c r="B3389" s="19"/>
      <c r="K3389" s="21"/>
      <c r="T3389" s="28"/>
      <c r="AS3389" s="24"/>
      <c r="AT3389" s="24"/>
      <c r="AU3389" s="24"/>
      <c r="AV3389" s="24"/>
      <c r="AX3389" s="29"/>
    </row>
    <row r="3390" spans="2:50">
      <c r="B3390" s="19"/>
      <c r="K3390" s="21"/>
      <c r="T3390" s="28"/>
      <c r="AS3390" s="24"/>
      <c r="AT3390" s="24"/>
      <c r="AU3390" s="24"/>
      <c r="AV3390" s="24"/>
      <c r="AX3390" s="29"/>
    </row>
    <row r="3391" spans="2:50">
      <c r="B3391" s="19"/>
      <c r="K3391" s="21"/>
      <c r="T3391" s="28"/>
      <c r="AS3391" s="24"/>
      <c r="AT3391" s="24"/>
      <c r="AU3391" s="24"/>
      <c r="AV3391" s="24"/>
      <c r="AX3391" s="29"/>
    </row>
    <row r="3392" spans="2:50">
      <c r="B3392" s="19"/>
      <c r="K3392" s="21"/>
      <c r="T3392" s="28"/>
      <c r="AS3392" s="24"/>
      <c r="AT3392" s="24"/>
      <c r="AU3392" s="24"/>
      <c r="AV3392" s="24"/>
      <c r="AX3392" s="29"/>
    </row>
    <row r="3393" spans="2:50">
      <c r="B3393" s="19"/>
      <c r="K3393" s="21"/>
      <c r="T3393" s="28"/>
      <c r="AS3393" s="24"/>
      <c r="AT3393" s="24"/>
      <c r="AU3393" s="24"/>
      <c r="AV3393" s="24"/>
      <c r="AX3393" s="29"/>
    </row>
    <row r="3394" spans="2:50">
      <c r="B3394" s="19"/>
      <c r="K3394" s="21"/>
      <c r="T3394" s="28"/>
      <c r="AS3394" s="24"/>
      <c r="AT3394" s="24"/>
      <c r="AU3394" s="24"/>
      <c r="AV3394" s="24"/>
      <c r="AX3394" s="29"/>
    </row>
    <row r="3395" spans="2:50">
      <c r="B3395" s="19"/>
      <c r="K3395" s="21"/>
      <c r="T3395" s="28"/>
      <c r="AS3395" s="24"/>
      <c r="AT3395" s="24"/>
      <c r="AU3395" s="24"/>
      <c r="AV3395" s="24"/>
      <c r="AX3395" s="29"/>
    </row>
    <row r="3396" spans="2:50">
      <c r="B3396" s="19"/>
      <c r="K3396" s="21"/>
      <c r="T3396" s="28"/>
      <c r="AS3396" s="24"/>
      <c r="AT3396" s="24"/>
      <c r="AU3396" s="24"/>
      <c r="AV3396" s="24"/>
      <c r="AX3396" s="29"/>
    </row>
    <row r="3397" spans="2:50">
      <c r="B3397" s="19"/>
      <c r="K3397" s="21"/>
      <c r="T3397" s="28"/>
      <c r="AS3397" s="24"/>
      <c r="AT3397" s="24"/>
      <c r="AU3397" s="24"/>
      <c r="AV3397" s="24"/>
      <c r="AX3397" s="29"/>
    </row>
    <row r="3398" spans="2:50">
      <c r="B3398" s="19"/>
      <c r="K3398" s="21"/>
      <c r="T3398" s="28"/>
      <c r="AS3398" s="24"/>
      <c r="AT3398" s="24"/>
      <c r="AU3398" s="24"/>
      <c r="AV3398" s="24"/>
      <c r="AX3398" s="29"/>
    </row>
    <row r="3399" spans="2:50">
      <c r="B3399" s="19"/>
      <c r="K3399" s="21"/>
      <c r="T3399" s="28"/>
      <c r="AS3399" s="24"/>
      <c r="AT3399" s="24"/>
      <c r="AU3399" s="24"/>
      <c r="AV3399" s="24"/>
      <c r="AX3399" s="29"/>
    </row>
    <row r="3400" spans="2:50">
      <c r="B3400" s="19"/>
      <c r="K3400" s="21"/>
      <c r="T3400" s="28"/>
      <c r="AS3400" s="24"/>
      <c r="AT3400" s="24"/>
      <c r="AU3400" s="24"/>
      <c r="AV3400" s="24"/>
      <c r="AX3400" s="29"/>
    </row>
    <row r="3401" spans="2:50">
      <c r="B3401" s="19"/>
      <c r="K3401" s="21"/>
      <c r="T3401" s="28"/>
      <c r="AS3401" s="24"/>
      <c r="AT3401" s="24"/>
      <c r="AU3401" s="24"/>
      <c r="AV3401" s="24"/>
      <c r="AX3401" s="29"/>
    </row>
    <row r="3402" spans="2:50">
      <c r="B3402" s="19"/>
      <c r="K3402" s="21"/>
      <c r="T3402" s="28"/>
      <c r="AS3402" s="24"/>
      <c r="AT3402" s="24"/>
      <c r="AU3402" s="24"/>
      <c r="AV3402" s="24"/>
      <c r="AX3402" s="29"/>
    </row>
    <row r="3403" spans="2:50">
      <c r="B3403" s="19"/>
      <c r="K3403" s="21"/>
      <c r="T3403" s="28"/>
      <c r="AS3403" s="24"/>
      <c r="AT3403" s="24"/>
      <c r="AU3403" s="24"/>
      <c r="AV3403" s="24"/>
      <c r="AX3403" s="29"/>
    </row>
    <row r="3404" spans="2:50">
      <c r="B3404" s="19"/>
      <c r="K3404" s="21"/>
      <c r="T3404" s="28"/>
      <c r="AS3404" s="24"/>
      <c r="AT3404" s="24"/>
      <c r="AU3404" s="24"/>
      <c r="AV3404" s="24"/>
      <c r="AX3404" s="29"/>
    </row>
    <row r="3405" spans="2:50">
      <c r="B3405" s="19"/>
      <c r="K3405" s="21"/>
      <c r="T3405" s="28"/>
      <c r="AS3405" s="24"/>
      <c r="AT3405" s="24"/>
      <c r="AU3405" s="24"/>
      <c r="AV3405" s="24"/>
      <c r="AX3405" s="29"/>
    </row>
    <row r="3406" spans="2:50">
      <c r="B3406" s="19"/>
      <c r="K3406" s="21"/>
      <c r="T3406" s="28"/>
      <c r="AS3406" s="24"/>
      <c r="AT3406" s="24"/>
      <c r="AU3406" s="24"/>
      <c r="AV3406" s="24"/>
      <c r="AX3406" s="29"/>
    </row>
    <row r="3407" spans="2:50">
      <c r="B3407" s="19"/>
      <c r="K3407" s="21"/>
      <c r="T3407" s="28"/>
      <c r="AS3407" s="24"/>
      <c r="AT3407" s="24"/>
      <c r="AU3407" s="24"/>
      <c r="AV3407" s="24"/>
      <c r="AX3407" s="29"/>
    </row>
    <row r="3408" spans="2:50">
      <c r="B3408" s="19"/>
      <c r="K3408" s="21"/>
      <c r="T3408" s="28"/>
      <c r="AS3408" s="24"/>
      <c r="AT3408" s="24"/>
      <c r="AU3408" s="24"/>
      <c r="AV3408" s="24"/>
      <c r="AX3408" s="29"/>
    </row>
    <row r="3409" spans="2:50">
      <c r="B3409" s="19"/>
      <c r="K3409" s="21"/>
      <c r="T3409" s="28"/>
      <c r="AS3409" s="24"/>
      <c r="AT3409" s="24"/>
      <c r="AU3409" s="24"/>
      <c r="AV3409" s="24"/>
      <c r="AX3409" s="29"/>
    </row>
    <row r="3410" spans="2:50">
      <c r="B3410" s="19"/>
      <c r="K3410" s="21"/>
      <c r="T3410" s="28"/>
      <c r="AS3410" s="24"/>
      <c r="AT3410" s="24"/>
      <c r="AU3410" s="24"/>
      <c r="AV3410" s="24"/>
      <c r="AX3410" s="29"/>
    </row>
    <row r="3411" spans="2:50">
      <c r="B3411" s="19"/>
      <c r="K3411" s="21"/>
      <c r="T3411" s="28"/>
      <c r="AS3411" s="24"/>
      <c r="AT3411" s="24"/>
      <c r="AU3411" s="24"/>
      <c r="AV3411" s="24"/>
      <c r="AX3411" s="29"/>
    </row>
    <row r="3412" spans="2:50">
      <c r="B3412" s="19"/>
      <c r="K3412" s="21"/>
      <c r="T3412" s="28"/>
      <c r="AS3412" s="24"/>
      <c r="AT3412" s="24"/>
      <c r="AU3412" s="24"/>
      <c r="AV3412" s="24"/>
      <c r="AX3412" s="29"/>
    </row>
    <row r="3413" spans="2:50">
      <c r="B3413" s="19"/>
      <c r="K3413" s="21"/>
      <c r="T3413" s="28"/>
      <c r="AS3413" s="24"/>
      <c r="AT3413" s="24"/>
      <c r="AU3413" s="24"/>
      <c r="AV3413" s="24"/>
      <c r="AX3413" s="29"/>
    </row>
    <row r="3414" spans="2:50">
      <c r="B3414" s="19"/>
      <c r="K3414" s="21"/>
      <c r="T3414" s="28"/>
      <c r="AS3414" s="24"/>
      <c r="AT3414" s="24"/>
      <c r="AU3414" s="24"/>
      <c r="AV3414" s="24"/>
      <c r="AX3414" s="29"/>
    </row>
    <row r="3415" spans="2:50">
      <c r="B3415" s="19"/>
      <c r="K3415" s="21"/>
      <c r="T3415" s="28"/>
      <c r="AS3415" s="24"/>
      <c r="AT3415" s="24"/>
      <c r="AU3415" s="24"/>
      <c r="AV3415" s="24"/>
      <c r="AX3415" s="29"/>
    </row>
    <row r="3416" spans="2:50">
      <c r="B3416" s="19"/>
      <c r="K3416" s="21"/>
      <c r="T3416" s="28"/>
      <c r="AS3416" s="24"/>
      <c r="AT3416" s="24"/>
      <c r="AU3416" s="24"/>
      <c r="AV3416" s="24"/>
      <c r="AX3416" s="29"/>
    </row>
    <row r="3417" spans="2:50">
      <c r="B3417" s="19"/>
      <c r="K3417" s="21"/>
      <c r="T3417" s="28"/>
      <c r="AS3417" s="24"/>
      <c r="AT3417" s="24"/>
      <c r="AU3417" s="24"/>
      <c r="AV3417" s="24"/>
      <c r="AX3417" s="29"/>
    </row>
    <row r="3418" spans="2:50">
      <c r="B3418" s="19"/>
      <c r="K3418" s="21"/>
      <c r="T3418" s="28"/>
      <c r="AS3418" s="24"/>
      <c r="AT3418" s="24"/>
      <c r="AU3418" s="24"/>
      <c r="AV3418" s="24"/>
      <c r="AX3418" s="29"/>
    </row>
    <row r="3419" spans="2:50">
      <c r="B3419" s="19"/>
      <c r="K3419" s="21"/>
      <c r="T3419" s="28"/>
      <c r="AS3419" s="24"/>
      <c r="AT3419" s="24"/>
      <c r="AU3419" s="24"/>
      <c r="AV3419" s="24"/>
      <c r="AX3419" s="29"/>
    </row>
    <row r="3420" spans="2:50">
      <c r="B3420" s="19"/>
      <c r="K3420" s="21"/>
      <c r="T3420" s="28"/>
      <c r="AS3420" s="24"/>
      <c r="AT3420" s="24"/>
      <c r="AU3420" s="24"/>
      <c r="AV3420" s="24"/>
      <c r="AX3420" s="29"/>
    </row>
    <row r="3421" spans="2:50">
      <c r="B3421" s="19"/>
      <c r="K3421" s="21"/>
      <c r="T3421" s="28"/>
      <c r="AS3421" s="24"/>
      <c r="AT3421" s="24"/>
      <c r="AU3421" s="24"/>
      <c r="AV3421" s="24"/>
      <c r="AX3421" s="29"/>
    </row>
    <row r="3422" spans="2:50">
      <c r="B3422" s="19"/>
      <c r="K3422" s="21"/>
      <c r="T3422" s="28"/>
      <c r="AS3422" s="24"/>
      <c r="AT3422" s="24"/>
      <c r="AU3422" s="24"/>
      <c r="AV3422" s="24"/>
      <c r="AX3422" s="29"/>
    </row>
    <row r="3423" spans="2:50">
      <c r="B3423" s="19"/>
      <c r="K3423" s="21"/>
      <c r="T3423" s="28"/>
      <c r="AS3423" s="24"/>
      <c r="AT3423" s="24"/>
      <c r="AU3423" s="24"/>
      <c r="AV3423" s="24"/>
      <c r="AX3423" s="29"/>
    </row>
    <row r="3424" spans="2:50">
      <c r="B3424" s="19"/>
      <c r="K3424" s="21"/>
      <c r="T3424" s="28"/>
      <c r="AS3424" s="24"/>
      <c r="AT3424" s="24"/>
      <c r="AU3424" s="24"/>
      <c r="AV3424" s="24"/>
      <c r="AX3424" s="29"/>
    </row>
    <row r="3425" spans="2:50">
      <c r="B3425" s="19"/>
      <c r="K3425" s="21"/>
      <c r="T3425" s="28"/>
      <c r="AS3425" s="24"/>
      <c r="AT3425" s="24"/>
      <c r="AU3425" s="24"/>
      <c r="AV3425" s="24"/>
      <c r="AX3425" s="29"/>
    </row>
    <row r="3426" spans="2:50">
      <c r="B3426" s="19"/>
      <c r="K3426" s="21"/>
      <c r="T3426" s="28"/>
      <c r="AS3426" s="24"/>
      <c r="AT3426" s="24"/>
      <c r="AU3426" s="24"/>
      <c r="AV3426" s="24"/>
      <c r="AX3426" s="29"/>
    </row>
    <row r="3427" spans="2:50">
      <c r="B3427" s="19"/>
      <c r="K3427" s="21"/>
      <c r="T3427" s="28"/>
      <c r="AS3427" s="24"/>
      <c r="AT3427" s="24"/>
      <c r="AU3427" s="24"/>
      <c r="AV3427" s="24"/>
      <c r="AX3427" s="29"/>
    </row>
    <row r="3428" spans="2:50">
      <c r="B3428" s="19"/>
      <c r="K3428" s="21"/>
      <c r="T3428" s="28"/>
      <c r="AS3428" s="24"/>
      <c r="AT3428" s="24"/>
      <c r="AU3428" s="24"/>
      <c r="AV3428" s="24"/>
      <c r="AX3428" s="29"/>
    </row>
    <row r="3429" spans="2:50">
      <c r="B3429" s="19"/>
      <c r="K3429" s="21"/>
      <c r="T3429" s="28"/>
      <c r="AS3429" s="24"/>
      <c r="AT3429" s="24"/>
      <c r="AU3429" s="24"/>
      <c r="AV3429" s="24"/>
      <c r="AX3429" s="29"/>
    </row>
    <row r="3430" spans="2:50">
      <c r="B3430" s="19"/>
      <c r="K3430" s="21"/>
      <c r="T3430" s="28"/>
      <c r="AS3430" s="24"/>
      <c r="AT3430" s="24"/>
      <c r="AU3430" s="24"/>
      <c r="AV3430" s="24"/>
      <c r="AX3430" s="29"/>
    </row>
    <row r="3431" spans="2:50">
      <c r="B3431" s="19"/>
      <c r="K3431" s="21"/>
      <c r="T3431" s="28"/>
      <c r="AS3431" s="24"/>
      <c r="AT3431" s="24"/>
      <c r="AU3431" s="24"/>
      <c r="AV3431" s="24"/>
      <c r="AX3431" s="29"/>
    </row>
    <row r="3432" spans="2:50">
      <c r="B3432" s="19"/>
      <c r="K3432" s="21"/>
      <c r="T3432" s="28"/>
      <c r="AS3432" s="24"/>
      <c r="AT3432" s="24"/>
      <c r="AU3432" s="24"/>
      <c r="AV3432" s="24"/>
      <c r="AX3432" s="29"/>
    </row>
    <row r="3433" spans="2:50">
      <c r="B3433" s="19"/>
      <c r="K3433" s="21"/>
      <c r="T3433" s="28"/>
      <c r="AS3433" s="24"/>
      <c r="AT3433" s="24"/>
      <c r="AU3433" s="24"/>
      <c r="AV3433" s="24"/>
      <c r="AX3433" s="29"/>
    </row>
    <row r="3434" spans="2:50">
      <c r="B3434" s="19"/>
      <c r="K3434" s="21"/>
      <c r="T3434" s="28"/>
      <c r="AS3434" s="24"/>
      <c r="AT3434" s="24"/>
      <c r="AU3434" s="24"/>
      <c r="AV3434" s="24"/>
      <c r="AX3434" s="29"/>
    </row>
    <row r="3435" spans="2:50">
      <c r="B3435" s="19"/>
      <c r="K3435" s="21"/>
      <c r="T3435" s="28"/>
      <c r="AS3435" s="24"/>
      <c r="AT3435" s="24"/>
      <c r="AU3435" s="24"/>
      <c r="AV3435" s="24"/>
      <c r="AX3435" s="29"/>
    </row>
    <row r="3436" spans="2:50">
      <c r="B3436" s="19"/>
      <c r="K3436" s="21"/>
      <c r="T3436" s="28"/>
      <c r="AS3436" s="24"/>
      <c r="AT3436" s="24"/>
      <c r="AU3436" s="24"/>
      <c r="AV3436" s="24"/>
      <c r="AX3436" s="29"/>
    </row>
    <row r="3437" spans="2:50">
      <c r="B3437" s="19"/>
      <c r="K3437" s="21"/>
      <c r="T3437" s="28"/>
      <c r="AS3437" s="24"/>
      <c r="AT3437" s="24"/>
      <c r="AU3437" s="24"/>
      <c r="AV3437" s="24"/>
      <c r="AX3437" s="29"/>
    </row>
    <row r="3438" spans="2:50">
      <c r="B3438" s="19"/>
      <c r="K3438" s="21"/>
      <c r="T3438" s="28"/>
      <c r="AS3438" s="24"/>
      <c r="AT3438" s="24"/>
      <c r="AU3438" s="24"/>
      <c r="AV3438" s="24"/>
      <c r="AX3438" s="29"/>
    </row>
    <row r="3439" spans="2:50">
      <c r="B3439" s="19"/>
      <c r="K3439" s="21"/>
      <c r="T3439" s="28"/>
      <c r="AS3439" s="24"/>
      <c r="AT3439" s="24"/>
      <c r="AU3439" s="24"/>
      <c r="AV3439" s="24"/>
      <c r="AX3439" s="29"/>
    </row>
    <row r="3440" spans="2:50">
      <c r="B3440" s="19"/>
      <c r="K3440" s="21"/>
      <c r="T3440" s="28"/>
      <c r="AS3440" s="24"/>
      <c r="AT3440" s="24"/>
      <c r="AU3440" s="24"/>
      <c r="AV3440" s="24"/>
      <c r="AX3440" s="29"/>
    </row>
    <row r="3441" spans="2:50">
      <c r="B3441" s="19"/>
      <c r="K3441" s="21"/>
      <c r="T3441" s="28"/>
      <c r="AS3441" s="24"/>
      <c r="AT3441" s="24"/>
      <c r="AU3441" s="24"/>
      <c r="AV3441" s="24"/>
      <c r="AX3441" s="29"/>
    </row>
    <row r="3442" spans="2:50">
      <c r="B3442" s="19"/>
      <c r="K3442" s="21"/>
      <c r="T3442" s="28"/>
      <c r="AS3442" s="24"/>
      <c r="AT3442" s="24"/>
      <c r="AU3442" s="24"/>
      <c r="AV3442" s="24"/>
      <c r="AX3442" s="29"/>
    </row>
    <row r="3443" spans="2:50">
      <c r="B3443" s="19"/>
      <c r="K3443" s="21"/>
      <c r="T3443" s="28"/>
      <c r="AS3443" s="24"/>
      <c r="AT3443" s="24"/>
      <c r="AU3443" s="24"/>
      <c r="AV3443" s="24"/>
      <c r="AX3443" s="29"/>
    </row>
    <row r="3444" spans="2:50">
      <c r="B3444" s="19"/>
      <c r="K3444" s="21"/>
      <c r="T3444" s="28"/>
      <c r="AS3444" s="24"/>
      <c r="AT3444" s="24"/>
      <c r="AU3444" s="24"/>
      <c r="AV3444" s="24"/>
      <c r="AX3444" s="29"/>
    </row>
    <row r="3445" spans="2:50">
      <c r="B3445" s="19"/>
      <c r="K3445" s="21"/>
      <c r="T3445" s="28"/>
      <c r="AS3445" s="24"/>
      <c r="AT3445" s="24"/>
      <c r="AU3445" s="24"/>
      <c r="AV3445" s="24"/>
      <c r="AX3445" s="29"/>
    </row>
    <row r="3446" spans="2:50">
      <c r="B3446" s="19"/>
      <c r="K3446" s="21"/>
      <c r="T3446" s="28"/>
      <c r="AS3446" s="24"/>
      <c r="AT3446" s="24"/>
      <c r="AU3446" s="24"/>
      <c r="AV3446" s="24"/>
      <c r="AX3446" s="29"/>
    </row>
    <row r="3447" spans="2:50">
      <c r="B3447" s="19"/>
      <c r="K3447" s="21"/>
      <c r="T3447" s="28"/>
      <c r="AS3447" s="24"/>
      <c r="AT3447" s="24"/>
      <c r="AU3447" s="24"/>
      <c r="AV3447" s="24"/>
      <c r="AX3447" s="29"/>
    </row>
    <row r="3448" spans="2:50">
      <c r="B3448" s="19"/>
      <c r="K3448" s="21"/>
      <c r="T3448" s="28"/>
      <c r="AS3448" s="24"/>
      <c r="AT3448" s="24"/>
      <c r="AU3448" s="24"/>
      <c r="AV3448" s="24"/>
      <c r="AX3448" s="29"/>
    </row>
    <row r="3449" spans="2:50">
      <c r="B3449" s="19"/>
      <c r="K3449" s="21"/>
      <c r="T3449" s="28"/>
      <c r="AS3449" s="24"/>
      <c r="AT3449" s="24"/>
      <c r="AU3449" s="24"/>
      <c r="AV3449" s="24"/>
      <c r="AX3449" s="29"/>
    </row>
    <row r="3450" spans="2:50">
      <c r="B3450" s="19"/>
      <c r="K3450" s="21"/>
      <c r="T3450" s="28"/>
      <c r="AS3450" s="24"/>
      <c r="AT3450" s="24"/>
      <c r="AU3450" s="24"/>
      <c r="AV3450" s="24"/>
      <c r="AX3450" s="29"/>
    </row>
    <row r="3451" spans="2:50">
      <c r="B3451" s="19"/>
      <c r="K3451" s="21"/>
      <c r="T3451" s="28"/>
      <c r="AS3451" s="24"/>
      <c r="AT3451" s="24"/>
      <c r="AU3451" s="24"/>
      <c r="AV3451" s="24"/>
      <c r="AX3451" s="29"/>
    </row>
    <row r="3452" spans="2:50">
      <c r="B3452" s="19"/>
      <c r="K3452" s="21"/>
      <c r="T3452" s="28"/>
      <c r="AS3452" s="24"/>
      <c r="AT3452" s="24"/>
      <c r="AU3452" s="24"/>
      <c r="AV3452" s="24"/>
      <c r="AX3452" s="29"/>
    </row>
    <row r="3453" spans="2:50">
      <c r="B3453" s="19"/>
      <c r="K3453" s="21"/>
      <c r="T3453" s="28"/>
      <c r="AS3453" s="24"/>
      <c r="AT3453" s="24"/>
      <c r="AU3453" s="24"/>
      <c r="AV3453" s="24"/>
      <c r="AX3453" s="29"/>
    </row>
    <row r="3454" spans="2:50">
      <c r="B3454" s="19"/>
      <c r="K3454" s="21"/>
      <c r="T3454" s="28"/>
      <c r="AS3454" s="24"/>
      <c r="AT3454" s="24"/>
      <c r="AU3454" s="24"/>
      <c r="AV3454" s="24"/>
      <c r="AX3454" s="29"/>
    </row>
    <row r="3455" spans="2:50">
      <c r="B3455" s="19"/>
      <c r="K3455" s="21"/>
      <c r="T3455" s="28"/>
      <c r="AS3455" s="24"/>
      <c r="AT3455" s="24"/>
      <c r="AU3455" s="24"/>
      <c r="AV3455" s="24"/>
      <c r="AX3455" s="29"/>
    </row>
    <row r="3456" spans="2:50">
      <c r="B3456" s="19"/>
      <c r="K3456" s="21"/>
      <c r="T3456" s="28"/>
      <c r="AS3456" s="24"/>
      <c r="AT3456" s="24"/>
      <c r="AU3456" s="24"/>
      <c r="AV3456" s="24"/>
      <c r="AX3456" s="29"/>
    </row>
    <row r="3457" spans="2:50">
      <c r="B3457" s="19"/>
      <c r="K3457" s="21"/>
      <c r="T3457" s="28"/>
      <c r="AS3457" s="24"/>
      <c r="AT3457" s="24"/>
      <c r="AU3457" s="24"/>
      <c r="AV3457" s="24"/>
      <c r="AX3457" s="29"/>
    </row>
    <row r="3458" spans="2:50">
      <c r="B3458" s="19"/>
      <c r="K3458" s="21"/>
      <c r="T3458" s="28"/>
      <c r="AS3458" s="24"/>
      <c r="AT3458" s="24"/>
      <c r="AU3458" s="24"/>
      <c r="AV3458" s="24"/>
      <c r="AX3458" s="29"/>
    </row>
    <row r="3459" spans="2:50">
      <c r="B3459" s="19"/>
      <c r="K3459" s="21"/>
      <c r="T3459" s="28"/>
      <c r="AS3459" s="24"/>
      <c r="AT3459" s="24"/>
      <c r="AU3459" s="24"/>
      <c r="AV3459" s="24"/>
      <c r="AX3459" s="29"/>
    </row>
    <row r="3460" spans="2:50">
      <c r="B3460" s="19"/>
      <c r="K3460" s="21"/>
      <c r="T3460" s="28"/>
      <c r="AS3460" s="24"/>
      <c r="AT3460" s="24"/>
      <c r="AU3460" s="24"/>
      <c r="AV3460" s="24"/>
      <c r="AX3460" s="29"/>
    </row>
    <row r="3461" spans="2:50">
      <c r="B3461" s="19"/>
      <c r="K3461" s="21"/>
      <c r="T3461" s="28"/>
      <c r="AS3461" s="24"/>
      <c r="AT3461" s="24"/>
      <c r="AU3461" s="24"/>
      <c r="AV3461" s="24"/>
      <c r="AX3461" s="29"/>
    </row>
    <row r="3462" spans="2:50">
      <c r="B3462" s="19"/>
      <c r="K3462" s="21"/>
      <c r="T3462" s="28"/>
      <c r="AS3462" s="24"/>
      <c r="AT3462" s="24"/>
      <c r="AU3462" s="24"/>
      <c r="AV3462" s="24"/>
      <c r="AX3462" s="29"/>
    </row>
    <row r="3463" spans="2:50">
      <c r="B3463" s="19"/>
      <c r="K3463" s="21"/>
      <c r="T3463" s="28"/>
      <c r="AS3463" s="24"/>
      <c r="AT3463" s="24"/>
      <c r="AU3463" s="24"/>
      <c r="AV3463" s="24"/>
      <c r="AX3463" s="29"/>
    </row>
    <row r="3464" spans="2:50">
      <c r="B3464" s="19"/>
      <c r="K3464" s="21"/>
      <c r="T3464" s="28"/>
      <c r="AS3464" s="24"/>
      <c r="AT3464" s="24"/>
      <c r="AU3464" s="24"/>
      <c r="AV3464" s="24"/>
      <c r="AX3464" s="29"/>
    </row>
    <row r="3465" spans="2:50">
      <c r="B3465" s="19"/>
      <c r="K3465" s="21"/>
      <c r="T3465" s="28"/>
      <c r="AS3465" s="24"/>
      <c r="AT3465" s="24"/>
      <c r="AU3465" s="24"/>
      <c r="AV3465" s="24"/>
      <c r="AX3465" s="29"/>
    </row>
    <row r="3466" spans="2:50">
      <c r="B3466" s="19"/>
      <c r="K3466" s="21"/>
      <c r="T3466" s="28"/>
      <c r="AS3466" s="24"/>
      <c r="AT3466" s="24"/>
      <c r="AU3466" s="24"/>
      <c r="AV3466" s="24"/>
      <c r="AX3466" s="29"/>
    </row>
    <row r="3467" spans="2:50">
      <c r="B3467" s="19"/>
      <c r="K3467" s="21"/>
      <c r="T3467" s="28"/>
      <c r="AS3467" s="24"/>
      <c r="AT3467" s="24"/>
      <c r="AU3467" s="24"/>
      <c r="AV3467" s="24"/>
      <c r="AX3467" s="29"/>
    </row>
    <row r="3468" spans="2:50">
      <c r="B3468" s="19"/>
      <c r="K3468" s="21"/>
      <c r="T3468" s="28"/>
      <c r="AS3468" s="24"/>
      <c r="AT3468" s="24"/>
      <c r="AU3468" s="24"/>
      <c r="AV3468" s="24"/>
      <c r="AX3468" s="29"/>
    </row>
    <row r="3469" spans="2:50">
      <c r="B3469" s="30"/>
      <c r="K3469" s="21"/>
      <c r="T3469" s="28"/>
      <c r="AS3469" s="24"/>
      <c r="AT3469" s="24"/>
      <c r="AU3469" s="24"/>
      <c r="AV3469" s="24"/>
      <c r="AX3469" s="29"/>
    </row>
    <row r="3470" spans="2:50">
      <c r="B3470" s="19"/>
      <c r="K3470" s="21"/>
      <c r="T3470" s="28"/>
      <c r="AS3470" s="24"/>
      <c r="AT3470" s="24"/>
      <c r="AU3470" s="24"/>
      <c r="AV3470" s="24"/>
      <c r="AX3470" s="29"/>
    </row>
    <row r="3471" spans="2:50">
      <c r="B3471" s="19"/>
      <c r="K3471" s="21"/>
      <c r="T3471" s="28"/>
      <c r="AS3471" s="24"/>
      <c r="AT3471" s="24"/>
      <c r="AU3471" s="24"/>
      <c r="AV3471" s="24"/>
      <c r="AX3471" s="29"/>
    </row>
    <row r="3472" spans="2:50">
      <c r="B3472" s="19"/>
      <c r="K3472" s="21"/>
      <c r="T3472" s="28"/>
      <c r="AS3472" s="24"/>
      <c r="AT3472" s="24"/>
      <c r="AU3472" s="24"/>
      <c r="AV3472" s="24"/>
      <c r="AX3472" s="29"/>
    </row>
    <row r="3473" spans="2:50">
      <c r="B3473" s="19"/>
      <c r="K3473" s="21"/>
      <c r="T3473" s="28"/>
      <c r="AS3473" s="24"/>
      <c r="AT3473" s="24"/>
      <c r="AU3473" s="24"/>
      <c r="AV3473" s="24"/>
      <c r="AX3473" s="29"/>
    </row>
    <row r="3474" spans="2:50">
      <c r="B3474" s="19"/>
      <c r="K3474" s="21"/>
      <c r="T3474" s="28"/>
      <c r="AS3474" s="24"/>
      <c r="AT3474" s="24"/>
      <c r="AU3474" s="24"/>
      <c r="AV3474" s="24"/>
      <c r="AX3474" s="29"/>
    </row>
    <row r="3475" spans="2:50">
      <c r="B3475" s="19"/>
      <c r="K3475" s="21"/>
      <c r="T3475" s="28"/>
      <c r="AS3475" s="24"/>
      <c r="AT3475" s="24"/>
      <c r="AU3475" s="24"/>
      <c r="AV3475" s="24"/>
      <c r="AX3475" s="29"/>
    </row>
    <row r="3476" spans="2:50">
      <c r="B3476" s="19"/>
      <c r="K3476" s="21"/>
      <c r="T3476" s="28"/>
      <c r="AS3476" s="24"/>
      <c r="AT3476" s="24"/>
      <c r="AU3476" s="24"/>
      <c r="AV3476" s="24"/>
      <c r="AX3476" s="29"/>
    </row>
    <row r="3477" spans="2:50">
      <c r="B3477" s="19"/>
      <c r="K3477" s="21"/>
      <c r="T3477" s="28"/>
      <c r="AS3477" s="24"/>
      <c r="AT3477" s="24"/>
      <c r="AU3477" s="24"/>
      <c r="AV3477" s="24"/>
      <c r="AX3477" s="29"/>
    </row>
    <row r="3478" spans="2:50">
      <c r="B3478" s="19"/>
      <c r="K3478" s="21"/>
      <c r="T3478" s="28"/>
      <c r="AS3478" s="24"/>
      <c r="AT3478" s="24"/>
      <c r="AU3478" s="24"/>
      <c r="AV3478" s="24"/>
      <c r="AX3478" s="29"/>
    </row>
    <row r="3479" spans="2:50">
      <c r="B3479" s="19"/>
      <c r="K3479" s="21"/>
      <c r="T3479" s="28"/>
      <c r="AS3479" s="24"/>
      <c r="AT3479" s="24"/>
      <c r="AU3479" s="24"/>
      <c r="AV3479" s="24"/>
      <c r="AX3479" s="29"/>
    </row>
    <row r="3480" spans="2:50">
      <c r="B3480" s="19"/>
      <c r="K3480" s="21"/>
      <c r="T3480" s="28"/>
      <c r="AS3480" s="24"/>
      <c r="AT3480" s="24"/>
      <c r="AU3480" s="24"/>
      <c r="AV3480" s="24"/>
      <c r="AX3480" s="29"/>
    </row>
    <row r="3481" spans="2:50">
      <c r="B3481" s="19"/>
      <c r="K3481" s="21"/>
      <c r="T3481" s="28"/>
      <c r="AS3481" s="24"/>
      <c r="AT3481" s="24"/>
      <c r="AU3481" s="24"/>
      <c r="AV3481" s="24"/>
      <c r="AX3481" s="29"/>
    </row>
    <row r="3482" spans="2:50">
      <c r="B3482" s="19"/>
      <c r="K3482" s="21"/>
      <c r="T3482" s="28"/>
      <c r="AS3482" s="24"/>
      <c r="AT3482" s="24"/>
      <c r="AU3482" s="24"/>
      <c r="AV3482" s="24"/>
      <c r="AX3482" s="29"/>
    </row>
    <row r="3483" spans="2:50">
      <c r="B3483" s="19"/>
      <c r="K3483" s="21"/>
      <c r="T3483" s="28"/>
      <c r="AS3483" s="24"/>
      <c r="AT3483" s="24"/>
      <c r="AU3483" s="24"/>
      <c r="AV3483" s="24"/>
      <c r="AX3483" s="29"/>
    </row>
    <row r="3484" spans="2:50">
      <c r="B3484" s="19"/>
      <c r="K3484" s="21"/>
      <c r="T3484" s="28"/>
      <c r="AS3484" s="24"/>
      <c r="AT3484" s="24"/>
      <c r="AU3484" s="24"/>
      <c r="AV3484" s="24"/>
      <c r="AX3484" s="29"/>
    </row>
    <row r="3485" spans="2:50">
      <c r="B3485" s="19"/>
      <c r="K3485" s="21"/>
      <c r="T3485" s="28"/>
      <c r="AS3485" s="24"/>
      <c r="AT3485" s="24"/>
      <c r="AU3485" s="24"/>
      <c r="AV3485" s="24"/>
      <c r="AX3485" s="29"/>
    </row>
    <row r="3486" spans="2:50">
      <c r="B3486" s="19"/>
      <c r="K3486" s="21"/>
      <c r="T3486" s="28"/>
      <c r="AS3486" s="24"/>
      <c r="AT3486" s="24"/>
      <c r="AU3486" s="24"/>
      <c r="AV3486" s="24"/>
      <c r="AX3486" s="29"/>
    </row>
    <row r="3487" spans="2:50">
      <c r="B3487" s="19"/>
      <c r="K3487" s="21"/>
      <c r="T3487" s="28"/>
      <c r="AS3487" s="24"/>
      <c r="AT3487" s="24"/>
      <c r="AU3487" s="24"/>
      <c r="AV3487" s="24"/>
      <c r="AX3487" s="29"/>
    </row>
    <row r="3488" spans="2:50">
      <c r="B3488" s="19"/>
      <c r="K3488" s="21"/>
      <c r="T3488" s="28"/>
      <c r="AS3488" s="24"/>
      <c r="AT3488" s="24"/>
      <c r="AU3488" s="24"/>
      <c r="AV3488" s="24"/>
      <c r="AX3488" s="29"/>
    </row>
    <row r="3489" spans="1:50">
      <c r="B3489" s="19"/>
      <c r="K3489" s="21"/>
      <c r="T3489" s="28"/>
      <c r="AS3489" s="24"/>
      <c r="AT3489" s="24"/>
      <c r="AU3489" s="24"/>
      <c r="AV3489" s="24"/>
      <c r="AX3489" s="29"/>
    </row>
    <row r="3490" spans="1:50">
      <c r="B3490" s="19"/>
      <c r="G3490" s="45"/>
      <c r="K3490" s="21"/>
      <c r="T3490" s="28"/>
      <c r="AS3490" s="24"/>
      <c r="AT3490" s="24"/>
      <c r="AU3490" s="24"/>
      <c r="AV3490" s="24"/>
      <c r="AX3490" s="29"/>
    </row>
    <row r="3491" spans="1:50">
      <c r="B3491" s="19"/>
      <c r="G3491" s="45"/>
      <c r="K3491" s="21"/>
      <c r="T3491" s="28"/>
      <c r="AS3491" s="24"/>
      <c r="AT3491" s="24"/>
      <c r="AU3491" s="24"/>
      <c r="AV3491" s="24"/>
      <c r="AX3491" s="29"/>
    </row>
    <row r="3492" spans="1:50">
      <c r="B3492" s="19"/>
      <c r="G3492" s="45"/>
      <c r="K3492" s="21"/>
      <c r="T3492" s="28"/>
      <c r="AS3492" s="24"/>
      <c r="AT3492" s="24"/>
      <c r="AU3492" s="24"/>
      <c r="AV3492" s="24"/>
      <c r="AX3492" s="29"/>
    </row>
    <row r="3493" spans="1:50">
      <c r="B3493" s="19"/>
      <c r="G3493" s="46"/>
      <c r="K3493" s="19"/>
      <c r="L3493" s="19"/>
      <c r="T3493" s="28"/>
      <c r="AS3493" s="24"/>
      <c r="AT3493" s="24"/>
      <c r="AU3493" s="24"/>
      <c r="AV3493" s="24"/>
      <c r="AX3493" s="29"/>
    </row>
    <row r="3494" spans="1:50">
      <c r="B3494" s="19"/>
      <c r="K3494" s="21"/>
      <c r="T3494" s="28"/>
      <c r="AS3494" s="24"/>
      <c r="AT3494" s="24"/>
      <c r="AU3494" s="24"/>
      <c r="AV3494" s="24"/>
      <c r="AX3494" s="29"/>
    </row>
    <row r="3495" spans="1:50">
      <c r="B3495" s="19"/>
      <c r="K3495" s="21"/>
      <c r="T3495" s="28"/>
      <c r="AS3495" s="24"/>
      <c r="AT3495" s="24"/>
      <c r="AU3495" s="24"/>
      <c r="AV3495" s="24"/>
      <c r="AX3495" s="29"/>
    </row>
    <row r="3496" spans="1:50">
      <c r="B3496" s="19"/>
      <c r="K3496" s="21"/>
      <c r="T3496" s="28"/>
      <c r="AS3496" s="24"/>
      <c r="AT3496" s="24"/>
      <c r="AU3496" s="24"/>
      <c r="AV3496" s="24"/>
      <c r="AX3496" s="29"/>
    </row>
    <row r="3497" spans="1:50">
      <c r="B3497" s="19"/>
      <c r="K3497" s="21"/>
      <c r="T3497" s="28"/>
      <c r="AS3497" s="24"/>
      <c r="AT3497" s="24"/>
      <c r="AU3497" s="24"/>
      <c r="AV3497" s="24"/>
      <c r="AX3497" s="29"/>
    </row>
    <row r="3498" spans="1:50">
      <c r="B3498" s="19"/>
      <c r="K3498" s="21"/>
      <c r="T3498" s="28"/>
      <c r="AS3498" s="24"/>
      <c r="AT3498" s="24"/>
      <c r="AU3498" s="24"/>
      <c r="AV3498" s="24"/>
      <c r="AX3498" s="29"/>
    </row>
    <row r="3499" spans="1:50">
      <c r="B3499" s="19"/>
      <c r="G3499" s="46"/>
      <c r="K3499" s="19"/>
      <c r="L3499" s="19"/>
      <c r="T3499" s="28"/>
      <c r="AS3499" s="24"/>
      <c r="AT3499" s="24"/>
      <c r="AU3499" s="24"/>
      <c r="AV3499" s="24"/>
      <c r="AX3499" s="29"/>
    </row>
    <row r="3500" spans="1:50">
      <c r="B3500" s="19"/>
      <c r="G3500" s="47"/>
      <c r="K3500" s="19"/>
      <c r="L3500" s="19"/>
      <c r="T3500" s="28"/>
      <c r="AS3500" s="24"/>
      <c r="AT3500" s="24"/>
      <c r="AU3500" s="24"/>
      <c r="AV3500" s="24"/>
      <c r="AX3500" s="29"/>
    </row>
    <row r="3501" spans="1:50">
      <c r="B3501" s="19"/>
      <c r="G3501" s="47"/>
      <c r="K3501" s="19"/>
      <c r="L3501" s="19"/>
      <c r="T3501" s="28"/>
      <c r="AS3501" s="24"/>
      <c r="AT3501" s="24"/>
      <c r="AU3501" s="24"/>
      <c r="AV3501" s="24"/>
      <c r="AX3501" s="29"/>
    </row>
    <row r="3502" spans="1:50">
      <c r="B3502" s="19"/>
      <c r="G3502" s="47"/>
      <c r="K3502" s="19"/>
      <c r="L3502" s="19"/>
      <c r="T3502" s="28"/>
      <c r="AS3502" s="24"/>
      <c r="AT3502" s="24"/>
      <c r="AU3502" s="24"/>
      <c r="AV3502" s="24"/>
      <c r="AX3502" s="29"/>
    </row>
    <row r="3503" spans="1:50">
      <c r="B3503" s="19"/>
      <c r="G3503" s="47"/>
      <c r="K3503" s="19"/>
      <c r="L3503" s="19"/>
      <c r="T3503" s="28"/>
      <c r="AS3503" s="24"/>
      <c r="AT3503" s="24"/>
      <c r="AU3503" s="24"/>
      <c r="AV3503" s="24"/>
      <c r="AX3503" s="29"/>
    </row>
    <row r="3504" spans="1:50">
      <c r="A3504" s="19"/>
      <c r="B3504" s="19"/>
      <c r="G3504" s="47"/>
      <c r="K3504" s="19"/>
      <c r="L3504" s="19"/>
      <c r="T3504" s="28"/>
      <c r="AS3504" s="24"/>
      <c r="AT3504" s="24"/>
      <c r="AU3504" s="24"/>
      <c r="AV3504" s="24"/>
      <c r="AX3504" s="29"/>
    </row>
    <row r="3505" spans="1:50">
      <c r="A3505" s="19"/>
      <c r="B3505" s="19"/>
      <c r="G3505" s="47"/>
      <c r="K3505" s="19"/>
      <c r="L3505" s="19"/>
      <c r="T3505" s="28"/>
      <c r="AS3505" s="24"/>
      <c r="AT3505" s="24"/>
      <c r="AU3505" s="24"/>
      <c r="AV3505" s="24"/>
      <c r="AX3505" s="29"/>
    </row>
    <row r="3506" spans="1:50">
      <c r="A3506" s="19"/>
      <c r="B3506" s="19"/>
      <c r="G3506" s="47"/>
      <c r="K3506" s="19"/>
      <c r="L3506" s="19"/>
      <c r="T3506" s="28"/>
      <c r="AS3506" s="24"/>
      <c r="AT3506" s="24"/>
      <c r="AU3506" s="24"/>
      <c r="AV3506" s="24"/>
      <c r="AX3506" s="29"/>
    </row>
    <row r="3507" spans="1:50">
      <c r="B3507" s="19"/>
      <c r="K3507" s="21"/>
      <c r="T3507" s="28"/>
      <c r="AS3507" s="24"/>
      <c r="AT3507" s="24"/>
      <c r="AU3507" s="24"/>
      <c r="AV3507" s="24"/>
      <c r="AX3507" s="29"/>
    </row>
    <row r="3508" spans="1:50">
      <c r="B3508" s="19"/>
      <c r="K3508" s="21"/>
      <c r="T3508" s="28"/>
      <c r="AS3508" s="24"/>
      <c r="AT3508" s="24"/>
      <c r="AU3508" s="24"/>
      <c r="AV3508" s="24"/>
      <c r="AX3508" s="29"/>
    </row>
    <row r="3509" spans="1:50">
      <c r="B3509" s="19"/>
      <c r="K3509" s="21"/>
      <c r="T3509" s="28"/>
      <c r="AS3509" s="24"/>
      <c r="AT3509" s="24"/>
      <c r="AU3509" s="24"/>
      <c r="AV3509" s="24"/>
      <c r="AX3509" s="29"/>
    </row>
    <row r="3510" spans="1:50">
      <c r="B3510" s="19"/>
      <c r="K3510" s="21"/>
      <c r="T3510" s="28"/>
      <c r="AS3510" s="24"/>
      <c r="AT3510" s="24"/>
      <c r="AU3510" s="24"/>
      <c r="AV3510" s="24"/>
      <c r="AX3510" s="29"/>
    </row>
    <row r="3511" spans="1:50">
      <c r="B3511" s="19"/>
      <c r="K3511" s="21"/>
      <c r="T3511" s="28"/>
      <c r="AS3511" s="24"/>
      <c r="AT3511" s="24"/>
      <c r="AU3511" s="24"/>
      <c r="AV3511" s="24"/>
      <c r="AX3511" s="29"/>
    </row>
    <row r="3512" spans="1:50">
      <c r="B3512" s="19"/>
      <c r="K3512" s="21"/>
      <c r="T3512" s="28"/>
      <c r="AS3512" s="24"/>
      <c r="AT3512" s="24"/>
      <c r="AU3512" s="24"/>
      <c r="AV3512" s="24"/>
      <c r="AX3512" s="29"/>
    </row>
    <row r="3513" spans="1:50">
      <c r="B3513" s="19"/>
      <c r="K3513" s="21"/>
      <c r="T3513" s="28"/>
      <c r="AS3513" s="24"/>
      <c r="AT3513" s="24"/>
      <c r="AU3513" s="24"/>
      <c r="AV3513" s="24"/>
      <c r="AX3513" s="29"/>
    </row>
    <row r="3514" spans="1:50">
      <c r="B3514" s="19"/>
      <c r="K3514" s="21"/>
      <c r="T3514" s="28"/>
      <c r="AS3514" s="24"/>
      <c r="AT3514" s="24"/>
      <c r="AU3514" s="24"/>
      <c r="AV3514" s="24"/>
      <c r="AX3514" s="29"/>
    </row>
    <row r="3515" spans="1:50">
      <c r="B3515" s="19"/>
      <c r="K3515" s="21"/>
      <c r="T3515" s="28"/>
      <c r="AS3515" s="24"/>
      <c r="AT3515" s="24"/>
      <c r="AU3515" s="24"/>
      <c r="AV3515" s="24"/>
      <c r="AX3515" s="29"/>
    </row>
    <row r="3516" spans="1:50">
      <c r="B3516" s="19"/>
      <c r="K3516" s="21"/>
      <c r="T3516" s="28"/>
      <c r="AS3516" s="24"/>
      <c r="AT3516" s="24"/>
      <c r="AU3516" s="24"/>
      <c r="AV3516" s="24"/>
      <c r="AX3516" s="29"/>
    </row>
    <row r="3517" spans="1:50">
      <c r="B3517" s="19"/>
      <c r="K3517" s="21"/>
      <c r="T3517" s="28"/>
      <c r="AS3517" s="24"/>
      <c r="AT3517" s="24"/>
      <c r="AU3517" s="24"/>
      <c r="AV3517" s="24"/>
      <c r="AX3517" s="29"/>
    </row>
    <row r="3518" spans="1:50">
      <c r="B3518" s="19"/>
      <c r="K3518" s="21"/>
      <c r="T3518" s="28"/>
      <c r="AS3518" s="24"/>
      <c r="AT3518" s="24"/>
      <c r="AU3518" s="24"/>
      <c r="AV3518" s="24"/>
      <c r="AX3518" s="29"/>
    </row>
    <row r="3519" spans="1:50">
      <c r="B3519" s="19"/>
      <c r="K3519" s="21"/>
      <c r="T3519" s="28"/>
      <c r="AS3519" s="24"/>
      <c r="AT3519" s="24"/>
      <c r="AU3519" s="24"/>
      <c r="AV3519" s="24"/>
      <c r="AX3519" s="29"/>
    </row>
    <row r="3520" spans="1:50">
      <c r="B3520" s="19"/>
      <c r="K3520" s="21"/>
      <c r="T3520" s="28"/>
      <c r="AS3520" s="24"/>
      <c r="AT3520" s="24"/>
      <c r="AU3520" s="24"/>
      <c r="AV3520" s="24"/>
      <c r="AX3520" s="29"/>
    </row>
    <row r="3521" spans="2:50">
      <c r="B3521" s="19"/>
      <c r="K3521" s="21"/>
      <c r="T3521" s="28"/>
      <c r="AS3521" s="24"/>
      <c r="AT3521" s="24"/>
      <c r="AU3521" s="24"/>
      <c r="AV3521" s="24"/>
      <c r="AX3521" s="29"/>
    </row>
    <row r="3522" spans="2:50">
      <c r="B3522" s="19"/>
      <c r="K3522" s="21"/>
      <c r="T3522" s="28"/>
      <c r="AS3522" s="24"/>
      <c r="AT3522" s="24"/>
      <c r="AU3522" s="24"/>
      <c r="AV3522" s="24"/>
      <c r="AX3522" s="29"/>
    </row>
    <row r="3523" spans="2:50">
      <c r="B3523" s="19"/>
      <c r="K3523" s="21"/>
      <c r="T3523" s="28"/>
      <c r="AS3523" s="24"/>
      <c r="AT3523" s="24"/>
      <c r="AU3523" s="24"/>
      <c r="AV3523" s="24"/>
      <c r="AX3523" s="29"/>
    </row>
    <row r="3524" spans="2:50">
      <c r="B3524" s="19"/>
      <c r="K3524" s="21"/>
      <c r="T3524" s="28"/>
      <c r="AS3524" s="24"/>
      <c r="AT3524" s="24"/>
      <c r="AU3524" s="24"/>
      <c r="AV3524" s="24"/>
      <c r="AX3524" s="29"/>
    </row>
    <row r="3525" spans="2:50">
      <c r="B3525" s="19"/>
      <c r="K3525" s="21"/>
      <c r="T3525" s="28"/>
      <c r="AS3525" s="24"/>
      <c r="AT3525" s="24"/>
      <c r="AU3525" s="24"/>
      <c r="AV3525" s="24"/>
      <c r="AX3525" s="29"/>
    </row>
    <row r="3526" spans="2:50">
      <c r="B3526" s="19"/>
      <c r="K3526" s="21"/>
      <c r="T3526" s="28"/>
      <c r="AS3526" s="24"/>
      <c r="AT3526" s="24"/>
      <c r="AU3526" s="24"/>
      <c r="AV3526" s="24"/>
      <c r="AX3526" s="29"/>
    </row>
    <row r="3527" spans="2:50">
      <c r="B3527" s="19"/>
      <c r="K3527" s="21"/>
      <c r="T3527" s="28"/>
      <c r="AS3527" s="24"/>
      <c r="AT3527" s="24"/>
      <c r="AU3527" s="24"/>
      <c r="AV3527" s="24"/>
      <c r="AX3527" s="29"/>
    </row>
    <row r="3528" spans="2:50">
      <c r="B3528" s="19"/>
      <c r="K3528" s="21"/>
      <c r="T3528" s="28"/>
      <c r="AS3528" s="24"/>
      <c r="AT3528" s="24"/>
      <c r="AU3528" s="24"/>
      <c r="AV3528" s="24"/>
      <c r="AX3528" s="29"/>
    </row>
    <row r="3529" spans="2:50">
      <c r="B3529" s="19"/>
      <c r="K3529" s="21"/>
      <c r="T3529" s="28"/>
      <c r="AS3529" s="24"/>
      <c r="AT3529" s="24"/>
      <c r="AU3529" s="24"/>
      <c r="AV3529" s="24"/>
      <c r="AX3529" s="29"/>
    </row>
    <row r="3530" spans="2:50">
      <c r="B3530" s="19"/>
      <c r="K3530" s="21"/>
      <c r="T3530" s="28"/>
      <c r="AS3530" s="24"/>
      <c r="AT3530" s="24"/>
      <c r="AU3530" s="24"/>
      <c r="AV3530" s="24"/>
      <c r="AX3530" s="29"/>
    </row>
    <row r="3531" spans="2:50">
      <c r="B3531" s="19"/>
      <c r="K3531" s="21"/>
      <c r="T3531" s="28"/>
      <c r="AS3531" s="24"/>
      <c r="AT3531" s="24"/>
      <c r="AU3531" s="24"/>
      <c r="AV3531" s="24"/>
      <c r="AX3531" s="29"/>
    </row>
    <row r="3532" spans="2:50">
      <c r="B3532" s="19"/>
      <c r="K3532" s="21"/>
      <c r="T3532" s="28"/>
      <c r="AS3532" s="24"/>
      <c r="AT3532" s="24"/>
      <c r="AU3532" s="24"/>
      <c r="AV3532" s="24"/>
      <c r="AX3532" s="29"/>
    </row>
    <row r="3533" spans="2:50">
      <c r="B3533" s="19"/>
      <c r="K3533" s="21"/>
      <c r="T3533" s="28"/>
      <c r="AS3533" s="24"/>
      <c r="AT3533" s="24"/>
      <c r="AU3533" s="24"/>
      <c r="AV3533" s="24"/>
      <c r="AX3533" s="29"/>
    </row>
    <row r="3534" spans="2:50">
      <c r="B3534" s="19"/>
      <c r="K3534" s="21"/>
      <c r="T3534" s="28"/>
      <c r="AS3534" s="24"/>
      <c r="AT3534" s="24"/>
      <c r="AU3534" s="24"/>
      <c r="AV3534" s="24"/>
      <c r="AX3534" s="29"/>
    </row>
    <row r="3535" spans="2:50">
      <c r="B3535" s="19"/>
      <c r="K3535" s="21"/>
      <c r="T3535" s="28"/>
      <c r="AS3535" s="24"/>
      <c r="AT3535" s="24"/>
      <c r="AU3535" s="24"/>
      <c r="AV3535" s="24"/>
      <c r="AX3535" s="29"/>
    </row>
    <row r="3536" spans="2:50">
      <c r="B3536" s="19"/>
      <c r="K3536" s="21"/>
      <c r="T3536" s="28"/>
      <c r="AS3536" s="24"/>
      <c r="AT3536" s="24"/>
      <c r="AU3536" s="24"/>
      <c r="AV3536" s="24"/>
      <c r="AX3536" s="29"/>
    </row>
    <row r="3537" spans="2:50">
      <c r="B3537" s="19"/>
      <c r="K3537" s="21"/>
      <c r="T3537" s="28"/>
      <c r="AS3537" s="24"/>
      <c r="AT3537" s="24"/>
      <c r="AU3537" s="24"/>
      <c r="AV3537" s="24"/>
      <c r="AX3537" s="29"/>
    </row>
    <row r="3538" spans="2:50">
      <c r="B3538" s="19"/>
      <c r="K3538" s="21"/>
      <c r="T3538" s="28"/>
      <c r="AS3538" s="24"/>
      <c r="AT3538" s="24"/>
      <c r="AU3538" s="24"/>
      <c r="AV3538" s="24"/>
      <c r="AX3538" s="29"/>
    </row>
    <row r="3539" spans="2:50">
      <c r="B3539" s="19"/>
      <c r="K3539" s="21"/>
      <c r="T3539" s="28"/>
      <c r="AS3539" s="24"/>
      <c r="AT3539" s="24"/>
      <c r="AU3539" s="24"/>
      <c r="AV3539" s="24"/>
      <c r="AX3539" s="29"/>
    </row>
    <row r="3540" spans="2:50">
      <c r="B3540" s="19"/>
      <c r="K3540" s="21"/>
      <c r="T3540" s="28"/>
      <c r="AS3540" s="24"/>
      <c r="AT3540" s="24"/>
      <c r="AU3540" s="24"/>
      <c r="AV3540" s="24"/>
      <c r="AX3540" s="29"/>
    </row>
    <row r="3541" spans="2:50">
      <c r="B3541" s="19"/>
      <c r="K3541" s="21"/>
      <c r="T3541" s="28"/>
      <c r="AS3541" s="24"/>
      <c r="AT3541" s="24"/>
      <c r="AU3541" s="24"/>
      <c r="AV3541" s="24"/>
      <c r="AX3541" s="29"/>
    </row>
    <row r="3542" spans="2:50">
      <c r="B3542" s="19"/>
      <c r="K3542" s="21"/>
      <c r="T3542" s="28"/>
      <c r="AS3542" s="24"/>
      <c r="AT3542" s="24"/>
      <c r="AU3542" s="24"/>
      <c r="AV3542" s="24"/>
      <c r="AX3542" s="29"/>
    </row>
    <row r="3543" spans="2:50">
      <c r="B3543" s="19"/>
      <c r="K3543" s="21"/>
      <c r="T3543" s="28"/>
      <c r="AS3543" s="24"/>
      <c r="AT3543" s="24"/>
      <c r="AU3543" s="24"/>
      <c r="AV3543" s="24"/>
      <c r="AX3543" s="29"/>
    </row>
    <row r="3544" spans="2:50">
      <c r="B3544" s="19"/>
      <c r="K3544" s="21"/>
      <c r="T3544" s="28"/>
      <c r="AS3544" s="24"/>
      <c r="AT3544" s="24"/>
      <c r="AU3544" s="24"/>
      <c r="AV3544" s="24"/>
      <c r="AX3544" s="29"/>
    </row>
    <row r="3545" spans="2:50">
      <c r="B3545" s="19"/>
      <c r="K3545" s="21"/>
      <c r="T3545" s="28"/>
      <c r="AS3545" s="24"/>
      <c r="AT3545" s="24"/>
      <c r="AU3545" s="24"/>
      <c r="AV3545" s="24"/>
      <c r="AX3545" s="29"/>
    </row>
    <row r="3546" spans="2:50">
      <c r="B3546" s="19"/>
      <c r="K3546" s="21"/>
      <c r="T3546" s="28"/>
      <c r="AS3546" s="24"/>
      <c r="AT3546" s="24"/>
      <c r="AU3546" s="24"/>
      <c r="AV3546" s="24"/>
      <c r="AX3546" s="29"/>
    </row>
    <row r="3547" spans="2:50">
      <c r="B3547" s="19"/>
      <c r="K3547" s="21"/>
      <c r="T3547" s="28"/>
      <c r="AS3547" s="24"/>
      <c r="AT3547" s="24"/>
      <c r="AU3547" s="24"/>
      <c r="AV3547" s="24"/>
      <c r="AX3547" s="29"/>
    </row>
    <row r="3548" spans="2:50">
      <c r="B3548" s="19"/>
      <c r="K3548" s="21"/>
      <c r="T3548" s="28"/>
      <c r="AS3548" s="24"/>
      <c r="AT3548" s="24"/>
      <c r="AU3548" s="24"/>
      <c r="AV3548" s="24"/>
      <c r="AX3548" s="29"/>
    </row>
    <row r="3549" spans="2:50">
      <c r="B3549" s="19"/>
      <c r="K3549" s="21"/>
      <c r="T3549" s="28"/>
      <c r="AS3549" s="24"/>
      <c r="AT3549" s="24"/>
      <c r="AU3549" s="24"/>
      <c r="AV3549" s="24"/>
      <c r="AX3549" s="29"/>
    </row>
    <row r="3550" spans="2:50">
      <c r="B3550" s="19"/>
      <c r="K3550" s="21"/>
      <c r="T3550" s="28"/>
      <c r="AS3550" s="24"/>
      <c r="AT3550" s="24"/>
      <c r="AU3550" s="24"/>
      <c r="AV3550" s="24"/>
      <c r="AX3550" s="29"/>
    </row>
    <row r="3551" spans="2:50">
      <c r="B3551" s="19"/>
      <c r="K3551" s="21"/>
      <c r="T3551" s="28"/>
      <c r="AS3551" s="24"/>
      <c r="AT3551" s="24"/>
      <c r="AU3551" s="24"/>
      <c r="AV3551" s="24"/>
      <c r="AX3551" s="29"/>
    </row>
    <row r="3552" spans="2:50">
      <c r="B3552" s="19"/>
      <c r="K3552" s="21"/>
      <c r="T3552" s="28"/>
      <c r="AS3552" s="24"/>
      <c r="AT3552" s="24"/>
      <c r="AU3552" s="24"/>
      <c r="AV3552" s="24"/>
      <c r="AX3552" s="29"/>
    </row>
    <row r="3553" spans="2:50">
      <c r="B3553" s="19"/>
      <c r="K3553" s="21"/>
      <c r="T3553" s="28"/>
      <c r="AS3553" s="24"/>
      <c r="AT3553" s="24"/>
      <c r="AU3553" s="24"/>
      <c r="AV3553" s="24"/>
      <c r="AX3553" s="29"/>
    </row>
    <row r="3554" spans="2:50">
      <c r="B3554" s="19"/>
      <c r="K3554" s="21"/>
      <c r="T3554" s="28"/>
      <c r="AS3554" s="24"/>
      <c r="AT3554" s="24"/>
      <c r="AU3554" s="24"/>
      <c r="AV3554" s="24"/>
      <c r="AX3554" s="29"/>
    </row>
    <row r="3555" spans="2:50">
      <c r="B3555" s="19"/>
      <c r="K3555" s="21"/>
      <c r="T3555" s="28"/>
      <c r="AS3555" s="24"/>
      <c r="AT3555" s="24"/>
      <c r="AU3555" s="24"/>
      <c r="AV3555" s="24"/>
      <c r="AX3555" s="29"/>
    </row>
    <row r="3556" spans="2:50">
      <c r="B3556" s="19"/>
      <c r="K3556" s="21"/>
      <c r="T3556" s="28"/>
      <c r="AS3556" s="24"/>
      <c r="AT3556" s="24"/>
      <c r="AU3556" s="24"/>
      <c r="AV3556" s="24"/>
      <c r="AX3556" s="29"/>
    </row>
    <row r="3557" spans="2:50">
      <c r="B3557" s="19"/>
      <c r="K3557" s="21"/>
      <c r="T3557" s="28"/>
      <c r="AS3557" s="24"/>
      <c r="AT3557" s="24"/>
      <c r="AU3557" s="24"/>
      <c r="AV3557" s="24"/>
      <c r="AX3557" s="29"/>
    </row>
    <row r="3558" spans="2:50">
      <c r="B3558" s="19"/>
      <c r="K3558" s="21"/>
      <c r="T3558" s="28"/>
      <c r="AS3558" s="24"/>
      <c r="AT3558" s="24"/>
      <c r="AU3558" s="24"/>
      <c r="AV3558" s="24"/>
      <c r="AX3558" s="29"/>
    </row>
    <row r="3559" spans="2:50">
      <c r="B3559" s="19"/>
      <c r="K3559" s="21"/>
      <c r="T3559" s="28"/>
      <c r="AS3559" s="24"/>
      <c r="AT3559" s="24"/>
      <c r="AU3559" s="24"/>
      <c r="AV3559" s="24"/>
      <c r="AX3559" s="29"/>
    </row>
    <row r="3560" spans="2:50">
      <c r="B3560" s="19"/>
      <c r="K3560" s="21"/>
      <c r="T3560" s="28"/>
      <c r="AS3560" s="24"/>
      <c r="AT3560" s="24"/>
      <c r="AU3560" s="24"/>
      <c r="AV3560" s="24"/>
      <c r="AX3560" s="29"/>
    </row>
    <row r="3561" spans="2:50">
      <c r="B3561" s="19"/>
      <c r="K3561" s="21"/>
      <c r="T3561" s="28"/>
      <c r="AS3561" s="24"/>
      <c r="AT3561" s="24"/>
      <c r="AU3561" s="24"/>
      <c r="AV3561" s="24"/>
      <c r="AX3561" s="29"/>
    </row>
    <row r="3562" spans="2:50">
      <c r="B3562" s="19"/>
      <c r="K3562" s="21"/>
      <c r="T3562" s="28"/>
      <c r="AS3562" s="24"/>
      <c r="AT3562" s="24"/>
      <c r="AU3562" s="24"/>
      <c r="AV3562" s="24"/>
      <c r="AX3562" s="29"/>
    </row>
    <row r="3563" spans="2:50">
      <c r="B3563" s="19"/>
      <c r="K3563" s="21"/>
      <c r="T3563" s="28"/>
      <c r="AS3563" s="24"/>
      <c r="AT3563" s="24"/>
      <c r="AU3563" s="24"/>
      <c r="AV3563" s="24"/>
      <c r="AX3563" s="29"/>
    </row>
    <row r="3564" spans="2:50">
      <c r="B3564" s="19"/>
      <c r="K3564" s="21"/>
      <c r="T3564" s="28"/>
      <c r="AS3564" s="24"/>
      <c r="AT3564" s="24"/>
      <c r="AU3564" s="24"/>
      <c r="AV3564" s="24"/>
      <c r="AX3564" s="29"/>
    </row>
    <row r="3565" spans="2:50">
      <c r="B3565" s="19"/>
      <c r="K3565" s="21"/>
      <c r="T3565" s="28"/>
      <c r="AS3565" s="24"/>
      <c r="AT3565" s="24"/>
      <c r="AU3565" s="24"/>
      <c r="AV3565" s="24"/>
      <c r="AX3565" s="29"/>
    </row>
    <row r="3566" spans="2:50">
      <c r="B3566" s="19"/>
      <c r="K3566" s="21"/>
      <c r="T3566" s="28"/>
      <c r="AS3566" s="24"/>
      <c r="AT3566" s="24"/>
      <c r="AU3566" s="24"/>
      <c r="AV3566" s="24"/>
      <c r="AX3566" s="29"/>
    </row>
    <row r="3567" spans="2:50">
      <c r="B3567" s="19"/>
      <c r="K3567" s="21"/>
      <c r="T3567" s="28"/>
      <c r="AS3567" s="24"/>
      <c r="AT3567" s="24"/>
      <c r="AU3567" s="24"/>
      <c r="AV3567" s="24"/>
      <c r="AX3567" s="29"/>
    </row>
    <row r="3568" spans="2:50">
      <c r="B3568" s="19"/>
      <c r="K3568" s="21"/>
      <c r="T3568" s="28"/>
      <c r="AS3568" s="24"/>
      <c r="AT3568" s="24"/>
      <c r="AU3568" s="24"/>
      <c r="AV3568" s="24"/>
      <c r="AX3568" s="29"/>
    </row>
    <row r="3569" spans="2:50">
      <c r="B3569" s="19"/>
      <c r="K3569" s="21"/>
      <c r="T3569" s="28"/>
      <c r="AS3569" s="24"/>
      <c r="AT3569" s="24"/>
      <c r="AU3569" s="24"/>
      <c r="AV3569" s="24"/>
      <c r="AX3569" s="29"/>
    </row>
    <row r="3570" spans="2:50">
      <c r="B3570" s="19"/>
      <c r="K3570" s="21"/>
      <c r="T3570" s="28"/>
      <c r="AS3570" s="24"/>
      <c r="AT3570" s="24"/>
      <c r="AU3570" s="24"/>
      <c r="AV3570" s="24"/>
      <c r="AX3570" s="29"/>
    </row>
    <row r="3571" spans="2:50">
      <c r="B3571" s="19"/>
      <c r="K3571" s="21"/>
      <c r="T3571" s="28"/>
      <c r="AS3571" s="24"/>
      <c r="AT3571" s="24"/>
      <c r="AU3571" s="24"/>
      <c r="AV3571" s="24"/>
      <c r="AX3571" s="29"/>
    </row>
    <row r="3572" spans="2:50">
      <c r="B3572" s="19"/>
      <c r="K3572" s="21"/>
      <c r="T3572" s="28"/>
      <c r="AS3572" s="24"/>
      <c r="AT3572" s="24"/>
      <c r="AU3572" s="24"/>
      <c r="AV3572" s="24"/>
      <c r="AX3572" s="29"/>
    </row>
    <row r="3573" spans="2:50">
      <c r="B3573" s="19"/>
      <c r="K3573" s="21"/>
      <c r="T3573" s="28"/>
      <c r="AS3573" s="24"/>
      <c r="AT3573" s="24"/>
      <c r="AU3573" s="24"/>
      <c r="AV3573" s="24"/>
      <c r="AX3573" s="29"/>
    </row>
    <row r="3574" spans="2:50">
      <c r="B3574" s="19"/>
      <c r="K3574" s="21"/>
      <c r="T3574" s="28"/>
      <c r="AS3574" s="24"/>
      <c r="AT3574" s="24"/>
      <c r="AU3574" s="24"/>
      <c r="AV3574" s="24"/>
      <c r="AX3574" s="29"/>
    </row>
    <row r="3575" spans="2:50">
      <c r="B3575" s="19"/>
      <c r="K3575" s="21"/>
      <c r="T3575" s="28"/>
      <c r="AS3575" s="24"/>
      <c r="AT3575" s="24"/>
      <c r="AU3575" s="24"/>
      <c r="AV3575" s="24"/>
      <c r="AX3575" s="29"/>
    </row>
    <row r="3576" spans="2:50">
      <c r="B3576" s="19"/>
      <c r="K3576" s="21"/>
      <c r="T3576" s="28"/>
      <c r="AS3576" s="24"/>
      <c r="AT3576" s="24"/>
      <c r="AU3576" s="24"/>
      <c r="AV3576" s="24"/>
      <c r="AX3576" s="29"/>
    </row>
    <row r="3577" spans="2:50">
      <c r="B3577" s="19"/>
      <c r="K3577" s="21"/>
      <c r="T3577" s="28"/>
      <c r="AS3577" s="24"/>
      <c r="AT3577" s="24"/>
      <c r="AU3577" s="24"/>
      <c r="AV3577" s="24"/>
      <c r="AX3577" s="29"/>
    </row>
    <row r="3578" spans="2:50">
      <c r="B3578" s="19"/>
      <c r="K3578" s="21"/>
      <c r="T3578" s="28"/>
      <c r="AS3578" s="24"/>
      <c r="AT3578" s="24"/>
      <c r="AU3578" s="24"/>
      <c r="AV3578" s="24"/>
      <c r="AX3578" s="29"/>
    </row>
    <row r="3579" spans="2:50">
      <c r="B3579" s="19"/>
      <c r="K3579" s="21"/>
      <c r="T3579" s="28"/>
      <c r="AS3579" s="24"/>
      <c r="AT3579" s="24"/>
      <c r="AU3579" s="24"/>
      <c r="AV3579" s="24"/>
      <c r="AX3579" s="29"/>
    </row>
    <row r="3580" spans="2:50">
      <c r="B3580" s="19"/>
      <c r="K3580" s="21"/>
      <c r="T3580" s="28"/>
      <c r="AS3580" s="24"/>
      <c r="AT3580" s="24"/>
      <c r="AU3580" s="24"/>
      <c r="AV3580" s="24"/>
      <c r="AX3580" s="29"/>
    </row>
    <row r="3581" spans="2:50">
      <c r="B3581" s="19"/>
      <c r="K3581" s="21"/>
      <c r="T3581" s="28"/>
      <c r="AS3581" s="24"/>
      <c r="AT3581" s="24"/>
      <c r="AU3581" s="24"/>
      <c r="AV3581" s="24"/>
      <c r="AX3581" s="29"/>
    </row>
    <row r="3582" spans="2:50">
      <c r="B3582" s="19"/>
      <c r="K3582" s="21"/>
      <c r="T3582" s="28"/>
      <c r="AS3582" s="24"/>
      <c r="AT3582" s="24"/>
      <c r="AU3582" s="24"/>
      <c r="AV3582" s="24"/>
      <c r="AX3582" s="29"/>
    </row>
    <row r="3583" spans="2:50">
      <c r="B3583" s="19"/>
      <c r="K3583" s="21"/>
      <c r="T3583" s="28"/>
      <c r="AS3583" s="24"/>
      <c r="AT3583" s="24"/>
      <c r="AU3583" s="24"/>
      <c r="AV3583" s="24"/>
      <c r="AX3583" s="29"/>
    </row>
    <row r="3584" spans="2:50">
      <c r="B3584" s="19"/>
      <c r="K3584" s="21"/>
      <c r="T3584" s="28"/>
      <c r="AS3584" s="24"/>
      <c r="AT3584" s="24"/>
      <c r="AU3584" s="24"/>
      <c r="AV3584" s="24"/>
      <c r="AX3584" s="29"/>
    </row>
    <row r="3585" spans="2:50">
      <c r="B3585" s="19"/>
      <c r="K3585" s="21"/>
      <c r="T3585" s="28"/>
      <c r="AS3585" s="24"/>
      <c r="AT3585" s="24"/>
      <c r="AU3585" s="24"/>
      <c r="AV3585" s="24"/>
      <c r="AX3585" s="29"/>
    </row>
    <row r="3586" spans="2:50">
      <c r="B3586" s="19"/>
      <c r="K3586" s="21"/>
      <c r="T3586" s="28"/>
      <c r="AS3586" s="24"/>
      <c r="AT3586" s="24"/>
      <c r="AU3586" s="24"/>
      <c r="AV3586" s="24"/>
      <c r="AX3586" s="29"/>
    </row>
    <row r="3587" spans="2:50">
      <c r="B3587" s="19"/>
      <c r="K3587" s="21"/>
      <c r="T3587" s="28"/>
      <c r="AS3587" s="24"/>
      <c r="AT3587" s="24"/>
      <c r="AU3587" s="24"/>
      <c r="AV3587" s="24"/>
      <c r="AX3587" s="29"/>
    </row>
    <row r="3588" spans="2:50">
      <c r="B3588" s="19"/>
      <c r="K3588" s="21"/>
      <c r="T3588" s="28"/>
      <c r="AS3588" s="24"/>
      <c r="AT3588" s="24"/>
      <c r="AU3588" s="24"/>
      <c r="AV3588" s="24"/>
      <c r="AX3588" s="29"/>
    </row>
    <row r="3589" spans="2:50">
      <c r="B3589" s="19"/>
      <c r="K3589" s="21"/>
      <c r="T3589" s="28"/>
      <c r="AS3589" s="24"/>
      <c r="AT3589" s="24"/>
      <c r="AU3589" s="24"/>
      <c r="AV3589" s="24"/>
      <c r="AX3589" s="29"/>
    </row>
    <row r="3590" spans="2:50">
      <c r="B3590" s="19"/>
      <c r="K3590" s="21"/>
      <c r="T3590" s="28"/>
      <c r="AS3590" s="24"/>
      <c r="AT3590" s="24"/>
      <c r="AU3590" s="24"/>
      <c r="AV3590" s="24"/>
      <c r="AX3590" s="29"/>
    </row>
    <row r="3591" spans="2:50">
      <c r="B3591" s="19"/>
      <c r="K3591" s="21"/>
      <c r="T3591" s="28"/>
      <c r="AS3591" s="24"/>
      <c r="AT3591" s="24"/>
      <c r="AU3591" s="24"/>
      <c r="AV3591" s="24"/>
      <c r="AX3591" s="29"/>
    </row>
    <row r="3592" spans="2:50">
      <c r="B3592" s="19"/>
      <c r="K3592" s="21"/>
      <c r="T3592" s="28"/>
      <c r="AS3592" s="24"/>
      <c r="AT3592" s="24"/>
      <c r="AU3592" s="24"/>
      <c r="AV3592" s="24"/>
      <c r="AX3592" s="29"/>
    </row>
    <row r="3593" spans="2:50">
      <c r="B3593" s="19"/>
      <c r="K3593" s="21"/>
      <c r="T3593" s="28"/>
      <c r="AS3593" s="24"/>
      <c r="AT3593" s="24"/>
      <c r="AU3593" s="24"/>
      <c r="AV3593" s="24"/>
      <c r="AX3593" s="29"/>
    </row>
    <row r="3594" spans="2:50">
      <c r="B3594" s="19"/>
      <c r="K3594" s="21"/>
      <c r="T3594" s="28"/>
      <c r="AS3594" s="24"/>
      <c r="AT3594" s="24"/>
      <c r="AU3594" s="24"/>
      <c r="AV3594" s="24"/>
      <c r="AX3594" s="29"/>
    </row>
    <row r="3595" spans="2:50">
      <c r="B3595" s="19"/>
      <c r="K3595" s="21"/>
      <c r="T3595" s="28"/>
      <c r="AS3595" s="24"/>
      <c r="AT3595" s="24"/>
      <c r="AU3595" s="24"/>
      <c r="AV3595" s="24"/>
      <c r="AX3595" s="29"/>
    </row>
    <row r="3596" spans="2:50">
      <c r="B3596" s="19"/>
      <c r="K3596" s="21"/>
      <c r="T3596" s="28"/>
      <c r="AS3596" s="24"/>
      <c r="AT3596" s="24"/>
      <c r="AU3596" s="24"/>
      <c r="AV3596" s="24"/>
      <c r="AX3596" s="29"/>
    </row>
    <row r="3597" spans="2:50">
      <c r="B3597" s="19"/>
      <c r="K3597" s="21"/>
      <c r="T3597" s="28"/>
      <c r="AS3597" s="24"/>
      <c r="AT3597" s="24"/>
      <c r="AU3597" s="24"/>
      <c r="AV3597" s="24"/>
      <c r="AX3597" s="29"/>
    </row>
    <row r="3598" spans="2:50">
      <c r="B3598" s="19"/>
      <c r="K3598" s="21"/>
      <c r="T3598" s="28"/>
      <c r="AS3598" s="24"/>
      <c r="AT3598" s="24"/>
      <c r="AU3598" s="24"/>
      <c r="AV3598" s="24"/>
      <c r="AX3598" s="29"/>
    </row>
    <row r="3599" spans="2:50">
      <c r="B3599" s="19"/>
      <c r="K3599" s="21"/>
      <c r="T3599" s="28"/>
      <c r="AS3599" s="24"/>
      <c r="AT3599" s="24"/>
      <c r="AU3599" s="24"/>
      <c r="AV3599" s="24"/>
      <c r="AX3599" s="29"/>
    </row>
    <row r="3600" spans="2:50">
      <c r="B3600" s="19"/>
      <c r="K3600" s="21"/>
      <c r="T3600" s="28"/>
      <c r="AS3600" s="24"/>
      <c r="AT3600" s="24"/>
      <c r="AU3600" s="24"/>
      <c r="AV3600" s="24"/>
      <c r="AX3600" s="29"/>
    </row>
    <row r="3601" spans="2:50">
      <c r="B3601" s="19"/>
      <c r="K3601" s="21"/>
      <c r="T3601" s="28"/>
      <c r="AS3601" s="24"/>
      <c r="AT3601" s="24"/>
      <c r="AU3601" s="24"/>
      <c r="AV3601" s="24"/>
      <c r="AX3601" s="29"/>
    </row>
    <row r="3602" spans="2:50">
      <c r="B3602" s="19"/>
      <c r="K3602" s="21"/>
      <c r="T3602" s="28"/>
      <c r="AS3602" s="24"/>
      <c r="AT3602" s="24"/>
      <c r="AU3602" s="24"/>
      <c r="AV3602" s="24"/>
      <c r="AX3602" s="29"/>
    </row>
    <row r="3603" spans="2:50">
      <c r="B3603" s="19"/>
      <c r="K3603" s="21"/>
      <c r="T3603" s="28"/>
      <c r="AS3603" s="24"/>
      <c r="AT3603" s="24"/>
      <c r="AU3603" s="24"/>
      <c r="AV3603" s="24"/>
      <c r="AX3603" s="29"/>
    </row>
    <row r="3604" spans="2:50">
      <c r="B3604" s="19"/>
      <c r="K3604" s="21"/>
      <c r="T3604" s="28"/>
      <c r="AS3604" s="24"/>
      <c r="AT3604" s="24"/>
      <c r="AU3604" s="24"/>
      <c r="AV3604" s="24"/>
      <c r="AX3604" s="29"/>
    </row>
    <row r="3605" spans="2:50">
      <c r="B3605" s="19"/>
      <c r="K3605" s="21"/>
      <c r="T3605" s="28"/>
      <c r="AS3605" s="24"/>
      <c r="AT3605" s="24"/>
      <c r="AU3605" s="24"/>
      <c r="AV3605" s="24"/>
      <c r="AX3605" s="29"/>
    </row>
    <row r="3606" spans="2:50">
      <c r="B3606" s="19"/>
      <c r="K3606" s="21"/>
      <c r="T3606" s="28"/>
      <c r="AS3606" s="24"/>
      <c r="AT3606" s="24"/>
      <c r="AU3606" s="24"/>
      <c r="AV3606" s="24"/>
      <c r="AX3606" s="29"/>
    </row>
    <row r="3607" spans="2:50">
      <c r="B3607" s="19"/>
      <c r="K3607" s="21"/>
      <c r="T3607" s="28"/>
      <c r="AS3607" s="24"/>
      <c r="AT3607" s="24"/>
      <c r="AU3607" s="24"/>
      <c r="AV3607" s="24"/>
      <c r="AX3607" s="29"/>
    </row>
    <row r="3608" spans="2:50">
      <c r="B3608" s="19"/>
      <c r="K3608" s="21"/>
      <c r="T3608" s="28"/>
      <c r="AS3608" s="24"/>
      <c r="AT3608" s="24"/>
      <c r="AU3608" s="24"/>
      <c r="AV3608" s="24"/>
      <c r="AX3608" s="29"/>
    </row>
    <row r="3609" spans="2:50">
      <c r="B3609" s="19"/>
      <c r="K3609" s="21"/>
      <c r="T3609" s="28"/>
      <c r="AS3609" s="24"/>
      <c r="AT3609" s="24"/>
      <c r="AU3609" s="24"/>
      <c r="AV3609" s="24"/>
      <c r="AX3609" s="29"/>
    </row>
    <row r="3610" spans="2:50">
      <c r="B3610" s="19"/>
      <c r="K3610" s="21"/>
      <c r="T3610" s="28"/>
      <c r="AS3610" s="24"/>
      <c r="AT3610" s="24"/>
      <c r="AU3610" s="24"/>
      <c r="AV3610" s="24"/>
      <c r="AX3610" s="29"/>
    </row>
    <row r="3611" spans="2:50">
      <c r="B3611" s="19"/>
      <c r="K3611" s="21"/>
      <c r="T3611" s="28"/>
      <c r="AS3611" s="24"/>
      <c r="AT3611" s="24"/>
      <c r="AU3611" s="24"/>
      <c r="AV3611" s="24"/>
      <c r="AX3611" s="29"/>
    </row>
    <row r="3612" spans="2:50">
      <c r="B3612" s="19"/>
      <c r="K3612" s="21"/>
      <c r="T3612" s="28"/>
      <c r="AS3612" s="24"/>
      <c r="AT3612" s="24"/>
      <c r="AU3612" s="24"/>
      <c r="AV3612" s="24"/>
      <c r="AX3612" s="29"/>
    </row>
    <row r="3613" spans="2:50">
      <c r="B3613" s="19"/>
      <c r="K3613" s="21"/>
      <c r="T3613" s="28"/>
      <c r="AS3613" s="24"/>
      <c r="AT3613" s="24"/>
      <c r="AU3613" s="24"/>
      <c r="AV3613" s="24"/>
      <c r="AX3613" s="29"/>
    </row>
    <row r="3614" spans="2:50">
      <c r="B3614" s="19"/>
      <c r="K3614" s="21"/>
      <c r="T3614" s="28"/>
      <c r="AS3614" s="24"/>
      <c r="AT3614" s="24"/>
      <c r="AU3614" s="24"/>
      <c r="AV3614" s="24"/>
      <c r="AX3614" s="29"/>
    </row>
    <row r="3615" spans="2:50">
      <c r="B3615" s="19"/>
      <c r="K3615" s="21"/>
      <c r="T3615" s="28"/>
      <c r="AS3615" s="24"/>
      <c r="AT3615" s="24"/>
      <c r="AU3615" s="24"/>
      <c r="AV3615" s="24"/>
      <c r="AX3615" s="29"/>
    </row>
    <row r="3616" spans="2:50">
      <c r="B3616" s="19"/>
      <c r="K3616" s="21"/>
      <c r="T3616" s="28"/>
      <c r="AS3616" s="24"/>
      <c r="AT3616" s="24"/>
      <c r="AU3616" s="24"/>
      <c r="AV3616" s="24"/>
      <c r="AX3616" s="29"/>
    </row>
    <row r="3617" spans="2:50">
      <c r="B3617" s="19"/>
      <c r="K3617" s="21"/>
      <c r="T3617" s="28"/>
      <c r="AS3617" s="24"/>
      <c r="AT3617" s="24"/>
      <c r="AU3617" s="24"/>
      <c r="AV3617" s="24"/>
      <c r="AX3617" s="29"/>
    </row>
    <row r="3618" spans="2:50">
      <c r="B3618" s="19"/>
      <c r="K3618" s="21"/>
      <c r="T3618" s="28"/>
      <c r="AS3618" s="24"/>
      <c r="AT3618" s="24"/>
      <c r="AU3618" s="24"/>
      <c r="AV3618" s="24"/>
      <c r="AX3618" s="29"/>
    </row>
    <row r="3619" spans="2:50">
      <c r="B3619" s="19"/>
      <c r="K3619" s="21"/>
      <c r="T3619" s="28"/>
      <c r="AS3619" s="24"/>
      <c r="AT3619" s="24"/>
      <c r="AU3619" s="24"/>
      <c r="AV3619" s="24"/>
      <c r="AX3619" s="29"/>
    </row>
    <row r="3620" spans="2:50">
      <c r="B3620" s="19"/>
      <c r="K3620" s="21"/>
      <c r="T3620" s="28"/>
      <c r="AS3620" s="24"/>
      <c r="AT3620" s="24"/>
      <c r="AU3620" s="24"/>
      <c r="AV3620" s="24"/>
      <c r="AX3620" s="29"/>
    </row>
    <row r="3621" spans="2:50">
      <c r="B3621" s="19"/>
      <c r="K3621" s="21"/>
      <c r="T3621" s="28"/>
      <c r="AS3621" s="24"/>
      <c r="AT3621" s="24"/>
      <c r="AU3621" s="24"/>
      <c r="AV3621" s="24"/>
      <c r="AX3621" s="29"/>
    </row>
    <row r="3622" spans="2:50">
      <c r="B3622" s="19"/>
      <c r="K3622" s="21"/>
      <c r="T3622" s="28"/>
      <c r="AS3622" s="24"/>
      <c r="AT3622" s="24"/>
      <c r="AU3622" s="24"/>
      <c r="AV3622" s="24"/>
      <c r="AX3622" s="29"/>
    </row>
    <row r="3623" spans="2:50">
      <c r="B3623" s="19"/>
      <c r="K3623" s="21"/>
      <c r="T3623" s="28"/>
      <c r="AS3623" s="24"/>
      <c r="AT3623" s="24"/>
      <c r="AU3623" s="24"/>
      <c r="AV3623" s="24"/>
      <c r="AX3623" s="29"/>
    </row>
    <row r="3624" spans="2:50">
      <c r="B3624" s="19"/>
      <c r="K3624" s="21"/>
      <c r="T3624" s="28"/>
      <c r="AS3624" s="24"/>
      <c r="AT3624" s="24"/>
      <c r="AU3624" s="24"/>
      <c r="AV3624" s="24"/>
      <c r="AX3624" s="29"/>
    </row>
    <row r="3625" spans="2:50">
      <c r="B3625" s="19"/>
      <c r="K3625" s="21"/>
      <c r="T3625" s="28"/>
      <c r="AS3625" s="24"/>
      <c r="AT3625" s="24"/>
      <c r="AU3625" s="24"/>
      <c r="AV3625" s="24"/>
      <c r="AX3625" s="29"/>
    </row>
    <row r="3626" spans="2:50">
      <c r="B3626" s="19"/>
      <c r="K3626" s="21"/>
      <c r="T3626" s="28"/>
      <c r="AS3626" s="24"/>
      <c r="AT3626" s="24"/>
      <c r="AU3626" s="24"/>
      <c r="AV3626" s="24"/>
      <c r="AX3626" s="29"/>
    </row>
    <row r="3627" spans="2:50">
      <c r="B3627" s="19"/>
      <c r="K3627" s="21"/>
      <c r="T3627" s="28"/>
      <c r="AS3627" s="24"/>
      <c r="AT3627" s="24"/>
      <c r="AU3627" s="24"/>
      <c r="AV3627" s="24"/>
      <c r="AX3627" s="29"/>
    </row>
    <row r="3628" spans="2:50">
      <c r="B3628" s="19"/>
      <c r="K3628" s="21"/>
      <c r="T3628" s="28"/>
      <c r="AS3628" s="24"/>
      <c r="AT3628" s="24"/>
      <c r="AU3628" s="24"/>
      <c r="AV3628" s="24"/>
      <c r="AX3628" s="29"/>
    </row>
    <row r="3629" spans="2:50">
      <c r="B3629" s="19"/>
      <c r="K3629" s="21"/>
      <c r="T3629" s="28"/>
      <c r="AS3629" s="24"/>
      <c r="AT3629" s="24"/>
      <c r="AU3629" s="24"/>
      <c r="AV3629" s="24"/>
      <c r="AX3629" s="29"/>
    </row>
    <row r="3630" spans="2:50">
      <c r="B3630" s="19"/>
      <c r="K3630" s="21"/>
      <c r="T3630" s="28"/>
      <c r="AS3630" s="24"/>
      <c r="AT3630" s="24"/>
      <c r="AU3630" s="24"/>
      <c r="AV3630" s="24"/>
      <c r="AX3630" s="29"/>
    </row>
    <row r="3631" spans="2:50">
      <c r="B3631" s="19"/>
      <c r="K3631" s="21"/>
      <c r="T3631" s="28"/>
      <c r="AS3631" s="24"/>
      <c r="AT3631" s="24"/>
      <c r="AU3631" s="24"/>
      <c r="AV3631" s="24"/>
      <c r="AX3631" s="29"/>
    </row>
    <row r="3632" spans="2:50">
      <c r="B3632" s="19"/>
      <c r="K3632" s="21"/>
      <c r="T3632" s="28"/>
      <c r="AS3632" s="24"/>
      <c r="AT3632" s="24"/>
      <c r="AU3632" s="24"/>
      <c r="AV3632" s="24"/>
      <c r="AX3632" s="29"/>
    </row>
    <row r="3633" spans="2:50">
      <c r="B3633" s="19"/>
      <c r="K3633" s="21"/>
      <c r="T3633" s="28"/>
      <c r="AS3633" s="24"/>
      <c r="AT3633" s="24"/>
      <c r="AU3633" s="24"/>
      <c r="AV3633" s="24"/>
      <c r="AX3633" s="29"/>
    </row>
    <row r="3634" spans="2:50">
      <c r="B3634" s="19"/>
      <c r="K3634" s="21"/>
      <c r="T3634" s="28"/>
      <c r="AS3634" s="24"/>
      <c r="AT3634" s="24"/>
      <c r="AU3634" s="24"/>
      <c r="AV3634" s="24"/>
      <c r="AX3634" s="29"/>
    </row>
    <row r="3635" spans="2:50">
      <c r="B3635" s="19"/>
      <c r="K3635" s="21"/>
      <c r="T3635" s="28"/>
      <c r="AS3635" s="24"/>
      <c r="AT3635" s="24"/>
      <c r="AU3635" s="24"/>
      <c r="AV3635" s="24"/>
      <c r="AX3635" s="29"/>
    </row>
    <row r="3636" spans="2:50">
      <c r="B3636" s="19"/>
      <c r="K3636" s="21"/>
      <c r="T3636" s="28"/>
      <c r="AS3636" s="24"/>
      <c r="AT3636" s="24"/>
      <c r="AU3636" s="24"/>
      <c r="AV3636" s="24"/>
      <c r="AX3636" s="29"/>
    </row>
    <row r="3637" spans="2:50">
      <c r="B3637" s="19"/>
      <c r="K3637" s="21"/>
      <c r="T3637" s="28"/>
      <c r="AS3637" s="24"/>
      <c r="AT3637" s="24"/>
      <c r="AU3637" s="24"/>
      <c r="AV3637" s="24"/>
      <c r="AX3637" s="29"/>
    </row>
    <row r="3638" spans="2:50">
      <c r="B3638" s="19"/>
      <c r="K3638" s="21"/>
      <c r="T3638" s="28"/>
      <c r="AS3638" s="24"/>
      <c r="AT3638" s="24"/>
      <c r="AU3638" s="24"/>
      <c r="AV3638" s="24"/>
      <c r="AX3638" s="29"/>
    </row>
    <row r="3639" spans="2:50">
      <c r="B3639" s="19"/>
      <c r="K3639" s="21"/>
      <c r="T3639" s="28"/>
      <c r="AS3639" s="24"/>
      <c r="AT3639" s="24"/>
      <c r="AU3639" s="24"/>
      <c r="AV3639" s="24"/>
      <c r="AX3639" s="29"/>
    </row>
    <row r="3640" spans="2:50">
      <c r="B3640" s="19"/>
      <c r="K3640" s="21"/>
      <c r="T3640" s="28"/>
      <c r="AS3640" s="24"/>
      <c r="AT3640" s="24"/>
      <c r="AU3640" s="24"/>
      <c r="AV3640" s="24"/>
      <c r="AX3640" s="29"/>
    </row>
    <row r="3641" spans="2:50">
      <c r="B3641" s="19"/>
      <c r="K3641" s="21"/>
      <c r="T3641" s="28"/>
      <c r="AS3641" s="24"/>
      <c r="AT3641" s="24"/>
      <c r="AU3641" s="24"/>
      <c r="AV3641" s="24"/>
      <c r="AX3641" s="29"/>
    </row>
    <row r="3642" spans="2:50">
      <c r="B3642" s="19"/>
      <c r="K3642" s="21"/>
      <c r="T3642" s="28"/>
      <c r="AS3642" s="24"/>
      <c r="AT3642" s="24"/>
      <c r="AU3642" s="24"/>
      <c r="AV3642" s="24"/>
      <c r="AX3642" s="29"/>
    </row>
    <row r="3643" spans="2:50">
      <c r="B3643" s="19"/>
      <c r="K3643" s="21"/>
      <c r="T3643" s="28"/>
      <c r="AS3643" s="24"/>
      <c r="AT3643" s="24"/>
      <c r="AU3643" s="24"/>
      <c r="AV3643" s="24"/>
      <c r="AX3643" s="29"/>
    </row>
    <row r="3644" spans="2:50">
      <c r="B3644" s="19"/>
      <c r="K3644" s="21"/>
      <c r="T3644" s="28"/>
      <c r="AS3644" s="24"/>
      <c r="AT3644" s="24"/>
      <c r="AU3644" s="24"/>
      <c r="AV3644" s="24"/>
      <c r="AX3644" s="29"/>
    </row>
    <row r="3645" spans="2:50">
      <c r="B3645" s="19"/>
      <c r="K3645" s="21"/>
      <c r="T3645" s="28"/>
      <c r="AS3645" s="24"/>
      <c r="AT3645" s="24"/>
      <c r="AU3645" s="24"/>
      <c r="AV3645" s="24"/>
      <c r="AX3645" s="29"/>
    </row>
    <row r="3646" spans="2:50">
      <c r="B3646" s="19"/>
      <c r="K3646" s="21"/>
      <c r="T3646" s="28"/>
      <c r="AS3646" s="24"/>
      <c r="AT3646" s="24"/>
      <c r="AU3646" s="24"/>
      <c r="AV3646" s="24"/>
      <c r="AX3646" s="29"/>
    </row>
    <row r="3647" spans="2:50">
      <c r="B3647" s="19"/>
      <c r="K3647" s="21"/>
      <c r="T3647" s="28"/>
      <c r="AS3647" s="24"/>
      <c r="AT3647" s="24"/>
      <c r="AU3647" s="24"/>
      <c r="AV3647" s="24"/>
      <c r="AX3647" s="29"/>
    </row>
    <row r="3648" spans="2:50">
      <c r="B3648" s="19"/>
      <c r="K3648" s="21"/>
      <c r="T3648" s="28"/>
      <c r="AS3648" s="24"/>
      <c r="AT3648" s="24"/>
      <c r="AU3648" s="24"/>
      <c r="AV3648" s="24"/>
      <c r="AX3648" s="29"/>
    </row>
    <row r="3649" spans="2:50">
      <c r="B3649" s="19"/>
      <c r="K3649" s="21"/>
      <c r="T3649" s="28"/>
      <c r="AS3649" s="24"/>
      <c r="AT3649" s="24"/>
      <c r="AU3649" s="24"/>
      <c r="AV3649" s="24"/>
      <c r="AX3649" s="29"/>
    </row>
    <row r="3650" spans="2:50">
      <c r="B3650" s="19"/>
      <c r="K3650" s="21"/>
      <c r="T3650" s="28"/>
      <c r="AS3650" s="24"/>
      <c r="AT3650" s="24"/>
      <c r="AU3650" s="24"/>
      <c r="AV3650" s="24"/>
      <c r="AX3650" s="29"/>
    </row>
    <row r="3651" spans="2:50">
      <c r="B3651" s="19"/>
      <c r="K3651" s="21"/>
      <c r="T3651" s="28"/>
      <c r="AS3651" s="24"/>
      <c r="AT3651" s="24"/>
      <c r="AU3651" s="24"/>
      <c r="AV3651" s="24"/>
      <c r="AX3651" s="29"/>
    </row>
    <row r="3652" spans="2:50">
      <c r="B3652" s="19"/>
      <c r="K3652" s="21"/>
      <c r="T3652" s="28"/>
      <c r="AS3652" s="24"/>
      <c r="AT3652" s="24"/>
      <c r="AU3652" s="24"/>
      <c r="AV3652" s="24"/>
      <c r="AX3652" s="29"/>
    </row>
    <row r="3653" spans="2:50">
      <c r="B3653" s="19"/>
      <c r="K3653" s="21"/>
      <c r="T3653" s="28"/>
      <c r="AS3653" s="24"/>
      <c r="AT3653" s="24"/>
      <c r="AU3653" s="24"/>
      <c r="AV3653" s="24"/>
      <c r="AX3653" s="29"/>
    </row>
    <row r="3654" spans="2:50">
      <c r="B3654" s="19"/>
      <c r="K3654" s="21"/>
      <c r="T3654" s="28"/>
      <c r="AS3654" s="24"/>
      <c r="AT3654" s="24"/>
      <c r="AU3654" s="24"/>
      <c r="AV3654" s="24"/>
      <c r="AX3654" s="29"/>
    </row>
    <row r="3655" spans="2:50">
      <c r="B3655" s="19"/>
      <c r="K3655" s="21"/>
      <c r="T3655" s="28"/>
      <c r="AS3655" s="24"/>
      <c r="AT3655" s="24"/>
      <c r="AU3655" s="24"/>
      <c r="AV3655" s="24"/>
      <c r="AX3655" s="29"/>
    </row>
    <row r="3656" spans="2:50">
      <c r="B3656" s="19"/>
      <c r="K3656" s="21"/>
      <c r="T3656" s="28"/>
      <c r="AS3656" s="24"/>
      <c r="AT3656" s="24"/>
      <c r="AU3656" s="24"/>
      <c r="AV3656" s="24"/>
      <c r="AX3656" s="29"/>
    </row>
    <row r="3657" spans="2:50">
      <c r="B3657" s="19"/>
      <c r="K3657" s="21"/>
      <c r="T3657" s="28"/>
      <c r="AS3657" s="24"/>
      <c r="AT3657" s="24"/>
      <c r="AU3657" s="24"/>
      <c r="AV3657" s="24"/>
      <c r="AX3657" s="29"/>
    </row>
    <row r="3658" spans="2:50">
      <c r="B3658" s="19"/>
      <c r="K3658" s="21"/>
      <c r="T3658" s="28"/>
      <c r="AS3658" s="24"/>
      <c r="AT3658" s="24"/>
      <c r="AU3658" s="24"/>
      <c r="AV3658" s="24"/>
      <c r="AX3658" s="29"/>
    </row>
    <row r="3659" spans="2:50">
      <c r="B3659" s="19"/>
      <c r="K3659" s="21"/>
      <c r="T3659" s="28"/>
      <c r="AS3659" s="24"/>
      <c r="AT3659" s="24"/>
      <c r="AU3659" s="24"/>
      <c r="AV3659" s="24"/>
      <c r="AX3659" s="29"/>
    </row>
    <row r="3660" spans="2:50">
      <c r="B3660" s="19"/>
      <c r="K3660" s="21"/>
      <c r="T3660" s="28"/>
      <c r="AS3660" s="24"/>
      <c r="AT3660" s="24"/>
      <c r="AU3660" s="24"/>
      <c r="AV3660" s="24"/>
      <c r="AX3660" s="29"/>
    </row>
    <row r="3661" spans="2:50">
      <c r="B3661" s="19"/>
      <c r="K3661" s="21"/>
      <c r="T3661" s="28"/>
      <c r="AS3661" s="24"/>
      <c r="AT3661" s="24"/>
      <c r="AU3661" s="24"/>
      <c r="AV3661" s="24"/>
      <c r="AX3661" s="29"/>
    </row>
    <row r="3662" spans="2:50">
      <c r="B3662" s="19"/>
      <c r="K3662" s="21"/>
      <c r="T3662" s="28"/>
      <c r="AS3662" s="24"/>
      <c r="AT3662" s="24"/>
      <c r="AU3662" s="24"/>
      <c r="AV3662" s="24"/>
      <c r="AX3662" s="29"/>
    </row>
    <row r="3663" spans="2:50">
      <c r="B3663" s="19"/>
      <c r="K3663" s="21"/>
      <c r="T3663" s="28"/>
      <c r="AS3663" s="24"/>
      <c r="AT3663" s="24"/>
      <c r="AU3663" s="24"/>
      <c r="AV3663" s="24"/>
      <c r="AX3663" s="29"/>
    </row>
    <row r="3664" spans="2:50">
      <c r="B3664" s="19"/>
      <c r="K3664" s="21"/>
      <c r="T3664" s="28"/>
      <c r="AS3664" s="24"/>
      <c r="AT3664" s="24"/>
      <c r="AU3664" s="24"/>
      <c r="AV3664" s="24"/>
      <c r="AX3664" s="29"/>
    </row>
    <row r="3665" spans="2:50">
      <c r="B3665" s="19"/>
      <c r="K3665" s="21"/>
      <c r="T3665" s="28"/>
      <c r="AS3665" s="24"/>
      <c r="AT3665" s="24"/>
      <c r="AU3665" s="24"/>
      <c r="AV3665" s="24"/>
      <c r="AX3665" s="29"/>
    </row>
    <row r="3666" spans="2:50">
      <c r="B3666" s="19"/>
      <c r="K3666" s="21"/>
      <c r="T3666" s="28"/>
      <c r="AS3666" s="24"/>
      <c r="AT3666" s="24"/>
      <c r="AU3666" s="24"/>
      <c r="AV3666" s="24"/>
      <c r="AX3666" s="29"/>
    </row>
    <row r="3667" spans="2:50">
      <c r="B3667" s="19"/>
      <c r="K3667" s="21"/>
      <c r="T3667" s="28"/>
      <c r="AS3667" s="24"/>
      <c r="AT3667" s="24"/>
      <c r="AU3667" s="24"/>
      <c r="AV3667" s="24"/>
      <c r="AX3667" s="29"/>
    </row>
    <row r="3668" spans="2:50">
      <c r="B3668" s="19"/>
      <c r="K3668" s="21"/>
      <c r="T3668" s="28"/>
      <c r="AS3668" s="24"/>
      <c r="AT3668" s="24"/>
      <c r="AU3668" s="24"/>
      <c r="AV3668" s="24"/>
      <c r="AX3668" s="29"/>
    </row>
    <row r="3669" spans="2:50">
      <c r="B3669" s="19"/>
      <c r="K3669" s="21"/>
      <c r="T3669" s="28"/>
      <c r="AS3669" s="24"/>
      <c r="AT3669" s="24"/>
      <c r="AU3669" s="24"/>
      <c r="AV3669" s="24"/>
      <c r="AX3669" s="29"/>
    </row>
    <row r="3670" spans="2:50">
      <c r="B3670" s="19"/>
      <c r="K3670" s="21"/>
      <c r="T3670" s="28"/>
      <c r="AS3670" s="24"/>
      <c r="AT3670" s="24"/>
      <c r="AU3670" s="24"/>
      <c r="AV3670" s="24"/>
      <c r="AX3670" s="29"/>
    </row>
    <row r="3671" spans="2:50">
      <c r="B3671" s="19"/>
      <c r="K3671" s="21"/>
      <c r="T3671" s="28"/>
      <c r="AS3671" s="24"/>
      <c r="AT3671" s="24"/>
      <c r="AU3671" s="24"/>
      <c r="AV3671" s="24"/>
      <c r="AX3671" s="29"/>
    </row>
    <row r="3672" spans="2:50">
      <c r="B3672" s="19"/>
      <c r="K3672" s="21"/>
      <c r="T3672" s="28"/>
      <c r="AS3672" s="24"/>
      <c r="AT3672" s="24"/>
      <c r="AU3672" s="24"/>
      <c r="AV3672" s="24"/>
      <c r="AX3672" s="29"/>
    </row>
    <row r="3673" spans="2:50">
      <c r="B3673" s="19"/>
      <c r="K3673" s="21"/>
      <c r="T3673" s="28"/>
      <c r="AS3673" s="24"/>
      <c r="AT3673" s="24"/>
      <c r="AU3673" s="24"/>
      <c r="AV3673" s="24"/>
      <c r="AX3673" s="29"/>
    </row>
    <row r="3674" spans="2:50">
      <c r="B3674" s="19"/>
      <c r="K3674" s="21"/>
      <c r="T3674" s="28"/>
      <c r="AS3674" s="24"/>
      <c r="AT3674" s="24"/>
      <c r="AU3674" s="24"/>
      <c r="AV3674" s="24"/>
      <c r="AX3674" s="29"/>
    </row>
    <row r="3675" spans="2:50">
      <c r="B3675" s="19"/>
      <c r="K3675" s="21"/>
      <c r="T3675" s="28"/>
      <c r="AS3675" s="24"/>
      <c r="AT3675" s="24"/>
      <c r="AU3675" s="24"/>
      <c r="AV3675" s="24"/>
      <c r="AX3675" s="29"/>
    </row>
    <row r="3676" spans="2:50">
      <c r="B3676" s="19"/>
      <c r="K3676" s="21"/>
      <c r="T3676" s="28"/>
      <c r="AS3676" s="24"/>
      <c r="AT3676" s="24"/>
      <c r="AU3676" s="24"/>
      <c r="AV3676" s="24"/>
      <c r="AX3676" s="29"/>
    </row>
    <row r="3677" spans="2:50">
      <c r="B3677" s="19"/>
      <c r="K3677" s="21"/>
      <c r="T3677" s="28"/>
      <c r="AS3677" s="24"/>
      <c r="AT3677" s="24"/>
      <c r="AU3677" s="24"/>
      <c r="AV3677" s="24"/>
      <c r="AX3677" s="29"/>
    </row>
    <row r="3678" spans="2:50">
      <c r="B3678" s="19"/>
      <c r="K3678" s="21"/>
      <c r="T3678" s="28"/>
      <c r="AS3678" s="24"/>
      <c r="AT3678" s="24"/>
      <c r="AU3678" s="24"/>
      <c r="AV3678" s="24"/>
      <c r="AX3678" s="29"/>
    </row>
    <row r="3679" spans="2:50">
      <c r="B3679" s="19"/>
      <c r="K3679" s="21"/>
      <c r="T3679" s="28"/>
      <c r="AS3679" s="24"/>
      <c r="AT3679" s="24"/>
      <c r="AU3679" s="24"/>
      <c r="AV3679" s="24"/>
      <c r="AX3679" s="29"/>
    </row>
    <row r="3680" spans="2:50">
      <c r="B3680" s="19"/>
      <c r="K3680" s="21"/>
      <c r="T3680" s="28"/>
      <c r="AS3680" s="24"/>
      <c r="AT3680" s="24"/>
      <c r="AU3680" s="24"/>
      <c r="AV3680" s="24"/>
      <c r="AX3680" s="29"/>
    </row>
    <row r="3681" spans="2:50">
      <c r="B3681" s="19"/>
      <c r="K3681" s="21"/>
      <c r="T3681" s="28"/>
      <c r="AS3681" s="24"/>
      <c r="AT3681" s="24"/>
      <c r="AU3681" s="24"/>
      <c r="AV3681" s="24"/>
      <c r="AX3681" s="29"/>
    </row>
    <row r="3682" spans="2:50">
      <c r="B3682" s="19"/>
      <c r="K3682" s="21"/>
      <c r="T3682" s="28"/>
      <c r="AS3682" s="24"/>
      <c r="AT3682" s="24"/>
      <c r="AU3682" s="24"/>
      <c r="AV3682" s="24"/>
      <c r="AX3682" s="29"/>
    </row>
    <row r="3683" spans="2:50">
      <c r="B3683" s="19"/>
      <c r="K3683" s="21"/>
      <c r="T3683" s="28"/>
      <c r="AS3683" s="24"/>
      <c r="AT3683" s="24"/>
      <c r="AU3683" s="24"/>
      <c r="AV3683" s="24"/>
      <c r="AX3683" s="29"/>
    </row>
    <row r="3684" spans="2:50">
      <c r="B3684" s="19"/>
      <c r="K3684" s="21"/>
      <c r="T3684" s="28"/>
      <c r="AS3684" s="24"/>
      <c r="AT3684" s="24"/>
      <c r="AU3684" s="24"/>
      <c r="AV3684" s="24"/>
      <c r="AX3684" s="29"/>
    </row>
    <row r="3685" spans="2:50">
      <c r="B3685" s="19"/>
      <c r="K3685" s="21"/>
      <c r="T3685" s="28"/>
      <c r="AS3685" s="24"/>
      <c r="AT3685" s="24"/>
      <c r="AU3685" s="24"/>
      <c r="AV3685" s="24"/>
      <c r="AX3685" s="29"/>
    </row>
    <row r="3686" spans="2:50">
      <c r="B3686" s="19"/>
      <c r="K3686" s="21"/>
      <c r="T3686" s="28"/>
      <c r="AS3686" s="24"/>
      <c r="AT3686" s="24"/>
      <c r="AU3686" s="24"/>
      <c r="AV3686" s="24"/>
      <c r="AX3686" s="29"/>
    </row>
    <row r="3687" spans="2:50">
      <c r="B3687" s="19"/>
      <c r="K3687" s="21"/>
      <c r="T3687" s="28"/>
      <c r="AS3687" s="24"/>
      <c r="AT3687" s="24"/>
      <c r="AU3687" s="24"/>
      <c r="AV3687" s="24"/>
      <c r="AX3687" s="29"/>
    </row>
    <row r="3688" spans="2:50">
      <c r="B3688" s="19"/>
      <c r="K3688" s="21"/>
      <c r="T3688" s="28"/>
      <c r="AS3688" s="24"/>
      <c r="AT3688" s="24"/>
      <c r="AU3688" s="24"/>
      <c r="AV3688" s="24"/>
      <c r="AX3688" s="29"/>
    </row>
    <row r="3689" spans="2:50">
      <c r="B3689" s="19"/>
      <c r="K3689" s="21"/>
      <c r="T3689" s="28"/>
      <c r="AS3689" s="24"/>
      <c r="AT3689" s="24"/>
      <c r="AU3689" s="24"/>
      <c r="AV3689" s="24"/>
      <c r="AX3689" s="29"/>
    </row>
    <row r="3690" spans="2:50">
      <c r="B3690" s="19"/>
      <c r="K3690" s="21"/>
      <c r="T3690" s="28"/>
      <c r="AS3690" s="24"/>
      <c r="AT3690" s="24"/>
      <c r="AU3690" s="24"/>
      <c r="AV3690" s="24"/>
      <c r="AX3690" s="29"/>
    </row>
    <row r="3691" spans="2:50">
      <c r="B3691" s="19"/>
      <c r="K3691" s="21"/>
      <c r="T3691" s="28"/>
      <c r="AS3691" s="24"/>
      <c r="AT3691" s="24"/>
      <c r="AU3691" s="24"/>
      <c r="AV3691" s="24"/>
      <c r="AX3691" s="29"/>
    </row>
    <row r="3692" spans="2:50">
      <c r="B3692" s="19"/>
      <c r="K3692" s="21"/>
      <c r="T3692" s="28"/>
      <c r="AS3692" s="24"/>
      <c r="AT3692" s="24"/>
      <c r="AU3692" s="24"/>
      <c r="AV3692" s="24"/>
      <c r="AX3692" s="29"/>
    </row>
    <row r="3693" spans="2:50">
      <c r="B3693" s="19"/>
      <c r="K3693" s="21"/>
      <c r="T3693" s="28"/>
      <c r="AS3693" s="24"/>
      <c r="AT3693" s="24"/>
      <c r="AU3693" s="24"/>
      <c r="AV3693" s="24"/>
      <c r="AX3693" s="29"/>
    </row>
    <row r="3694" spans="2:50">
      <c r="B3694" s="19"/>
      <c r="K3694" s="21"/>
      <c r="T3694" s="28"/>
      <c r="AS3694" s="24"/>
      <c r="AT3694" s="24"/>
      <c r="AU3694" s="24"/>
      <c r="AV3694" s="24"/>
      <c r="AX3694" s="29"/>
    </row>
    <row r="3695" spans="2:50">
      <c r="B3695" s="19"/>
      <c r="K3695" s="21"/>
      <c r="T3695" s="28"/>
      <c r="AS3695" s="24"/>
      <c r="AT3695" s="24"/>
      <c r="AU3695" s="24"/>
      <c r="AV3695" s="24"/>
      <c r="AX3695" s="29"/>
    </row>
    <row r="3696" spans="2:50">
      <c r="B3696" s="19"/>
      <c r="K3696" s="21"/>
      <c r="T3696" s="28"/>
      <c r="AS3696" s="24"/>
      <c r="AT3696" s="24"/>
      <c r="AU3696" s="24"/>
      <c r="AV3696" s="24"/>
      <c r="AX3696" s="29"/>
    </row>
    <row r="3697" spans="2:50">
      <c r="B3697" s="19"/>
      <c r="K3697" s="21"/>
      <c r="T3697" s="28"/>
      <c r="AS3697" s="24"/>
      <c r="AT3697" s="24"/>
      <c r="AU3697" s="24"/>
      <c r="AV3697" s="24"/>
      <c r="AX3697" s="29"/>
    </row>
    <row r="3698" spans="2:50">
      <c r="B3698" s="19"/>
      <c r="K3698" s="21"/>
      <c r="T3698" s="28"/>
      <c r="AS3698" s="24"/>
      <c r="AT3698" s="24"/>
      <c r="AU3698" s="24"/>
      <c r="AV3698" s="24"/>
      <c r="AX3698" s="29"/>
    </row>
    <row r="3699" spans="2:50">
      <c r="B3699" s="19"/>
      <c r="K3699" s="21"/>
      <c r="T3699" s="28"/>
      <c r="AS3699" s="24"/>
      <c r="AT3699" s="24"/>
      <c r="AU3699" s="24"/>
      <c r="AV3699" s="24"/>
      <c r="AX3699" s="29"/>
    </row>
    <row r="3700" spans="2:50">
      <c r="B3700" s="19"/>
      <c r="K3700" s="21"/>
      <c r="T3700" s="28"/>
      <c r="AS3700" s="24"/>
      <c r="AT3700" s="24"/>
      <c r="AU3700" s="24"/>
      <c r="AV3700" s="24"/>
      <c r="AX3700" s="29"/>
    </row>
    <row r="3701" spans="2:50">
      <c r="B3701" s="19"/>
      <c r="K3701" s="21"/>
      <c r="T3701" s="28"/>
      <c r="AS3701" s="24"/>
      <c r="AT3701" s="24"/>
      <c r="AU3701" s="24"/>
      <c r="AV3701" s="24"/>
      <c r="AX3701" s="29"/>
    </row>
    <row r="3702" spans="2:50">
      <c r="B3702" s="19"/>
      <c r="K3702" s="21"/>
      <c r="T3702" s="28"/>
      <c r="AS3702" s="24"/>
      <c r="AT3702" s="24"/>
      <c r="AU3702" s="24"/>
      <c r="AV3702" s="24"/>
      <c r="AX3702" s="29"/>
    </row>
    <row r="3703" spans="2:50">
      <c r="B3703" s="19"/>
      <c r="K3703" s="21"/>
      <c r="T3703" s="28"/>
      <c r="AS3703" s="24"/>
      <c r="AT3703" s="24"/>
      <c r="AU3703" s="24"/>
      <c r="AV3703" s="24"/>
      <c r="AX3703" s="29"/>
    </row>
    <row r="3704" spans="2:50">
      <c r="B3704" s="19"/>
      <c r="K3704" s="21"/>
      <c r="T3704" s="28"/>
      <c r="AS3704" s="24"/>
      <c r="AT3704" s="24"/>
      <c r="AU3704" s="24"/>
      <c r="AV3704" s="24"/>
      <c r="AX3704" s="29"/>
    </row>
    <row r="3705" spans="2:50">
      <c r="B3705" s="19"/>
      <c r="K3705" s="21"/>
      <c r="T3705" s="28"/>
      <c r="AS3705" s="24"/>
      <c r="AT3705" s="24"/>
      <c r="AU3705" s="24"/>
      <c r="AV3705" s="24"/>
      <c r="AX3705" s="29"/>
    </row>
    <row r="3706" spans="2:50">
      <c r="B3706" s="19"/>
      <c r="K3706" s="21"/>
      <c r="T3706" s="28"/>
      <c r="AS3706" s="24"/>
      <c r="AT3706" s="24"/>
      <c r="AU3706" s="24"/>
      <c r="AV3706" s="24"/>
      <c r="AX3706" s="29"/>
    </row>
    <row r="3707" spans="2:50">
      <c r="B3707" s="19"/>
      <c r="K3707" s="21"/>
      <c r="T3707" s="28"/>
      <c r="AS3707" s="24"/>
      <c r="AT3707" s="24"/>
      <c r="AU3707" s="24"/>
      <c r="AV3707" s="24"/>
      <c r="AX3707" s="29"/>
    </row>
    <row r="3708" spans="2:50">
      <c r="B3708" s="19"/>
      <c r="K3708" s="21"/>
      <c r="T3708" s="28"/>
      <c r="AS3708" s="24"/>
      <c r="AT3708" s="24"/>
      <c r="AU3708" s="24"/>
      <c r="AV3708" s="24"/>
      <c r="AX3708" s="29"/>
    </row>
    <row r="3709" spans="2:50">
      <c r="B3709" s="19"/>
      <c r="K3709" s="21"/>
      <c r="T3709" s="28"/>
      <c r="AS3709" s="24"/>
      <c r="AT3709" s="24"/>
      <c r="AU3709" s="24"/>
      <c r="AV3709" s="24"/>
      <c r="AX3709" s="29"/>
    </row>
    <row r="3710" spans="2:50">
      <c r="B3710" s="19"/>
      <c r="K3710" s="21"/>
      <c r="T3710" s="28"/>
      <c r="AS3710" s="24"/>
      <c r="AT3710" s="24"/>
      <c r="AU3710" s="24"/>
      <c r="AV3710" s="24"/>
      <c r="AX3710" s="29"/>
    </row>
    <row r="3711" spans="2:50">
      <c r="B3711" s="19"/>
      <c r="K3711" s="21"/>
      <c r="T3711" s="28"/>
      <c r="AS3711" s="24"/>
      <c r="AT3711" s="24"/>
      <c r="AU3711" s="24"/>
      <c r="AV3711" s="24"/>
      <c r="AX3711" s="29"/>
    </row>
    <row r="3712" spans="2:50">
      <c r="B3712" s="19"/>
      <c r="K3712" s="21"/>
      <c r="T3712" s="28"/>
      <c r="AS3712" s="24"/>
      <c r="AT3712" s="24"/>
      <c r="AU3712" s="24"/>
      <c r="AV3712" s="24"/>
      <c r="AX3712" s="29"/>
    </row>
    <row r="3713" spans="2:50">
      <c r="B3713" s="19"/>
      <c r="K3713" s="21"/>
      <c r="T3713" s="28"/>
      <c r="AS3713" s="24"/>
      <c r="AT3713" s="24"/>
      <c r="AU3713" s="24"/>
      <c r="AV3713" s="24"/>
      <c r="AX3713" s="29"/>
    </row>
    <row r="3714" spans="2:50">
      <c r="B3714" s="19"/>
      <c r="K3714" s="21"/>
      <c r="T3714" s="28"/>
      <c r="AS3714" s="24"/>
      <c r="AT3714" s="24"/>
      <c r="AU3714" s="24"/>
      <c r="AV3714" s="24"/>
      <c r="AX3714" s="29"/>
    </row>
    <row r="3715" spans="2:50">
      <c r="B3715" s="19"/>
      <c r="K3715" s="21"/>
      <c r="T3715" s="28"/>
      <c r="AS3715" s="24"/>
      <c r="AT3715" s="24"/>
      <c r="AU3715" s="24"/>
      <c r="AV3715" s="24"/>
      <c r="AX3715" s="29"/>
    </row>
    <row r="3716" spans="2:50">
      <c r="B3716" s="19"/>
      <c r="K3716" s="21"/>
      <c r="T3716" s="28"/>
      <c r="AS3716" s="24"/>
      <c r="AT3716" s="24"/>
      <c r="AU3716" s="24"/>
      <c r="AV3716" s="24"/>
      <c r="AX3716" s="29"/>
    </row>
    <row r="3717" spans="2:50">
      <c r="B3717" s="19"/>
      <c r="K3717" s="21"/>
      <c r="T3717" s="28"/>
      <c r="AS3717" s="24"/>
      <c r="AT3717" s="24"/>
      <c r="AU3717" s="24"/>
      <c r="AV3717" s="24"/>
      <c r="AX3717" s="29"/>
    </row>
    <row r="3718" spans="2:50">
      <c r="B3718" s="19"/>
      <c r="K3718" s="21"/>
      <c r="T3718" s="28"/>
      <c r="AS3718" s="24"/>
      <c r="AT3718" s="24"/>
      <c r="AU3718" s="24"/>
      <c r="AV3718" s="24"/>
      <c r="AX3718" s="29"/>
    </row>
    <row r="3719" spans="2:50">
      <c r="B3719" s="19"/>
      <c r="K3719" s="21"/>
      <c r="T3719" s="28"/>
      <c r="AS3719" s="24"/>
      <c r="AT3719" s="24"/>
      <c r="AU3719" s="24"/>
      <c r="AV3719" s="24"/>
      <c r="AX3719" s="29"/>
    </row>
    <row r="3720" spans="2:50">
      <c r="B3720" s="19"/>
      <c r="K3720" s="21"/>
      <c r="T3720" s="28"/>
      <c r="AS3720" s="24"/>
      <c r="AT3720" s="24"/>
      <c r="AU3720" s="24"/>
      <c r="AV3720" s="24"/>
      <c r="AX3720" s="29"/>
    </row>
    <row r="3721" spans="2:50">
      <c r="B3721" s="19"/>
      <c r="K3721" s="21"/>
      <c r="T3721" s="28"/>
      <c r="AS3721" s="24"/>
      <c r="AT3721" s="24"/>
      <c r="AU3721" s="24"/>
      <c r="AV3721" s="24"/>
      <c r="AX3721" s="29"/>
    </row>
    <row r="3722" spans="2:50">
      <c r="B3722" s="19"/>
      <c r="K3722" s="21"/>
      <c r="T3722" s="28"/>
      <c r="AS3722" s="24"/>
      <c r="AT3722" s="24"/>
      <c r="AU3722" s="24"/>
      <c r="AV3722" s="24"/>
      <c r="AX3722" s="29"/>
    </row>
    <row r="3723" spans="2:50">
      <c r="B3723" s="19"/>
      <c r="K3723" s="21"/>
      <c r="T3723" s="28"/>
      <c r="AS3723" s="24"/>
      <c r="AT3723" s="24"/>
      <c r="AU3723" s="24"/>
      <c r="AV3723" s="24"/>
      <c r="AX3723" s="29"/>
    </row>
    <row r="3724" spans="2:50">
      <c r="B3724" s="19"/>
      <c r="K3724" s="21"/>
      <c r="T3724" s="28"/>
      <c r="AS3724" s="24"/>
      <c r="AT3724" s="24"/>
      <c r="AU3724" s="24"/>
      <c r="AV3724" s="24"/>
      <c r="AX3724" s="29"/>
    </row>
    <row r="3725" spans="2:50">
      <c r="B3725" s="19"/>
      <c r="K3725" s="21"/>
      <c r="T3725" s="28"/>
      <c r="AS3725" s="24"/>
      <c r="AT3725" s="24"/>
      <c r="AU3725" s="24"/>
      <c r="AV3725" s="24"/>
      <c r="AX3725" s="29"/>
    </row>
    <row r="3726" spans="2:50">
      <c r="B3726" s="19"/>
      <c r="K3726" s="21"/>
      <c r="T3726" s="28"/>
      <c r="AS3726" s="24"/>
      <c r="AT3726" s="24"/>
      <c r="AU3726" s="24"/>
      <c r="AV3726" s="24"/>
      <c r="AX3726" s="29"/>
    </row>
    <row r="3727" spans="2:50">
      <c r="B3727" s="19"/>
      <c r="K3727" s="21"/>
      <c r="T3727" s="28"/>
      <c r="AS3727" s="24"/>
      <c r="AT3727" s="24"/>
      <c r="AU3727" s="24"/>
      <c r="AV3727" s="24"/>
      <c r="AX3727" s="29"/>
    </row>
    <row r="3728" spans="2:50">
      <c r="B3728" s="19"/>
      <c r="K3728" s="21"/>
      <c r="T3728" s="28"/>
      <c r="AS3728" s="24"/>
      <c r="AT3728" s="24"/>
      <c r="AU3728" s="24"/>
      <c r="AV3728" s="24"/>
      <c r="AX3728" s="29"/>
    </row>
    <row r="3729" spans="2:50">
      <c r="B3729" s="19"/>
      <c r="K3729" s="21"/>
      <c r="T3729" s="28"/>
      <c r="AS3729" s="24"/>
      <c r="AT3729" s="24"/>
      <c r="AU3729" s="24"/>
      <c r="AV3729" s="24"/>
      <c r="AX3729" s="29"/>
    </row>
    <row r="3730" spans="2:50">
      <c r="B3730" s="19"/>
      <c r="K3730" s="21"/>
      <c r="T3730" s="28"/>
      <c r="AS3730" s="24"/>
      <c r="AT3730" s="24"/>
      <c r="AU3730" s="24"/>
      <c r="AV3730" s="24"/>
      <c r="AX3730" s="29"/>
    </row>
    <row r="3731" spans="2:50">
      <c r="B3731" s="19"/>
      <c r="K3731" s="21"/>
      <c r="T3731" s="28"/>
      <c r="AS3731" s="24"/>
      <c r="AT3731" s="24"/>
      <c r="AU3731" s="24"/>
      <c r="AV3731" s="24"/>
      <c r="AX3731" s="29"/>
    </row>
    <row r="3732" spans="2:50">
      <c r="B3732" s="19"/>
      <c r="K3732" s="21"/>
      <c r="T3732" s="28"/>
      <c r="AS3732" s="24"/>
      <c r="AT3732" s="24"/>
      <c r="AU3732" s="24"/>
      <c r="AV3732" s="24"/>
      <c r="AX3732" s="29"/>
    </row>
    <row r="3733" spans="2:50">
      <c r="B3733" s="19"/>
      <c r="K3733" s="21"/>
      <c r="T3733" s="28"/>
      <c r="AS3733" s="24"/>
      <c r="AT3733" s="24"/>
      <c r="AU3733" s="24"/>
      <c r="AV3733" s="24"/>
      <c r="AX3733" s="29"/>
    </row>
    <row r="3734" spans="2:50">
      <c r="B3734" s="19"/>
      <c r="K3734" s="21"/>
      <c r="T3734" s="28"/>
      <c r="AS3734" s="24"/>
      <c r="AT3734" s="24"/>
      <c r="AU3734" s="24"/>
      <c r="AV3734" s="24"/>
      <c r="AX3734" s="29"/>
    </row>
    <row r="3735" spans="2:50">
      <c r="B3735" s="19"/>
      <c r="K3735" s="21"/>
      <c r="T3735" s="28"/>
      <c r="AS3735" s="24"/>
      <c r="AT3735" s="24"/>
      <c r="AU3735" s="24"/>
      <c r="AV3735" s="24"/>
      <c r="AX3735" s="29"/>
    </row>
    <row r="3736" spans="2:50">
      <c r="B3736" s="19"/>
      <c r="K3736" s="21"/>
      <c r="T3736" s="28"/>
      <c r="AS3736" s="24"/>
      <c r="AT3736" s="24"/>
      <c r="AU3736" s="24"/>
      <c r="AV3736" s="24"/>
      <c r="AX3736" s="29"/>
    </row>
    <row r="3737" spans="2:50">
      <c r="B3737" s="19"/>
      <c r="K3737" s="21"/>
      <c r="T3737" s="28"/>
      <c r="AS3737" s="24"/>
      <c r="AT3737" s="24"/>
      <c r="AU3737" s="24"/>
      <c r="AV3737" s="24"/>
      <c r="AX3737" s="29"/>
    </row>
    <row r="3738" spans="2:50">
      <c r="B3738" s="19"/>
      <c r="K3738" s="21"/>
      <c r="T3738" s="28"/>
      <c r="AS3738" s="24"/>
      <c r="AT3738" s="24"/>
      <c r="AU3738" s="24"/>
      <c r="AV3738" s="24"/>
      <c r="AX3738" s="29"/>
    </row>
    <row r="3739" spans="2:50">
      <c r="B3739" s="19"/>
      <c r="K3739" s="21"/>
      <c r="T3739" s="28"/>
      <c r="AS3739" s="24"/>
      <c r="AT3739" s="24"/>
      <c r="AU3739" s="24"/>
      <c r="AV3739" s="24"/>
      <c r="AX3739" s="29"/>
    </row>
    <row r="3740" spans="2:50">
      <c r="B3740" s="19"/>
      <c r="K3740" s="21"/>
      <c r="T3740" s="28"/>
      <c r="AS3740" s="24"/>
      <c r="AT3740" s="24"/>
      <c r="AU3740" s="24"/>
      <c r="AV3740" s="24"/>
      <c r="AX3740" s="29"/>
    </row>
    <row r="3741" spans="2:50">
      <c r="B3741" s="19"/>
      <c r="K3741" s="21"/>
      <c r="T3741" s="28"/>
      <c r="AS3741" s="24"/>
      <c r="AT3741" s="24"/>
      <c r="AU3741" s="24"/>
      <c r="AV3741" s="24"/>
      <c r="AX3741" s="29"/>
    </row>
    <row r="3742" spans="2:50">
      <c r="B3742" s="19"/>
      <c r="K3742" s="21"/>
      <c r="T3742" s="28"/>
      <c r="AS3742" s="24"/>
      <c r="AT3742" s="24"/>
      <c r="AU3742" s="24"/>
      <c r="AV3742" s="24"/>
      <c r="AX3742" s="29"/>
    </row>
    <row r="3743" spans="2:50">
      <c r="B3743" s="19"/>
      <c r="K3743" s="21"/>
      <c r="T3743" s="28"/>
      <c r="AS3743" s="24"/>
      <c r="AT3743" s="24"/>
      <c r="AU3743" s="24"/>
      <c r="AV3743" s="24"/>
      <c r="AX3743" s="29"/>
    </row>
    <row r="3744" spans="2:50">
      <c r="B3744" s="19"/>
      <c r="K3744" s="21"/>
      <c r="T3744" s="28"/>
      <c r="AS3744" s="24"/>
      <c r="AT3744" s="24"/>
      <c r="AU3744" s="24"/>
      <c r="AV3744" s="24"/>
      <c r="AX3744" s="29"/>
    </row>
    <row r="3745" spans="2:50">
      <c r="B3745" s="19"/>
      <c r="K3745" s="21"/>
      <c r="T3745" s="28"/>
      <c r="AS3745" s="24"/>
      <c r="AT3745" s="24"/>
      <c r="AU3745" s="24"/>
      <c r="AV3745" s="24"/>
      <c r="AX3745" s="29"/>
    </row>
    <row r="3746" spans="2:50">
      <c r="B3746" s="19"/>
      <c r="K3746" s="21"/>
      <c r="T3746" s="28"/>
      <c r="AS3746" s="24"/>
      <c r="AT3746" s="24"/>
      <c r="AU3746" s="24"/>
      <c r="AV3746" s="24"/>
      <c r="AX3746" s="29"/>
    </row>
    <row r="3747" spans="2:50">
      <c r="B3747" s="19"/>
      <c r="K3747" s="21"/>
      <c r="T3747" s="28"/>
      <c r="AS3747" s="24"/>
      <c r="AT3747" s="24"/>
      <c r="AU3747" s="24"/>
      <c r="AV3747" s="24"/>
      <c r="AX3747" s="29"/>
    </row>
    <row r="3748" spans="2:50">
      <c r="B3748" s="19"/>
      <c r="K3748" s="21"/>
      <c r="T3748" s="28"/>
      <c r="AS3748" s="24"/>
      <c r="AT3748" s="24"/>
      <c r="AU3748" s="24"/>
      <c r="AV3748" s="24"/>
      <c r="AX3748" s="29"/>
    </row>
    <row r="3749" spans="2:50">
      <c r="B3749" s="19"/>
      <c r="K3749" s="21"/>
      <c r="T3749" s="28"/>
      <c r="AS3749" s="24"/>
      <c r="AT3749" s="24"/>
      <c r="AU3749" s="24"/>
      <c r="AV3749" s="24"/>
      <c r="AX3749" s="29"/>
    </row>
    <row r="3750" spans="2:50">
      <c r="B3750" s="19"/>
      <c r="K3750" s="21"/>
      <c r="T3750" s="28"/>
      <c r="AS3750" s="24"/>
      <c r="AT3750" s="24"/>
      <c r="AU3750" s="24"/>
      <c r="AV3750" s="24"/>
      <c r="AX3750" s="29"/>
    </row>
    <row r="3751" spans="2:50">
      <c r="B3751" s="19"/>
      <c r="K3751" s="21"/>
      <c r="T3751" s="28"/>
      <c r="AS3751" s="24"/>
      <c r="AT3751" s="24"/>
      <c r="AU3751" s="24"/>
      <c r="AV3751" s="24"/>
      <c r="AX3751" s="29"/>
    </row>
    <row r="3752" spans="2:50">
      <c r="B3752" s="19"/>
      <c r="K3752" s="21"/>
      <c r="T3752" s="28"/>
      <c r="AS3752" s="24"/>
      <c r="AT3752" s="24"/>
      <c r="AU3752" s="24"/>
      <c r="AV3752" s="24"/>
      <c r="AX3752" s="29"/>
    </row>
    <row r="3753" spans="2:50">
      <c r="B3753" s="19"/>
      <c r="K3753" s="21"/>
      <c r="T3753" s="28"/>
      <c r="AS3753" s="24"/>
      <c r="AT3753" s="24"/>
      <c r="AU3753" s="24"/>
      <c r="AV3753" s="24"/>
      <c r="AX3753" s="29"/>
    </row>
    <row r="3754" spans="2:50">
      <c r="B3754" s="19"/>
      <c r="K3754" s="21"/>
      <c r="T3754" s="28"/>
      <c r="AS3754" s="24"/>
      <c r="AT3754" s="24"/>
      <c r="AU3754" s="24"/>
      <c r="AV3754" s="24"/>
      <c r="AX3754" s="29"/>
    </row>
    <row r="3755" spans="2:50">
      <c r="B3755" s="19"/>
      <c r="K3755" s="21"/>
      <c r="T3755" s="28"/>
      <c r="AS3755" s="24"/>
      <c r="AT3755" s="24"/>
      <c r="AU3755" s="24"/>
      <c r="AV3755" s="24"/>
      <c r="AX3755" s="29"/>
    </row>
    <row r="3756" spans="2:50">
      <c r="B3756" s="19"/>
      <c r="K3756" s="21"/>
      <c r="T3756" s="28"/>
      <c r="AS3756" s="24"/>
      <c r="AT3756" s="24"/>
      <c r="AU3756" s="24"/>
      <c r="AV3756" s="24"/>
      <c r="AX3756" s="29"/>
    </row>
    <row r="3757" spans="2:50">
      <c r="B3757" s="19"/>
      <c r="K3757" s="21"/>
      <c r="T3757" s="28"/>
      <c r="AS3757" s="24"/>
      <c r="AT3757" s="24"/>
      <c r="AU3757" s="24"/>
      <c r="AV3757" s="24"/>
      <c r="AX3757" s="29"/>
    </row>
    <row r="3758" spans="2:50">
      <c r="B3758" s="19"/>
      <c r="K3758" s="21"/>
      <c r="T3758" s="28"/>
      <c r="AS3758" s="24"/>
      <c r="AT3758" s="24"/>
      <c r="AU3758" s="24"/>
      <c r="AV3758" s="24"/>
      <c r="AX3758" s="29"/>
    </row>
    <row r="3759" spans="2:50">
      <c r="B3759" s="19"/>
      <c r="K3759" s="21"/>
      <c r="T3759" s="28"/>
      <c r="AS3759" s="24"/>
      <c r="AT3759" s="24"/>
      <c r="AU3759" s="24"/>
      <c r="AV3759" s="24"/>
      <c r="AX3759" s="29"/>
    </row>
    <row r="3760" spans="2:50">
      <c r="B3760" s="19"/>
      <c r="K3760" s="21"/>
      <c r="T3760" s="28"/>
      <c r="AS3760" s="24"/>
      <c r="AT3760" s="24"/>
      <c r="AU3760" s="24"/>
      <c r="AV3760" s="24"/>
      <c r="AX3760" s="29"/>
    </row>
    <row r="3761" spans="2:50">
      <c r="B3761" s="19"/>
      <c r="K3761" s="21"/>
      <c r="T3761" s="28"/>
      <c r="AS3761" s="24"/>
      <c r="AT3761" s="24"/>
      <c r="AU3761" s="24"/>
      <c r="AV3761" s="24"/>
      <c r="AX3761" s="29"/>
    </row>
    <row r="3762" spans="2:50">
      <c r="B3762" s="19"/>
      <c r="K3762" s="21"/>
      <c r="T3762" s="28"/>
      <c r="AS3762" s="24"/>
      <c r="AT3762" s="24"/>
      <c r="AU3762" s="24"/>
      <c r="AV3762" s="24"/>
      <c r="AX3762" s="29"/>
    </row>
    <row r="3763" spans="2:50">
      <c r="B3763" s="19"/>
      <c r="K3763" s="21"/>
      <c r="T3763" s="28"/>
      <c r="AS3763" s="24"/>
      <c r="AT3763" s="24"/>
      <c r="AU3763" s="24"/>
      <c r="AV3763" s="24"/>
      <c r="AX3763" s="29"/>
    </row>
    <row r="3764" spans="2:50">
      <c r="B3764" s="19"/>
      <c r="K3764" s="21"/>
      <c r="T3764" s="28"/>
      <c r="AS3764" s="24"/>
      <c r="AT3764" s="24"/>
      <c r="AU3764" s="24"/>
      <c r="AV3764" s="24"/>
      <c r="AX3764" s="29"/>
    </row>
    <row r="3765" spans="2:50">
      <c r="B3765" s="19"/>
      <c r="K3765" s="21"/>
      <c r="T3765" s="28"/>
      <c r="AS3765" s="24"/>
      <c r="AT3765" s="24"/>
      <c r="AU3765" s="24"/>
      <c r="AV3765" s="24"/>
      <c r="AX3765" s="29"/>
    </row>
    <row r="3766" spans="2:50">
      <c r="B3766" s="19"/>
      <c r="K3766" s="21"/>
      <c r="T3766" s="28"/>
      <c r="AS3766" s="24"/>
      <c r="AT3766" s="24"/>
      <c r="AU3766" s="24"/>
      <c r="AV3766" s="24"/>
      <c r="AX3766" s="29"/>
    </row>
    <row r="3767" spans="2:50">
      <c r="B3767" s="19"/>
      <c r="K3767" s="21"/>
      <c r="T3767" s="28"/>
      <c r="AS3767" s="24"/>
      <c r="AT3767" s="24"/>
      <c r="AU3767" s="24"/>
      <c r="AV3767" s="24"/>
      <c r="AX3767" s="29"/>
    </row>
    <row r="3768" spans="2:50">
      <c r="B3768" s="19"/>
      <c r="K3768" s="21"/>
      <c r="T3768" s="28"/>
      <c r="AS3768" s="24"/>
      <c r="AT3768" s="24"/>
      <c r="AU3768" s="24"/>
      <c r="AV3768" s="24"/>
      <c r="AX3768" s="29"/>
    </row>
    <row r="3769" spans="2:50">
      <c r="B3769" s="19"/>
      <c r="K3769" s="21"/>
      <c r="T3769" s="28"/>
      <c r="AS3769" s="24"/>
      <c r="AT3769" s="24"/>
      <c r="AU3769" s="24"/>
      <c r="AV3769" s="24"/>
      <c r="AX3769" s="29"/>
    </row>
    <row r="3770" spans="2:50">
      <c r="B3770" s="19"/>
      <c r="K3770" s="21"/>
      <c r="T3770" s="28"/>
      <c r="AS3770" s="24"/>
      <c r="AT3770" s="24"/>
      <c r="AU3770" s="24"/>
      <c r="AV3770" s="24"/>
      <c r="AX3770" s="29"/>
    </row>
    <row r="3771" spans="2:50">
      <c r="B3771" s="19"/>
      <c r="K3771" s="21"/>
      <c r="T3771" s="28"/>
      <c r="AS3771" s="24"/>
      <c r="AT3771" s="24"/>
      <c r="AU3771" s="24"/>
      <c r="AV3771" s="24"/>
      <c r="AX3771" s="29"/>
    </row>
    <row r="3772" spans="2:50">
      <c r="B3772" s="19"/>
      <c r="K3772" s="21"/>
      <c r="T3772" s="28"/>
      <c r="AS3772" s="24"/>
      <c r="AT3772" s="24"/>
      <c r="AU3772" s="24"/>
      <c r="AV3772" s="24"/>
      <c r="AX3772" s="29"/>
    </row>
    <row r="3773" spans="2:50">
      <c r="B3773" s="19"/>
      <c r="K3773" s="21"/>
      <c r="T3773" s="28"/>
      <c r="AS3773" s="24"/>
      <c r="AT3773" s="24"/>
      <c r="AU3773" s="24"/>
      <c r="AV3773" s="24"/>
      <c r="AX3773" s="29"/>
    </row>
    <row r="3774" spans="2:50">
      <c r="B3774" s="19"/>
      <c r="K3774" s="21"/>
      <c r="T3774" s="28"/>
      <c r="AS3774" s="24"/>
      <c r="AT3774" s="24"/>
      <c r="AU3774" s="24"/>
      <c r="AV3774" s="24"/>
      <c r="AX3774" s="29"/>
    </row>
    <row r="3775" spans="2:50">
      <c r="B3775" s="19"/>
      <c r="K3775" s="21"/>
      <c r="T3775" s="28"/>
      <c r="AS3775" s="24"/>
      <c r="AT3775" s="24"/>
      <c r="AU3775" s="24"/>
      <c r="AV3775" s="24"/>
      <c r="AX3775" s="29"/>
    </row>
    <row r="3776" spans="2:50">
      <c r="B3776" s="19"/>
      <c r="K3776" s="21"/>
      <c r="T3776" s="28"/>
      <c r="AS3776" s="24"/>
      <c r="AT3776" s="24"/>
      <c r="AU3776" s="24"/>
      <c r="AV3776" s="24"/>
      <c r="AX3776" s="29"/>
    </row>
    <row r="3777" spans="2:50">
      <c r="B3777" s="19"/>
      <c r="K3777" s="21"/>
      <c r="T3777" s="28"/>
      <c r="AS3777" s="24"/>
      <c r="AT3777" s="24"/>
      <c r="AU3777" s="24"/>
      <c r="AV3777" s="24"/>
      <c r="AX3777" s="29"/>
    </row>
    <row r="3778" spans="2:50">
      <c r="B3778" s="19"/>
      <c r="K3778" s="21"/>
      <c r="T3778" s="28"/>
      <c r="AS3778" s="24"/>
      <c r="AT3778" s="24"/>
      <c r="AU3778" s="24"/>
      <c r="AV3778" s="24"/>
      <c r="AX3778" s="29"/>
    </row>
    <row r="3779" spans="2:50">
      <c r="B3779" s="19"/>
      <c r="K3779" s="21"/>
      <c r="T3779" s="28"/>
      <c r="AS3779" s="24"/>
      <c r="AT3779" s="24"/>
      <c r="AU3779" s="24"/>
      <c r="AV3779" s="24"/>
      <c r="AX3779" s="29"/>
    </row>
    <row r="3780" spans="2:50">
      <c r="B3780" s="19"/>
      <c r="K3780" s="21"/>
      <c r="T3780" s="28"/>
      <c r="AS3780" s="24"/>
      <c r="AT3780" s="24"/>
      <c r="AU3780" s="24"/>
      <c r="AV3780" s="24"/>
      <c r="AX3780" s="29"/>
    </row>
    <row r="3781" spans="2:50">
      <c r="B3781" s="19"/>
      <c r="K3781" s="21"/>
      <c r="T3781" s="28"/>
      <c r="AS3781" s="24"/>
      <c r="AT3781" s="24"/>
      <c r="AU3781" s="24"/>
      <c r="AV3781" s="24"/>
      <c r="AX3781" s="29"/>
    </row>
    <row r="3782" spans="2:50">
      <c r="B3782" s="19"/>
      <c r="K3782" s="21"/>
      <c r="T3782" s="28"/>
      <c r="AS3782" s="24"/>
      <c r="AT3782" s="24"/>
      <c r="AU3782" s="24"/>
      <c r="AV3782" s="24"/>
      <c r="AX3782" s="29"/>
    </row>
    <row r="3783" spans="2:50">
      <c r="B3783" s="19"/>
      <c r="K3783" s="21"/>
      <c r="T3783" s="28"/>
      <c r="AS3783" s="24"/>
      <c r="AT3783" s="24"/>
      <c r="AU3783" s="24"/>
      <c r="AV3783" s="24"/>
      <c r="AX3783" s="29"/>
    </row>
    <row r="3784" spans="2:50">
      <c r="B3784" s="19"/>
      <c r="K3784" s="21"/>
      <c r="T3784" s="28"/>
      <c r="AS3784" s="24"/>
      <c r="AT3784" s="24"/>
      <c r="AU3784" s="24"/>
      <c r="AV3784" s="24"/>
      <c r="AX3784" s="29"/>
    </row>
    <row r="3785" spans="2:50">
      <c r="B3785" s="19"/>
      <c r="K3785" s="21"/>
      <c r="T3785" s="28"/>
      <c r="AS3785" s="24"/>
      <c r="AT3785" s="24"/>
      <c r="AU3785" s="24"/>
      <c r="AV3785" s="24"/>
      <c r="AX3785" s="29"/>
    </row>
    <row r="3786" spans="2:50">
      <c r="B3786" s="19"/>
      <c r="K3786" s="21"/>
      <c r="T3786" s="28"/>
      <c r="AS3786" s="24"/>
      <c r="AT3786" s="24"/>
      <c r="AU3786" s="24"/>
      <c r="AV3786" s="24"/>
      <c r="AX3786" s="29"/>
    </row>
    <row r="3787" spans="2:50">
      <c r="B3787" s="19"/>
      <c r="K3787" s="21"/>
      <c r="T3787" s="28"/>
      <c r="AS3787" s="24"/>
      <c r="AT3787" s="24"/>
      <c r="AU3787" s="24"/>
      <c r="AV3787" s="24"/>
      <c r="AX3787" s="29"/>
    </row>
    <row r="3788" spans="2:50">
      <c r="B3788" s="19"/>
      <c r="K3788" s="21"/>
      <c r="T3788" s="28"/>
      <c r="AS3788" s="24"/>
      <c r="AT3788" s="24"/>
      <c r="AU3788" s="24"/>
      <c r="AV3788" s="24"/>
      <c r="AX3788" s="29"/>
    </row>
    <row r="3789" spans="2:50">
      <c r="B3789" s="19"/>
      <c r="K3789" s="21"/>
      <c r="T3789" s="28"/>
      <c r="AS3789" s="24"/>
      <c r="AT3789" s="24"/>
      <c r="AU3789" s="24"/>
      <c r="AV3789" s="24"/>
      <c r="AX3789" s="29"/>
    </row>
    <row r="3790" spans="2:50">
      <c r="B3790" s="19"/>
      <c r="K3790" s="21"/>
      <c r="T3790" s="28"/>
      <c r="AS3790" s="24"/>
      <c r="AT3790" s="24"/>
      <c r="AU3790" s="24"/>
      <c r="AV3790" s="24"/>
      <c r="AX3790" s="29"/>
    </row>
    <row r="3791" spans="2:50">
      <c r="B3791" s="19"/>
      <c r="K3791" s="21"/>
      <c r="T3791" s="28"/>
      <c r="AS3791" s="24"/>
      <c r="AT3791" s="24"/>
      <c r="AU3791" s="24"/>
      <c r="AV3791" s="24"/>
      <c r="AX3791" s="29"/>
    </row>
    <row r="3792" spans="2:50">
      <c r="B3792" s="19"/>
      <c r="K3792" s="21"/>
      <c r="T3792" s="28"/>
      <c r="AS3792" s="24"/>
      <c r="AT3792" s="24"/>
      <c r="AU3792" s="24"/>
      <c r="AV3792" s="24"/>
      <c r="AX3792" s="29"/>
    </row>
    <row r="3793" spans="2:50">
      <c r="B3793" s="19"/>
      <c r="K3793" s="21"/>
      <c r="T3793" s="28"/>
      <c r="AS3793" s="24"/>
      <c r="AT3793" s="24"/>
      <c r="AU3793" s="24"/>
      <c r="AV3793" s="24"/>
      <c r="AX3793" s="29"/>
    </row>
    <row r="3794" spans="2:50">
      <c r="B3794" s="19"/>
      <c r="K3794" s="21"/>
      <c r="T3794" s="28"/>
      <c r="AS3794" s="24"/>
      <c r="AT3794" s="24"/>
      <c r="AU3794" s="24"/>
      <c r="AV3794" s="24"/>
      <c r="AX3794" s="29"/>
    </row>
    <row r="3795" spans="2:50">
      <c r="B3795" s="19"/>
      <c r="K3795" s="21"/>
      <c r="T3795" s="28"/>
      <c r="AS3795" s="24"/>
      <c r="AT3795" s="24"/>
      <c r="AU3795" s="24"/>
      <c r="AV3795" s="24"/>
      <c r="AX3795" s="29"/>
    </row>
    <row r="3796" spans="2:50">
      <c r="B3796" s="19"/>
      <c r="K3796" s="21"/>
      <c r="T3796" s="28"/>
      <c r="AS3796" s="24"/>
      <c r="AT3796" s="24"/>
      <c r="AU3796" s="24"/>
      <c r="AV3796" s="24"/>
      <c r="AX3796" s="29"/>
    </row>
    <row r="3797" spans="2:50">
      <c r="B3797" s="19"/>
      <c r="K3797" s="21"/>
      <c r="T3797" s="28"/>
      <c r="AS3797" s="24"/>
      <c r="AT3797" s="24"/>
      <c r="AU3797" s="24"/>
      <c r="AV3797" s="24"/>
      <c r="AX3797" s="29"/>
    </row>
    <row r="3798" spans="2:50">
      <c r="B3798" s="19"/>
      <c r="K3798" s="21"/>
      <c r="T3798" s="28"/>
      <c r="AS3798" s="24"/>
      <c r="AT3798" s="24"/>
      <c r="AU3798" s="24"/>
      <c r="AV3798" s="24"/>
      <c r="AX3798" s="29"/>
    </row>
    <row r="3799" spans="2:50">
      <c r="B3799" s="19"/>
      <c r="K3799" s="21"/>
      <c r="T3799" s="28"/>
      <c r="AS3799" s="24"/>
      <c r="AT3799" s="24"/>
      <c r="AU3799" s="24"/>
      <c r="AV3799" s="24"/>
      <c r="AX3799" s="29"/>
    </row>
    <row r="3800" spans="2:50">
      <c r="B3800" s="19"/>
      <c r="K3800" s="21"/>
      <c r="T3800" s="28"/>
      <c r="AS3800" s="24"/>
      <c r="AT3800" s="24"/>
      <c r="AU3800" s="24"/>
      <c r="AV3800" s="24"/>
      <c r="AX3800" s="29"/>
    </row>
    <row r="3801" spans="2:50">
      <c r="B3801" s="19"/>
      <c r="K3801" s="21"/>
      <c r="T3801" s="28"/>
      <c r="AS3801" s="24"/>
      <c r="AT3801" s="24"/>
      <c r="AU3801" s="24"/>
      <c r="AV3801" s="24"/>
      <c r="AX3801" s="29"/>
    </row>
    <row r="3802" spans="2:50">
      <c r="B3802" s="19"/>
      <c r="K3802" s="21"/>
      <c r="T3802" s="28"/>
      <c r="AS3802" s="24"/>
      <c r="AT3802" s="24"/>
      <c r="AU3802" s="24"/>
      <c r="AV3802" s="24"/>
      <c r="AX3802" s="29"/>
    </row>
    <row r="3803" spans="2:50">
      <c r="B3803" s="19"/>
      <c r="K3803" s="21"/>
      <c r="T3803" s="28"/>
      <c r="AS3803" s="24"/>
      <c r="AT3803" s="24"/>
      <c r="AU3803" s="24"/>
      <c r="AV3803" s="24"/>
      <c r="AX3803" s="29"/>
    </row>
    <row r="3804" spans="2:50">
      <c r="B3804" s="19"/>
      <c r="K3804" s="21"/>
      <c r="T3804" s="28"/>
      <c r="AS3804" s="24"/>
      <c r="AT3804" s="24"/>
      <c r="AU3804" s="24"/>
      <c r="AV3804" s="24"/>
      <c r="AX3804" s="29"/>
    </row>
    <row r="3805" spans="2:50">
      <c r="B3805" s="19"/>
      <c r="K3805" s="21"/>
      <c r="T3805" s="28"/>
      <c r="AS3805" s="24"/>
      <c r="AT3805" s="24"/>
      <c r="AU3805" s="24"/>
      <c r="AV3805" s="24"/>
      <c r="AX3805" s="29"/>
    </row>
    <row r="3806" spans="2:50">
      <c r="B3806" s="19"/>
      <c r="K3806" s="21"/>
      <c r="T3806" s="28"/>
      <c r="AS3806" s="24"/>
      <c r="AT3806" s="24"/>
      <c r="AU3806" s="24"/>
      <c r="AV3806" s="24"/>
      <c r="AX3806" s="29"/>
    </row>
    <row r="3807" spans="2:50">
      <c r="B3807" s="19"/>
      <c r="K3807" s="21"/>
      <c r="T3807" s="28"/>
      <c r="AS3807" s="24"/>
      <c r="AT3807" s="24"/>
      <c r="AU3807" s="24"/>
      <c r="AV3807" s="24"/>
      <c r="AX3807" s="29"/>
    </row>
    <row r="3808" spans="2:50">
      <c r="B3808" s="19"/>
      <c r="K3808" s="21"/>
      <c r="T3808" s="28"/>
      <c r="AS3808" s="24"/>
      <c r="AT3808" s="24"/>
      <c r="AU3808" s="24"/>
      <c r="AV3808" s="24"/>
      <c r="AX3808" s="29"/>
    </row>
    <row r="3809" spans="2:50">
      <c r="B3809" s="19"/>
      <c r="K3809" s="21"/>
      <c r="T3809" s="28"/>
      <c r="AS3809" s="24"/>
      <c r="AT3809" s="24"/>
      <c r="AU3809" s="24"/>
      <c r="AV3809" s="24"/>
      <c r="AX3809" s="29"/>
    </row>
    <row r="3810" spans="2:50">
      <c r="B3810" s="19"/>
      <c r="K3810" s="21"/>
      <c r="T3810" s="28"/>
      <c r="AS3810" s="24"/>
      <c r="AT3810" s="24"/>
      <c r="AU3810" s="24"/>
      <c r="AV3810" s="24"/>
      <c r="AX3810" s="29"/>
    </row>
    <row r="3811" spans="2:50">
      <c r="B3811" s="19"/>
      <c r="K3811" s="21"/>
      <c r="T3811" s="28"/>
      <c r="AS3811" s="24"/>
      <c r="AT3811" s="24"/>
      <c r="AU3811" s="24"/>
      <c r="AV3811" s="24"/>
      <c r="AX3811" s="29"/>
    </row>
    <row r="3812" spans="2:50">
      <c r="B3812" s="19"/>
      <c r="K3812" s="21"/>
      <c r="T3812" s="28"/>
      <c r="AS3812" s="24"/>
      <c r="AT3812" s="24"/>
      <c r="AU3812" s="24"/>
      <c r="AV3812" s="24"/>
      <c r="AX3812" s="29"/>
    </row>
    <row r="3813" spans="2:50">
      <c r="B3813" s="19"/>
      <c r="K3813" s="21"/>
      <c r="T3813" s="28"/>
      <c r="AS3813" s="24"/>
      <c r="AT3813" s="24"/>
      <c r="AU3813" s="24"/>
      <c r="AV3813" s="24"/>
      <c r="AX3813" s="29"/>
    </row>
    <row r="3814" spans="2:50">
      <c r="B3814" s="19"/>
      <c r="K3814" s="21"/>
      <c r="T3814" s="28"/>
      <c r="AS3814" s="24"/>
      <c r="AT3814" s="24"/>
      <c r="AU3814" s="24"/>
      <c r="AV3814" s="24"/>
      <c r="AX3814" s="29"/>
    </row>
    <row r="3815" spans="2:50">
      <c r="B3815" s="19"/>
      <c r="K3815" s="21"/>
      <c r="T3815" s="28"/>
      <c r="AS3815" s="24"/>
      <c r="AT3815" s="24"/>
      <c r="AU3815" s="24"/>
      <c r="AV3815" s="24"/>
      <c r="AX3815" s="29"/>
    </row>
    <row r="3816" spans="2:50">
      <c r="B3816" s="19"/>
      <c r="K3816" s="21"/>
      <c r="T3816" s="28"/>
      <c r="AS3816" s="24"/>
      <c r="AT3816" s="24"/>
      <c r="AU3816" s="24"/>
      <c r="AV3816" s="24"/>
      <c r="AX3816" s="29"/>
    </row>
    <row r="3817" spans="2:50">
      <c r="B3817" s="19"/>
      <c r="K3817" s="21"/>
      <c r="T3817" s="28"/>
      <c r="AS3817" s="24"/>
      <c r="AT3817" s="24"/>
      <c r="AU3817" s="24"/>
      <c r="AV3817" s="24"/>
      <c r="AX3817" s="29"/>
    </row>
    <row r="3818" spans="2:50">
      <c r="B3818" s="19"/>
      <c r="K3818" s="21"/>
      <c r="T3818" s="28"/>
      <c r="AS3818" s="24"/>
      <c r="AT3818" s="24"/>
      <c r="AU3818" s="24"/>
      <c r="AV3818" s="24"/>
      <c r="AX3818" s="29"/>
    </row>
    <row r="3819" spans="2:50">
      <c r="B3819" s="19"/>
      <c r="K3819" s="21"/>
      <c r="T3819" s="28"/>
      <c r="AS3819" s="24"/>
      <c r="AT3819" s="24"/>
      <c r="AU3819" s="24"/>
      <c r="AV3819" s="24"/>
      <c r="AX3819" s="29"/>
    </row>
    <row r="3820" spans="2:50">
      <c r="B3820" s="19"/>
      <c r="K3820" s="21"/>
      <c r="T3820" s="28"/>
      <c r="AS3820" s="24"/>
      <c r="AT3820" s="24"/>
      <c r="AU3820" s="24"/>
      <c r="AV3820" s="24"/>
      <c r="AX3820" s="29"/>
    </row>
    <row r="3821" spans="2:50">
      <c r="B3821" s="19"/>
      <c r="K3821" s="21"/>
      <c r="T3821" s="28"/>
      <c r="AS3821" s="24"/>
      <c r="AT3821" s="24"/>
      <c r="AU3821" s="24"/>
      <c r="AV3821" s="24"/>
      <c r="AX3821" s="29"/>
    </row>
    <row r="3822" spans="2:50">
      <c r="B3822" s="19"/>
      <c r="K3822" s="21"/>
      <c r="T3822" s="28"/>
      <c r="AS3822" s="24"/>
      <c r="AT3822" s="24"/>
      <c r="AU3822" s="24"/>
      <c r="AV3822" s="24"/>
      <c r="AX3822" s="29"/>
    </row>
    <row r="3823" spans="2:50">
      <c r="B3823" s="19"/>
      <c r="K3823" s="21"/>
      <c r="T3823" s="28"/>
      <c r="AS3823" s="24"/>
      <c r="AT3823" s="24"/>
      <c r="AU3823" s="24"/>
      <c r="AV3823" s="24"/>
      <c r="AX3823" s="29"/>
    </row>
    <row r="3824" spans="2:50">
      <c r="B3824" s="19"/>
      <c r="K3824" s="21"/>
      <c r="T3824" s="28"/>
      <c r="AS3824" s="24"/>
      <c r="AT3824" s="24"/>
      <c r="AU3824" s="24"/>
      <c r="AV3824" s="24"/>
      <c r="AX3824" s="29"/>
    </row>
    <row r="3825" spans="2:57">
      <c r="B3825" s="19"/>
      <c r="K3825" s="21"/>
      <c r="T3825" s="28"/>
      <c r="AS3825" s="24"/>
      <c r="AT3825" s="24"/>
      <c r="AU3825" s="24"/>
      <c r="AV3825" s="24"/>
      <c r="AX3825" s="29"/>
    </row>
    <row r="3826" spans="2:57">
      <c r="B3826" s="19"/>
      <c r="K3826" s="21"/>
      <c r="T3826" s="28"/>
      <c r="AS3826" s="24"/>
      <c r="AT3826" s="24"/>
      <c r="AU3826" s="24"/>
      <c r="AV3826" s="24"/>
      <c r="AX3826" s="29"/>
    </row>
    <row r="3827" spans="2:57">
      <c r="B3827" s="19"/>
      <c r="K3827" s="21"/>
      <c r="T3827" s="28"/>
      <c r="AS3827" s="24"/>
      <c r="AT3827" s="24"/>
      <c r="AU3827" s="24"/>
      <c r="AV3827" s="24"/>
      <c r="AX3827" s="29"/>
    </row>
    <row r="3828" spans="2:57">
      <c r="B3828" s="19"/>
      <c r="K3828" s="21"/>
      <c r="T3828" s="28"/>
      <c r="AS3828" s="24"/>
      <c r="AT3828" s="24"/>
      <c r="AU3828" s="24"/>
      <c r="AV3828" s="24"/>
      <c r="AX3828" s="29"/>
    </row>
    <row r="3829" spans="2:57">
      <c r="B3829" s="19"/>
      <c r="K3829" s="21"/>
      <c r="T3829" s="28"/>
      <c r="AS3829" s="24"/>
      <c r="AT3829" s="24"/>
      <c r="AU3829" s="24"/>
      <c r="AV3829" s="24"/>
      <c r="AX3829" s="29"/>
    </row>
    <row r="3830" spans="2:57">
      <c r="B3830" s="19"/>
      <c r="K3830" s="21"/>
      <c r="T3830" s="28"/>
      <c r="AS3830" s="24"/>
      <c r="AT3830" s="24"/>
      <c r="AU3830" s="24"/>
      <c r="AV3830" s="24"/>
      <c r="AX3830" s="29"/>
    </row>
    <row r="3831" spans="2:57">
      <c r="B3831" s="19"/>
      <c r="K3831" s="21"/>
      <c r="T3831" s="28"/>
      <c r="AS3831" s="24"/>
      <c r="AT3831" s="24"/>
      <c r="AU3831" s="24"/>
      <c r="AV3831" s="24"/>
      <c r="AX3831" s="29"/>
    </row>
    <row r="3832" spans="2:57">
      <c r="B3832" s="19"/>
      <c r="K3832" s="21"/>
      <c r="T3832" s="28"/>
      <c r="AS3832" s="24"/>
      <c r="AT3832" s="24"/>
      <c r="AU3832" s="24"/>
      <c r="AV3832" s="24"/>
      <c r="AX3832" s="29"/>
    </row>
    <row r="3833" spans="2:57" s="22" customFormat="1">
      <c r="B3833" s="48"/>
      <c r="C3833" s="49"/>
      <c r="K3833" s="50"/>
      <c r="M3833" s="18"/>
      <c r="Q3833" s="51"/>
      <c r="R3833" s="51"/>
      <c r="S3833" s="52"/>
      <c r="T3833" s="53"/>
      <c r="X3833" s="49"/>
      <c r="AA3833" s="18"/>
      <c r="AB3833" s="18"/>
      <c r="AC3833" s="18"/>
      <c r="AS3833" s="52"/>
      <c r="AT3833" s="52"/>
      <c r="AU3833" s="52"/>
      <c r="AV3833" s="52"/>
      <c r="AW3833" s="52"/>
      <c r="AX3833" s="54"/>
      <c r="AY3833" s="54"/>
      <c r="AZ3833" s="54"/>
      <c r="BA3833" s="52"/>
      <c r="BB3833" s="24"/>
      <c r="BC3833" s="24"/>
      <c r="BD3833" s="24"/>
      <c r="BE3833" s="52"/>
    </row>
    <row r="3834" spans="2:57">
      <c r="B3834" s="19"/>
      <c r="K3834" s="21"/>
      <c r="T3834" s="28"/>
      <c r="AS3834" s="24"/>
      <c r="AT3834" s="24"/>
      <c r="AU3834" s="24"/>
      <c r="AV3834" s="24"/>
      <c r="AX3834" s="29"/>
    </row>
    <row r="3835" spans="2:57">
      <c r="B3835" s="19"/>
      <c r="K3835" s="21"/>
      <c r="T3835" s="28"/>
      <c r="AS3835" s="24"/>
      <c r="AT3835" s="24"/>
      <c r="AU3835" s="24"/>
      <c r="AV3835" s="24"/>
      <c r="AX3835" s="29"/>
    </row>
    <row r="3836" spans="2:57">
      <c r="B3836" s="19"/>
      <c r="K3836" s="21"/>
      <c r="T3836" s="28"/>
      <c r="AS3836" s="24"/>
      <c r="AT3836" s="24"/>
      <c r="AU3836" s="24"/>
      <c r="AV3836" s="24"/>
      <c r="AX3836" s="29"/>
    </row>
    <row r="3837" spans="2:57">
      <c r="B3837" s="19"/>
      <c r="K3837" s="21"/>
      <c r="T3837" s="28"/>
      <c r="AS3837" s="24"/>
      <c r="AT3837" s="24"/>
      <c r="AU3837" s="24"/>
      <c r="AV3837" s="24"/>
      <c r="AX3837" s="29"/>
    </row>
    <row r="3838" spans="2:57">
      <c r="B3838" s="19"/>
      <c r="K3838" s="21"/>
      <c r="T3838" s="28"/>
      <c r="AS3838" s="24"/>
      <c r="AT3838" s="24"/>
      <c r="AU3838" s="24"/>
      <c r="AV3838" s="24"/>
      <c r="AX3838" s="29"/>
    </row>
    <row r="3839" spans="2:57">
      <c r="B3839" s="19"/>
      <c r="K3839" s="21"/>
      <c r="T3839" s="28"/>
      <c r="AS3839" s="24"/>
      <c r="AT3839" s="24"/>
      <c r="AU3839" s="24"/>
      <c r="AV3839" s="24"/>
      <c r="AX3839" s="29"/>
    </row>
    <row r="3840" spans="2:57">
      <c r="B3840" s="19"/>
      <c r="K3840" s="21"/>
      <c r="T3840" s="28"/>
      <c r="AS3840" s="24"/>
      <c r="AT3840" s="24"/>
      <c r="AU3840" s="24"/>
      <c r="AV3840" s="24"/>
      <c r="AX3840" s="29"/>
    </row>
    <row r="3841" spans="2:50">
      <c r="B3841" s="19"/>
      <c r="K3841" s="21"/>
      <c r="T3841" s="28"/>
      <c r="AS3841" s="24"/>
      <c r="AT3841" s="24"/>
      <c r="AU3841" s="24"/>
      <c r="AV3841" s="24"/>
      <c r="AX3841" s="29"/>
    </row>
    <row r="3842" spans="2:50">
      <c r="B3842" s="19"/>
      <c r="K3842" s="21"/>
      <c r="T3842" s="28"/>
      <c r="AS3842" s="24"/>
      <c r="AT3842" s="24"/>
      <c r="AU3842" s="24"/>
      <c r="AV3842" s="24"/>
      <c r="AX3842" s="29"/>
    </row>
    <row r="3843" spans="2:50">
      <c r="B3843" s="19"/>
      <c r="K3843" s="21"/>
      <c r="T3843" s="28"/>
      <c r="AS3843" s="24"/>
      <c r="AT3843" s="24"/>
      <c r="AU3843" s="24"/>
      <c r="AV3843" s="24"/>
      <c r="AX3843" s="29"/>
    </row>
    <row r="3844" spans="2:50">
      <c r="B3844" s="19"/>
      <c r="K3844" s="21"/>
      <c r="T3844" s="28"/>
      <c r="AS3844" s="24"/>
      <c r="AT3844" s="24"/>
      <c r="AU3844" s="24"/>
      <c r="AV3844" s="24"/>
      <c r="AX3844" s="29"/>
    </row>
    <row r="3845" spans="2:50">
      <c r="B3845" s="19"/>
      <c r="K3845" s="21"/>
      <c r="T3845" s="28"/>
      <c r="AS3845" s="24"/>
      <c r="AT3845" s="24"/>
      <c r="AU3845" s="24"/>
      <c r="AV3845" s="24"/>
      <c r="AX3845" s="29"/>
    </row>
    <row r="3846" spans="2:50">
      <c r="B3846" s="19"/>
      <c r="K3846" s="21"/>
      <c r="T3846" s="28"/>
      <c r="AS3846" s="24"/>
      <c r="AT3846" s="24"/>
      <c r="AU3846" s="24"/>
      <c r="AV3846" s="24"/>
      <c r="AX3846" s="29"/>
    </row>
    <row r="3847" spans="2:50">
      <c r="B3847" s="19"/>
      <c r="K3847" s="21"/>
      <c r="T3847" s="28"/>
      <c r="AS3847" s="24"/>
      <c r="AT3847" s="24"/>
      <c r="AU3847" s="24"/>
      <c r="AV3847" s="24"/>
      <c r="AX3847" s="29"/>
    </row>
    <row r="3848" spans="2:50">
      <c r="B3848" s="19"/>
      <c r="K3848" s="21"/>
      <c r="T3848" s="28"/>
      <c r="AS3848" s="24"/>
      <c r="AT3848" s="24"/>
      <c r="AU3848" s="24"/>
      <c r="AV3848" s="24"/>
      <c r="AX3848" s="29"/>
    </row>
    <row r="3849" spans="2:50">
      <c r="B3849" s="19"/>
      <c r="K3849" s="21"/>
      <c r="T3849" s="28"/>
      <c r="AS3849" s="24"/>
      <c r="AT3849" s="24"/>
      <c r="AU3849" s="24"/>
      <c r="AV3849" s="24"/>
      <c r="AX3849" s="29"/>
    </row>
    <row r="3850" spans="2:50">
      <c r="B3850" s="19"/>
      <c r="K3850" s="21"/>
      <c r="T3850" s="28"/>
      <c r="AS3850" s="24"/>
      <c r="AT3850" s="24"/>
      <c r="AU3850" s="24"/>
      <c r="AV3850" s="24"/>
      <c r="AX3850" s="29"/>
    </row>
    <row r="3851" spans="2:50">
      <c r="B3851" s="19"/>
      <c r="K3851" s="21"/>
      <c r="T3851" s="28"/>
      <c r="AS3851" s="24"/>
      <c r="AT3851" s="24"/>
      <c r="AU3851" s="24"/>
      <c r="AV3851" s="24"/>
      <c r="AX3851" s="29"/>
    </row>
    <row r="3852" spans="2:50">
      <c r="B3852" s="19"/>
      <c r="K3852" s="21"/>
      <c r="T3852" s="28"/>
      <c r="AS3852" s="24"/>
      <c r="AT3852" s="24"/>
      <c r="AU3852" s="24"/>
      <c r="AV3852" s="24"/>
      <c r="AX3852" s="29"/>
    </row>
    <row r="3853" spans="2:50">
      <c r="B3853" s="19"/>
      <c r="K3853" s="21"/>
      <c r="T3853" s="28"/>
      <c r="AS3853" s="24"/>
      <c r="AT3853" s="24"/>
      <c r="AU3853" s="24"/>
      <c r="AV3853" s="24"/>
      <c r="AX3853" s="29"/>
    </row>
    <row r="3854" spans="2:50">
      <c r="B3854" s="19"/>
      <c r="K3854" s="21"/>
      <c r="T3854" s="28"/>
      <c r="AS3854" s="24"/>
      <c r="AT3854" s="24"/>
      <c r="AU3854" s="24"/>
      <c r="AV3854" s="24"/>
      <c r="AX3854" s="29"/>
    </row>
    <row r="3855" spans="2:50">
      <c r="B3855" s="19"/>
      <c r="K3855" s="21"/>
      <c r="T3855" s="28"/>
      <c r="AS3855" s="24"/>
      <c r="AT3855" s="24"/>
      <c r="AU3855" s="24"/>
      <c r="AV3855" s="24"/>
      <c r="AX3855" s="29"/>
    </row>
    <row r="3856" spans="2:50">
      <c r="B3856" s="19"/>
      <c r="K3856" s="21"/>
      <c r="T3856" s="28"/>
      <c r="AS3856" s="24"/>
      <c r="AT3856" s="24"/>
      <c r="AU3856" s="24"/>
      <c r="AV3856" s="24"/>
      <c r="AX3856" s="29"/>
    </row>
    <row r="3857" spans="2:50">
      <c r="B3857" s="19"/>
      <c r="K3857" s="21"/>
      <c r="T3857" s="28"/>
      <c r="AS3857" s="24"/>
      <c r="AT3857" s="24"/>
      <c r="AU3857" s="24"/>
      <c r="AV3857" s="24"/>
      <c r="AX3857" s="29"/>
    </row>
    <row r="3858" spans="2:50">
      <c r="B3858" s="19"/>
      <c r="K3858" s="21"/>
      <c r="T3858" s="28"/>
      <c r="AS3858" s="24"/>
      <c r="AT3858" s="24"/>
      <c r="AU3858" s="24"/>
      <c r="AV3858" s="24"/>
      <c r="AX3858" s="29"/>
    </row>
    <row r="3859" spans="2:50">
      <c r="B3859" s="19"/>
      <c r="K3859" s="21"/>
      <c r="T3859" s="28"/>
      <c r="AS3859" s="24"/>
      <c r="AT3859" s="24"/>
      <c r="AU3859" s="24"/>
      <c r="AV3859" s="24"/>
      <c r="AX3859" s="29"/>
    </row>
    <row r="3860" spans="2:50">
      <c r="B3860" s="19"/>
      <c r="K3860" s="21"/>
      <c r="T3860" s="28"/>
      <c r="AS3860" s="24"/>
      <c r="AT3860" s="24"/>
      <c r="AU3860" s="24"/>
      <c r="AV3860" s="24"/>
      <c r="AX3860" s="29"/>
    </row>
    <row r="3861" spans="2:50">
      <c r="B3861" s="19"/>
      <c r="K3861" s="21"/>
      <c r="T3861" s="28"/>
      <c r="AS3861" s="24"/>
      <c r="AT3861" s="24"/>
      <c r="AU3861" s="24"/>
      <c r="AV3861" s="24"/>
      <c r="AX3861" s="29"/>
    </row>
    <row r="3862" spans="2:50">
      <c r="B3862" s="19"/>
      <c r="K3862" s="21"/>
      <c r="T3862" s="28"/>
      <c r="AS3862" s="24"/>
      <c r="AT3862" s="24"/>
      <c r="AU3862" s="24"/>
      <c r="AV3862" s="24"/>
      <c r="AX3862" s="29"/>
    </row>
    <row r="3863" spans="2:50">
      <c r="B3863" s="19"/>
      <c r="K3863" s="21"/>
      <c r="T3863" s="28"/>
      <c r="AS3863" s="24"/>
      <c r="AT3863" s="24"/>
      <c r="AU3863" s="24"/>
      <c r="AV3863" s="24"/>
      <c r="AX3863" s="29"/>
    </row>
    <row r="3864" spans="2:50">
      <c r="B3864" s="19"/>
      <c r="K3864" s="21"/>
      <c r="T3864" s="28"/>
      <c r="AS3864" s="24"/>
      <c r="AT3864" s="24"/>
      <c r="AU3864" s="24"/>
      <c r="AV3864" s="24"/>
      <c r="AX3864" s="29"/>
    </row>
    <row r="3865" spans="2:50">
      <c r="B3865" s="19"/>
      <c r="K3865" s="21"/>
      <c r="T3865" s="28"/>
      <c r="AS3865" s="24"/>
      <c r="AT3865" s="24"/>
      <c r="AU3865" s="24"/>
      <c r="AV3865" s="24"/>
      <c r="AX3865" s="29"/>
    </row>
    <row r="3866" spans="2:50">
      <c r="B3866" s="19"/>
      <c r="K3866" s="21"/>
      <c r="T3866" s="28"/>
      <c r="AS3866" s="24"/>
      <c r="AT3866" s="24"/>
      <c r="AU3866" s="24"/>
      <c r="AV3866" s="24"/>
      <c r="AX3866" s="29"/>
    </row>
    <row r="3867" spans="2:50">
      <c r="B3867" s="19"/>
      <c r="K3867" s="21"/>
      <c r="T3867" s="28"/>
      <c r="AS3867" s="24"/>
      <c r="AT3867" s="24"/>
      <c r="AU3867" s="24"/>
      <c r="AV3867" s="24"/>
      <c r="AX3867" s="29"/>
    </row>
    <row r="3868" spans="2:50">
      <c r="B3868" s="19"/>
      <c r="K3868" s="21"/>
      <c r="T3868" s="28"/>
      <c r="AS3868" s="24"/>
      <c r="AT3868" s="24"/>
      <c r="AU3868" s="24"/>
      <c r="AV3868" s="24"/>
      <c r="AX3868" s="29"/>
    </row>
    <row r="3869" spans="2:50">
      <c r="B3869" s="19"/>
      <c r="K3869" s="21"/>
      <c r="T3869" s="28"/>
      <c r="AS3869" s="24"/>
      <c r="AT3869" s="24"/>
      <c r="AU3869" s="24"/>
      <c r="AV3869" s="24"/>
      <c r="AX3869" s="29"/>
    </row>
    <row r="3870" spans="2:50">
      <c r="B3870" s="19"/>
      <c r="K3870" s="21"/>
      <c r="T3870" s="28"/>
      <c r="AS3870" s="24"/>
      <c r="AT3870" s="24"/>
      <c r="AU3870" s="24"/>
      <c r="AV3870" s="24"/>
      <c r="AX3870" s="29"/>
    </row>
    <row r="3871" spans="2:50">
      <c r="B3871" s="19"/>
      <c r="K3871" s="21"/>
      <c r="T3871" s="28"/>
      <c r="AS3871" s="24"/>
      <c r="AT3871" s="24"/>
      <c r="AU3871" s="24"/>
      <c r="AV3871" s="24"/>
      <c r="AX3871" s="29"/>
    </row>
    <row r="3872" spans="2:50">
      <c r="B3872" s="19"/>
      <c r="K3872" s="21"/>
      <c r="T3872" s="28"/>
      <c r="AS3872" s="24"/>
      <c r="AT3872" s="24"/>
      <c r="AU3872" s="24"/>
      <c r="AV3872" s="24"/>
      <c r="AX3872" s="29"/>
    </row>
    <row r="3873" spans="2:50">
      <c r="B3873" s="19"/>
      <c r="K3873" s="21"/>
      <c r="T3873" s="28"/>
      <c r="AS3873" s="24"/>
      <c r="AT3873" s="24"/>
      <c r="AU3873" s="24"/>
      <c r="AV3873" s="24"/>
      <c r="AX3873" s="29"/>
    </row>
    <row r="3874" spans="2:50">
      <c r="B3874" s="19"/>
      <c r="K3874" s="21"/>
      <c r="T3874" s="28"/>
      <c r="AS3874" s="24"/>
      <c r="AT3874" s="24"/>
      <c r="AU3874" s="24"/>
      <c r="AV3874" s="24"/>
      <c r="AX3874" s="29"/>
    </row>
    <row r="3875" spans="2:50">
      <c r="B3875" s="19"/>
      <c r="K3875" s="21"/>
      <c r="T3875" s="28"/>
      <c r="AS3875" s="24"/>
      <c r="AT3875" s="24"/>
      <c r="AU3875" s="24"/>
      <c r="AV3875" s="24"/>
      <c r="AX3875" s="29"/>
    </row>
    <row r="3876" spans="2:50">
      <c r="B3876" s="19"/>
      <c r="K3876" s="21"/>
      <c r="T3876" s="28"/>
      <c r="AS3876" s="24"/>
      <c r="AT3876" s="24"/>
      <c r="AU3876" s="24"/>
      <c r="AV3876" s="24"/>
      <c r="AX3876" s="29"/>
    </row>
    <row r="3877" spans="2:50">
      <c r="B3877" s="19"/>
      <c r="K3877" s="21"/>
      <c r="T3877" s="28"/>
      <c r="AS3877" s="24"/>
      <c r="AT3877" s="24"/>
      <c r="AU3877" s="24"/>
      <c r="AV3877" s="24"/>
      <c r="AX3877" s="29"/>
    </row>
    <row r="3878" spans="2:50">
      <c r="B3878" s="19"/>
      <c r="K3878" s="21"/>
      <c r="T3878" s="28"/>
      <c r="AS3878" s="24"/>
      <c r="AT3878" s="24"/>
      <c r="AU3878" s="24"/>
      <c r="AV3878" s="24"/>
      <c r="AX3878" s="29"/>
    </row>
    <row r="3879" spans="2:50">
      <c r="B3879" s="19"/>
      <c r="K3879" s="21"/>
      <c r="T3879" s="28"/>
      <c r="AS3879" s="24"/>
      <c r="AT3879" s="24"/>
      <c r="AU3879" s="24"/>
      <c r="AV3879" s="24"/>
      <c r="AX3879" s="29"/>
    </row>
    <row r="3880" spans="2:50">
      <c r="B3880" s="19"/>
      <c r="K3880" s="21"/>
      <c r="T3880" s="28"/>
      <c r="AS3880" s="24"/>
      <c r="AT3880" s="24"/>
      <c r="AU3880" s="24"/>
      <c r="AV3880" s="24"/>
      <c r="AX3880" s="29"/>
    </row>
    <row r="3881" spans="2:50">
      <c r="B3881" s="19"/>
      <c r="K3881" s="21"/>
      <c r="T3881" s="28"/>
      <c r="AS3881" s="24"/>
      <c r="AT3881" s="24"/>
      <c r="AU3881" s="24"/>
      <c r="AV3881" s="24"/>
      <c r="AX3881" s="29"/>
    </row>
    <row r="3882" spans="2:50">
      <c r="B3882" s="19"/>
      <c r="K3882" s="21"/>
      <c r="T3882" s="28"/>
      <c r="AS3882" s="24"/>
      <c r="AT3882" s="24"/>
      <c r="AU3882" s="24"/>
      <c r="AV3882" s="24"/>
      <c r="AX3882" s="29"/>
    </row>
    <row r="3883" spans="2:50">
      <c r="B3883" s="19"/>
      <c r="K3883" s="21"/>
      <c r="T3883" s="28"/>
      <c r="AS3883" s="24"/>
      <c r="AT3883" s="24"/>
      <c r="AU3883" s="24"/>
      <c r="AV3883" s="24"/>
      <c r="AX3883" s="29"/>
    </row>
    <row r="3884" spans="2:50">
      <c r="B3884" s="19"/>
      <c r="K3884" s="21"/>
      <c r="T3884" s="28"/>
      <c r="AS3884" s="24"/>
      <c r="AT3884" s="24"/>
      <c r="AU3884" s="24"/>
      <c r="AV3884" s="24"/>
      <c r="AX3884" s="29"/>
    </row>
    <row r="3885" spans="2:50">
      <c r="B3885" s="19"/>
      <c r="K3885" s="21"/>
      <c r="T3885" s="28"/>
      <c r="AS3885" s="24"/>
      <c r="AT3885" s="24"/>
      <c r="AU3885" s="24"/>
      <c r="AV3885" s="24"/>
      <c r="AX3885" s="29"/>
    </row>
    <row r="3886" spans="2:50">
      <c r="B3886" s="19"/>
      <c r="K3886" s="21"/>
      <c r="T3886" s="28"/>
      <c r="AS3886" s="24"/>
      <c r="AT3886" s="24"/>
      <c r="AU3886" s="24"/>
      <c r="AV3886" s="24"/>
      <c r="AX3886" s="29"/>
    </row>
    <row r="3887" spans="2:50">
      <c r="B3887" s="19"/>
      <c r="K3887" s="21"/>
      <c r="T3887" s="28"/>
      <c r="AS3887" s="24"/>
      <c r="AT3887" s="24"/>
      <c r="AU3887" s="24"/>
      <c r="AV3887" s="24"/>
      <c r="AX3887" s="29"/>
    </row>
    <row r="3888" spans="2:50">
      <c r="B3888" s="19"/>
      <c r="K3888" s="21"/>
      <c r="T3888" s="28"/>
      <c r="AS3888" s="24"/>
      <c r="AT3888" s="24"/>
      <c r="AU3888" s="24"/>
      <c r="AV3888" s="24"/>
      <c r="AX3888" s="29"/>
    </row>
    <row r="3889" spans="2:50">
      <c r="B3889" s="30"/>
      <c r="K3889" s="21"/>
      <c r="T3889" s="28"/>
      <c r="AS3889" s="24"/>
      <c r="AT3889" s="24"/>
      <c r="AU3889" s="24"/>
      <c r="AV3889" s="24"/>
      <c r="AX3889" s="29"/>
    </row>
    <row r="3890" spans="2:50">
      <c r="B3890" s="19"/>
      <c r="K3890" s="21"/>
      <c r="T3890" s="28"/>
      <c r="AS3890" s="24"/>
      <c r="AT3890" s="24"/>
      <c r="AU3890" s="24"/>
      <c r="AV3890" s="24"/>
      <c r="AX3890" s="29"/>
    </row>
    <row r="3891" spans="2:50">
      <c r="B3891" s="19"/>
      <c r="K3891" s="21"/>
      <c r="T3891" s="28"/>
      <c r="AS3891" s="24"/>
      <c r="AT3891" s="24"/>
      <c r="AU3891" s="24"/>
      <c r="AV3891" s="24"/>
      <c r="AX3891" s="29"/>
    </row>
    <row r="3892" spans="2:50">
      <c r="B3892" s="19"/>
      <c r="K3892" s="21"/>
      <c r="T3892" s="28"/>
      <c r="AS3892" s="24"/>
      <c r="AT3892" s="24"/>
      <c r="AU3892" s="24"/>
      <c r="AV3892" s="24"/>
      <c r="AX3892" s="29"/>
    </row>
    <row r="3893" spans="2:50">
      <c r="B3893" s="19"/>
      <c r="K3893" s="21"/>
      <c r="T3893" s="28"/>
      <c r="AS3893" s="24"/>
      <c r="AT3893" s="24"/>
      <c r="AU3893" s="24"/>
      <c r="AV3893" s="24"/>
      <c r="AX3893" s="29"/>
    </row>
    <row r="3894" spans="2:50">
      <c r="B3894" s="19"/>
      <c r="K3894" s="21"/>
      <c r="T3894" s="28"/>
      <c r="AS3894" s="24"/>
      <c r="AT3894" s="24"/>
      <c r="AU3894" s="24"/>
      <c r="AV3894" s="24"/>
      <c r="AX3894" s="29"/>
    </row>
    <row r="3895" spans="2:50">
      <c r="B3895" s="19"/>
      <c r="K3895" s="21"/>
      <c r="T3895" s="28"/>
      <c r="AS3895" s="24"/>
      <c r="AT3895" s="24"/>
      <c r="AU3895" s="24"/>
      <c r="AV3895" s="24"/>
      <c r="AX3895" s="29"/>
    </row>
    <row r="3896" spans="2:50">
      <c r="B3896" s="19"/>
      <c r="K3896" s="21"/>
      <c r="T3896" s="28"/>
      <c r="AS3896" s="24"/>
      <c r="AT3896" s="24"/>
      <c r="AU3896" s="24"/>
      <c r="AV3896" s="24"/>
      <c r="AX3896" s="29"/>
    </row>
    <row r="3897" spans="2:50">
      <c r="B3897" s="19"/>
      <c r="K3897" s="21"/>
      <c r="T3897" s="28"/>
      <c r="AS3897" s="24"/>
      <c r="AT3897" s="24"/>
      <c r="AU3897" s="24"/>
      <c r="AV3897" s="24"/>
      <c r="AX3897" s="29"/>
    </row>
    <row r="3898" spans="2:50">
      <c r="B3898" s="19"/>
      <c r="K3898" s="21"/>
      <c r="T3898" s="28"/>
      <c r="AS3898" s="24"/>
      <c r="AT3898" s="24"/>
      <c r="AU3898" s="24"/>
      <c r="AV3898" s="24"/>
      <c r="AX3898" s="29"/>
    </row>
    <row r="3899" spans="2:50">
      <c r="B3899" s="19"/>
      <c r="K3899" s="21"/>
      <c r="T3899" s="28"/>
      <c r="AS3899" s="24"/>
      <c r="AT3899" s="24"/>
      <c r="AU3899" s="24"/>
      <c r="AV3899" s="24"/>
      <c r="AX3899" s="29"/>
    </row>
    <row r="3900" spans="2:50">
      <c r="B3900" s="19"/>
      <c r="K3900" s="21"/>
      <c r="T3900" s="28"/>
      <c r="AS3900" s="24"/>
      <c r="AT3900" s="24"/>
      <c r="AU3900" s="24"/>
      <c r="AV3900" s="24"/>
      <c r="AX3900" s="29"/>
    </row>
    <row r="3901" spans="2:50">
      <c r="B3901" s="19"/>
      <c r="K3901" s="21"/>
      <c r="T3901" s="28"/>
      <c r="AS3901" s="24"/>
      <c r="AT3901" s="24"/>
      <c r="AU3901" s="24"/>
      <c r="AV3901" s="24"/>
      <c r="AX3901" s="29"/>
    </row>
    <row r="3902" spans="2:50">
      <c r="B3902" s="19"/>
      <c r="K3902" s="21"/>
      <c r="T3902" s="28"/>
      <c r="AS3902" s="24"/>
      <c r="AT3902" s="24"/>
      <c r="AU3902" s="24"/>
      <c r="AV3902" s="24"/>
      <c r="AX3902" s="29"/>
    </row>
    <row r="3903" spans="2:50">
      <c r="B3903" s="19"/>
      <c r="K3903" s="21"/>
      <c r="T3903" s="28"/>
      <c r="AS3903" s="24"/>
      <c r="AT3903" s="24"/>
      <c r="AU3903" s="24"/>
      <c r="AV3903" s="24"/>
      <c r="AX3903" s="29"/>
    </row>
    <row r="3904" spans="2:50">
      <c r="B3904" s="19"/>
      <c r="K3904" s="21"/>
      <c r="T3904" s="28"/>
      <c r="AS3904" s="24"/>
      <c r="AT3904" s="24"/>
      <c r="AU3904" s="24"/>
      <c r="AV3904" s="24"/>
      <c r="AX3904" s="29"/>
    </row>
    <row r="3905" spans="2:50">
      <c r="B3905" s="19"/>
      <c r="K3905" s="21"/>
      <c r="T3905" s="28"/>
      <c r="AS3905" s="24"/>
      <c r="AT3905" s="24"/>
      <c r="AU3905" s="24"/>
      <c r="AV3905" s="24"/>
      <c r="AX3905" s="29"/>
    </row>
    <row r="3906" spans="2:50">
      <c r="B3906" s="19"/>
      <c r="K3906" s="21"/>
      <c r="T3906" s="28"/>
      <c r="AS3906" s="24"/>
      <c r="AT3906" s="24"/>
      <c r="AU3906" s="24"/>
      <c r="AV3906" s="24"/>
      <c r="AX3906" s="29"/>
    </row>
    <row r="3907" spans="2:50">
      <c r="B3907" s="33"/>
      <c r="K3907" s="21"/>
      <c r="T3907" s="28"/>
      <c r="AS3907" s="24"/>
      <c r="AT3907" s="24"/>
      <c r="AU3907" s="24"/>
      <c r="AV3907" s="24"/>
      <c r="AX3907" s="29"/>
    </row>
    <row r="3908" spans="2:50">
      <c r="B3908" s="19"/>
      <c r="K3908" s="21"/>
      <c r="T3908" s="28"/>
      <c r="AS3908" s="24"/>
      <c r="AT3908" s="24"/>
      <c r="AU3908" s="24"/>
      <c r="AV3908" s="24"/>
      <c r="AX3908" s="29"/>
    </row>
    <row r="3909" spans="2:50">
      <c r="B3909" s="19"/>
      <c r="K3909" s="21"/>
      <c r="T3909" s="28"/>
      <c r="AS3909" s="24"/>
      <c r="AT3909" s="24"/>
      <c r="AU3909" s="24"/>
      <c r="AV3909" s="24"/>
      <c r="AX3909" s="29"/>
    </row>
    <row r="3910" spans="2:50">
      <c r="B3910" s="19"/>
      <c r="K3910" s="21"/>
      <c r="T3910" s="28"/>
      <c r="AS3910" s="24"/>
      <c r="AT3910" s="24"/>
      <c r="AU3910" s="24"/>
      <c r="AV3910" s="24"/>
      <c r="AX3910" s="29"/>
    </row>
    <row r="3911" spans="2:50">
      <c r="B3911" s="19"/>
      <c r="K3911" s="21"/>
      <c r="T3911" s="28"/>
      <c r="AS3911" s="24"/>
      <c r="AT3911" s="24"/>
      <c r="AU3911" s="24"/>
      <c r="AV3911" s="24"/>
      <c r="AX3911" s="29"/>
    </row>
    <row r="3912" spans="2:50">
      <c r="B3912" s="19"/>
      <c r="K3912" s="21"/>
      <c r="T3912" s="28"/>
      <c r="AS3912" s="24"/>
      <c r="AT3912" s="24"/>
      <c r="AU3912" s="24"/>
      <c r="AV3912" s="24"/>
      <c r="AX3912" s="29"/>
    </row>
    <row r="3913" spans="2:50">
      <c r="B3913" s="19"/>
      <c r="K3913" s="21"/>
      <c r="T3913" s="28"/>
      <c r="AS3913" s="24"/>
      <c r="AT3913" s="24"/>
      <c r="AU3913" s="24"/>
      <c r="AV3913" s="24"/>
      <c r="AX3913" s="29"/>
    </row>
    <row r="3914" spans="2:50">
      <c r="B3914" s="19"/>
      <c r="K3914" s="21"/>
      <c r="T3914" s="28"/>
      <c r="AS3914" s="24"/>
      <c r="AT3914" s="24"/>
      <c r="AU3914" s="24"/>
      <c r="AV3914" s="24"/>
      <c r="AX3914" s="29"/>
    </row>
    <row r="3915" spans="2:50">
      <c r="B3915" s="19"/>
      <c r="K3915" s="21"/>
      <c r="T3915" s="28"/>
      <c r="AS3915" s="24"/>
      <c r="AT3915" s="24"/>
      <c r="AU3915" s="24"/>
      <c r="AV3915" s="24"/>
      <c r="AX3915" s="29"/>
    </row>
    <row r="3916" spans="2:50">
      <c r="B3916" s="19"/>
      <c r="K3916" s="21"/>
      <c r="T3916" s="28"/>
      <c r="AS3916" s="24"/>
      <c r="AT3916" s="24"/>
      <c r="AU3916" s="24"/>
      <c r="AV3916" s="24"/>
      <c r="AX3916" s="29"/>
    </row>
    <row r="3917" spans="2:50">
      <c r="B3917" s="19"/>
      <c r="K3917" s="21"/>
      <c r="T3917" s="28"/>
      <c r="AS3917" s="24"/>
      <c r="AT3917" s="24"/>
      <c r="AU3917" s="24"/>
      <c r="AV3917" s="24"/>
      <c r="AX3917" s="29"/>
    </row>
    <row r="3918" spans="2:50">
      <c r="B3918" s="19"/>
      <c r="K3918" s="21"/>
      <c r="T3918" s="28"/>
      <c r="AS3918" s="24"/>
      <c r="AT3918" s="24"/>
      <c r="AU3918" s="24"/>
      <c r="AV3918" s="24"/>
      <c r="AX3918" s="29"/>
    </row>
    <row r="3919" spans="2:50">
      <c r="B3919" s="19"/>
      <c r="K3919" s="21"/>
      <c r="T3919" s="28"/>
      <c r="AS3919" s="24"/>
      <c r="AT3919" s="24"/>
      <c r="AU3919" s="24"/>
      <c r="AV3919" s="24"/>
      <c r="AX3919" s="29"/>
    </row>
    <row r="3920" spans="2:50">
      <c r="B3920" s="19"/>
      <c r="K3920" s="21"/>
      <c r="T3920" s="28"/>
      <c r="AS3920" s="24"/>
      <c r="AT3920" s="24"/>
      <c r="AU3920" s="24"/>
      <c r="AV3920" s="24"/>
      <c r="AX3920" s="29"/>
    </row>
    <row r="3921" spans="2:50">
      <c r="B3921" s="19"/>
      <c r="K3921" s="21"/>
      <c r="T3921" s="28"/>
      <c r="AS3921" s="24"/>
      <c r="AT3921" s="24"/>
      <c r="AU3921" s="24"/>
      <c r="AV3921" s="24"/>
      <c r="AX3921" s="29"/>
    </row>
    <row r="3922" spans="2:50">
      <c r="B3922" s="19"/>
      <c r="K3922" s="21"/>
      <c r="T3922" s="28"/>
      <c r="AS3922" s="24"/>
      <c r="AT3922" s="24"/>
      <c r="AU3922" s="24"/>
      <c r="AV3922" s="24"/>
      <c r="AX3922" s="29"/>
    </row>
    <row r="3923" spans="2:50">
      <c r="B3923" s="19"/>
      <c r="K3923" s="21"/>
      <c r="T3923" s="28"/>
      <c r="AS3923" s="24"/>
      <c r="AT3923" s="24"/>
      <c r="AU3923" s="24"/>
      <c r="AV3923" s="24"/>
      <c r="AX3923" s="29"/>
    </row>
    <row r="3924" spans="2:50">
      <c r="B3924" s="19"/>
      <c r="K3924" s="21"/>
      <c r="T3924" s="28"/>
      <c r="AS3924" s="24"/>
      <c r="AT3924" s="24"/>
      <c r="AU3924" s="24"/>
      <c r="AV3924" s="24"/>
      <c r="AX3924" s="29"/>
    </row>
    <row r="3925" spans="2:50">
      <c r="B3925" s="19"/>
      <c r="K3925" s="21"/>
      <c r="T3925" s="28"/>
      <c r="AS3925" s="24"/>
      <c r="AT3925" s="24"/>
      <c r="AU3925" s="24"/>
      <c r="AV3925" s="24"/>
      <c r="AX3925" s="29"/>
    </row>
    <row r="3926" spans="2:50">
      <c r="B3926" s="19"/>
      <c r="K3926" s="21"/>
      <c r="T3926" s="28"/>
      <c r="AS3926" s="24"/>
      <c r="AT3926" s="24"/>
      <c r="AU3926" s="24"/>
      <c r="AV3926" s="24"/>
      <c r="AX3926" s="29"/>
    </row>
    <row r="3927" spans="2:50">
      <c r="B3927" s="19"/>
      <c r="K3927" s="21"/>
      <c r="T3927" s="28"/>
      <c r="AS3927" s="24"/>
      <c r="AT3927" s="24"/>
      <c r="AU3927" s="24"/>
      <c r="AV3927" s="24"/>
      <c r="AX3927" s="29"/>
    </row>
    <row r="3928" spans="2:50">
      <c r="B3928" s="19"/>
      <c r="K3928" s="21"/>
      <c r="T3928" s="28"/>
      <c r="AS3928" s="24"/>
      <c r="AT3928" s="24"/>
      <c r="AU3928" s="24"/>
      <c r="AV3928" s="24"/>
      <c r="AX3928" s="29"/>
    </row>
    <row r="3929" spans="2:50">
      <c r="B3929" s="19"/>
      <c r="K3929" s="21"/>
      <c r="T3929" s="28"/>
      <c r="AS3929" s="24"/>
      <c r="AT3929" s="24"/>
      <c r="AU3929" s="24"/>
      <c r="AV3929" s="24"/>
      <c r="AX3929" s="29"/>
    </row>
    <row r="3930" spans="2:50">
      <c r="B3930" s="19"/>
      <c r="K3930" s="21"/>
      <c r="T3930" s="28"/>
      <c r="AS3930" s="24"/>
      <c r="AT3930" s="24"/>
      <c r="AU3930" s="24"/>
      <c r="AV3930" s="24"/>
      <c r="AX3930" s="29"/>
    </row>
    <row r="3931" spans="2:50">
      <c r="B3931" s="19"/>
      <c r="K3931" s="21"/>
      <c r="T3931" s="28"/>
      <c r="AS3931" s="24"/>
      <c r="AT3931" s="24"/>
      <c r="AU3931" s="24"/>
      <c r="AV3931" s="24"/>
      <c r="AX3931" s="29"/>
    </row>
    <row r="3932" spans="2:50">
      <c r="B3932" s="19"/>
      <c r="K3932" s="21"/>
      <c r="T3932" s="28"/>
      <c r="AS3932" s="24"/>
      <c r="AT3932" s="24"/>
      <c r="AU3932" s="24"/>
      <c r="AV3932" s="24"/>
      <c r="AX3932" s="29"/>
    </row>
    <row r="3933" spans="2:50">
      <c r="B3933" s="19"/>
      <c r="K3933" s="21"/>
      <c r="T3933" s="28"/>
      <c r="AS3933" s="24"/>
      <c r="AT3933" s="24"/>
      <c r="AU3933" s="24"/>
      <c r="AV3933" s="24"/>
      <c r="AX3933" s="29"/>
    </row>
    <row r="3934" spans="2:50">
      <c r="B3934" s="19"/>
      <c r="K3934" s="21"/>
      <c r="T3934" s="28"/>
      <c r="AS3934" s="24"/>
      <c r="AT3934" s="24"/>
      <c r="AU3934" s="24"/>
      <c r="AV3934" s="24"/>
      <c r="AX3934" s="29"/>
    </row>
    <row r="3935" spans="2:50">
      <c r="B3935" s="19"/>
      <c r="K3935" s="21"/>
      <c r="T3935" s="28"/>
      <c r="AS3935" s="24"/>
      <c r="AT3935" s="24"/>
      <c r="AU3935" s="24"/>
      <c r="AV3935" s="24"/>
      <c r="AX3935" s="29"/>
    </row>
    <row r="3936" spans="2:50">
      <c r="B3936" s="19"/>
      <c r="K3936" s="21"/>
      <c r="T3936" s="28"/>
      <c r="AS3936" s="24"/>
      <c r="AT3936" s="24"/>
      <c r="AU3936" s="24"/>
      <c r="AV3936" s="24"/>
      <c r="AX3936" s="29"/>
    </row>
    <row r="3937" spans="2:50">
      <c r="B3937" s="19"/>
      <c r="K3937" s="21"/>
      <c r="T3937" s="28"/>
      <c r="AS3937" s="24"/>
      <c r="AT3937" s="24"/>
      <c r="AU3937" s="24"/>
      <c r="AV3937" s="24"/>
      <c r="AX3937" s="29"/>
    </row>
    <row r="3938" spans="2:50">
      <c r="B3938" s="19"/>
      <c r="K3938" s="21"/>
      <c r="T3938" s="28"/>
      <c r="AS3938" s="24"/>
      <c r="AT3938" s="24"/>
      <c r="AU3938" s="24"/>
      <c r="AV3938" s="24"/>
      <c r="AX3938" s="29"/>
    </row>
    <row r="3939" spans="2:50">
      <c r="B3939" s="19"/>
      <c r="K3939" s="21"/>
      <c r="T3939" s="28"/>
      <c r="AS3939" s="24"/>
      <c r="AT3939" s="24"/>
      <c r="AU3939" s="24"/>
      <c r="AV3939" s="24"/>
      <c r="AX3939" s="29"/>
    </row>
    <row r="3940" spans="2:50">
      <c r="B3940" s="19"/>
      <c r="K3940" s="21"/>
      <c r="T3940" s="28"/>
      <c r="AS3940" s="24"/>
      <c r="AT3940" s="24"/>
      <c r="AU3940" s="24"/>
      <c r="AV3940" s="24"/>
      <c r="AX3940" s="29"/>
    </row>
    <row r="3941" spans="2:50">
      <c r="B3941" s="19"/>
      <c r="K3941" s="21"/>
      <c r="T3941" s="28"/>
      <c r="AS3941" s="24"/>
      <c r="AT3941" s="24"/>
      <c r="AU3941" s="24"/>
      <c r="AV3941" s="24"/>
      <c r="AX3941" s="29"/>
    </row>
    <row r="3942" spans="2:50">
      <c r="B3942" s="19"/>
      <c r="K3942" s="21"/>
      <c r="T3942" s="28"/>
      <c r="AS3942" s="24"/>
      <c r="AT3942" s="24"/>
      <c r="AU3942" s="24"/>
      <c r="AV3942" s="24"/>
      <c r="AX3942" s="29"/>
    </row>
    <row r="3943" spans="2:50">
      <c r="B3943" s="19"/>
      <c r="K3943" s="21"/>
      <c r="T3943" s="28"/>
      <c r="AS3943" s="24"/>
      <c r="AT3943" s="24"/>
      <c r="AU3943" s="24"/>
      <c r="AV3943" s="24"/>
      <c r="AX3943" s="29"/>
    </row>
    <row r="3944" spans="2:50">
      <c r="B3944" s="19"/>
      <c r="K3944" s="21"/>
      <c r="T3944" s="28"/>
      <c r="AS3944" s="24"/>
      <c r="AT3944" s="24"/>
      <c r="AU3944" s="24"/>
      <c r="AV3944" s="24"/>
      <c r="AX3944" s="29"/>
    </row>
    <row r="3945" spans="2:50">
      <c r="B3945" s="19"/>
      <c r="K3945" s="21"/>
      <c r="T3945" s="28"/>
      <c r="AS3945" s="24"/>
      <c r="AT3945" s="24"/>
      <c r="AU3945" s="24"/>
      <c r="AV3945" s="24"/>
      <c r="AX3945" s="29"/>
    </row>
    <row r="3946" spans="2:50">
      <c r="B3946" s="19"/>
      <c r="K3946" s="21"/>
      <c r="T3946" s="28"/>
      <c r="AS3946" s="24"/>
      <c r="AT3946" s="24"/>
      <c r="AU3946" s="24"/>
      <c r="AV3946" s="24"/>
      <c r="AX3946" s="29"/>
    </row>
    <row r="3947" spans="2:50">
      <c r="B3947" s="19"/>
      <c r="K3947" s="21"/>
      <c r="T3947" s="28"/>
      <c r="AS3947" s="24"/>
      <c r="AT3947" s="24"/>
      <c r="AU3947" s="24"/>
      <c r="AV3947" s="24"/>
      <c r="AX3947" s="29"/>
    </row>
    <row r="3948" spans="2:50">
      <c r="B3948" s="19"/>
      <c r="K3948" s="21"/>
      <c r="T3948" s="28"/>
      <c r="AS3948" s="24"/>
      <c r="AT3948" s="24"/>
      <c r="AU3948" s="24"/>
      <c r="AV3948" s="24"/>
      <c r="AX3948" s="29"/>
    </row>
    <row r="3949" spans="2:50">
      <c r="B3949" s="19"/>
      <c r="K3949" s="21"/>
      <c r="T3949" s="28"/>
      <c r="AS3949" s="24"/>
      <c r="AT3949" s="24"/>
      <c r="AU3949" s="24"/>
      <c r="AV3949" s="24"/>
      <c r="AX3949" s="29"/>
    </row>
    <row r="3950" spans="2:50">
      <c r="B3950" s="19"/>
      <c r="K3950" s="21"/>
      <c r="T3950" s="28"/>
      <c r="AS3950" s="24"/>
      <c r="AT3950" s="24"/>
      <c r="AU3950" s="24"/>
      <c r="AV3950" s="24"/>
      <c r="AX3950" s="29"/>
    </row>
    <row r="3951" spans="2:50">
      <c r="B3951" s="19"/>
      <c r="K3951" s="21"/>
      <c r="T3951" s="28"/>
      <c r="AS3951" s="24"/>
      <c r="AT3951" s="24"/>
      <c r="AU3951" s="24"/>
      <c r="AV3951" s="24"/>
      <c r="AX3951" s="29"/>
    </row>
    <row r="3952" spans="2:50">
      <c r="B3952" s="19"/>
      <c r="K3952" s="21"/>
      <c r="T3952" s="28"/>
      <c r="AS3952" s="24"/>
      <c r="AT3952" s="24"/>
      <c r="AU3952" s="24"/>
      <c r="AV3952" s="24"/>
      <c r="AX3952" s="29"/>
    </row>
    <row r="3953" spans="2:50">
      <c r="B3953" s="19"/>
      <c r="K3953" s="21"/>
      <c r="T3953" s="28"/>
      <c r="AS3953" s="24"/>
      <c r="AT3953" s="24"/>
      <c r="AU3953" s="24"/>
      <c r="AV3953" s="24"/>
      <c r="AX3953" s="29"/>
    </row>
    <row r="3954" spans="2:50">
      <c r="B3954" s="19"/>
      <c r="K3954" s="21"/>
      <c r="T3954" s="28"/>
      <c r="AS3954" s="24"/>
      <c r="AT3954" s="24"/>
      <c r="AU3954" s="24"/>
      <c r="AV3954" s="24"/>
      <c r="AX3954" s="29"/>
    </row>
    <row r="3955" spans="2:50">
      <c r="B3955" s="19"/>
      <c r="K3955" s="21"/>
      <c r="T3955" s="28"/>
      <c r="AS3955" s="24"/>
      <c r="AT3955" s="24"/>
      <c r="AU3955" s="24"/>
      <c r="AV3955" s="24"/>
      <c r="AX3955" s="29"/>
    </row>
    <row r="3956" spans="2:50">
      <c r="B3956" s="19"/>
      <c r="K3956" s="21"/>
      <c r="T3956" s="28"/>
      <c r="AS3956" s="24"/>
      <c r="AT3956" s="24"/>
      <c r="AU3956" s="24"/>
      <c r="AV3956" s="24"/>
      <c r="AX3956" s="29"/>
    </row>
    <row r="3957" spans="2:50">
      <c r="B3957" s="19"/>
      <c r="K3957" s="21"/>
      <c r="T3957" s="28"/>
      <c r="AS3957" s="24"/>
      <c r="AT3957" s="24"/>
      <c r="AU3957" s="24"/>
      <c r="AV3957" s="24"/>
      <c r="AX3957" s="29"/>
    </row>
    <row r="3958" spans="2:50">
      <c r="B3958" s="19"/>
      <c r="K3958" s="21"/>
      <c r="T3958" s="28"/>
      <c r="AS3958" s="24"/>
      <c r="AT3958" s="24"/>
      <c r="AU3958" s="24"/>
      <c r="AV3958" s="24"/>
      <c r="AX3958" s="29"/>
    </row>
    <row r="3959" spans="2:50">
      <c r="B3959" s="19"/>
      <c r="K3959" s="21"/>
      <c r="T3959" s="28"/>
      <c r="AS3959" s="24"/>
      <c r="AT3959" s="24"/>
      <c r="AU3959" s="24"/>
      <c r="AV3959" s="24"/>
      <c r="AX3959" s="29"/>
    </row>
    <row r="3960" spans="2:50">
      <c r="B3960" s="19"/>
      <c r="K3960" s="21"/>
      <c r="T3960" s="28"/>
      <c r="AS3960" s="24"/>
      <c r="AT3960" s="24"/>
      <c r="AU3960" s="24"/>
      <c r="AV3960" s="24"/>
      <c r="AX3960" s="29"/>
    </row>
    <row r="3961" spans="2:50">
      <c r="B3961" s="19"/>
      <c r="K3961" s="21"/>
      <c r="T3961" s="28"/>
      <c r="AS3961" s="24"/>
      <c r="AT3961" s="24"/>
      <c r="AU3961" s="24"/>
      <c r="AV3961" s="24"/>
      <c r="AX3961" s="29"/>
    </row>
    <row r="3962" spans="2:50">
      <c r="B3962" s="19"/>
      <c r="K3962" s="21"/>
      <c r="T3962" s="28"/>
      <c r="AS3962" s="24"/>
      <c r="AT3962" s="24"/>
      <c r="AU3962" s="24"/>
      <c r="AV3962" s="24"/>
      <c r="AX3962" s="29"/>
    </row>
    <row r="3963" spans="2:50">
      <c r="B3963" s="19"/>
      <c r="K3963" s="21"/>
      <c r="T3963" s="28"/>
      <c r="AS3963" s="24"/>
      <c r="AT3963" s="24"/>
      <c r="AU3963" s="24"/>
      <c r="AV3963" s="24"/>
      <c r="AX3963" s="29"/>
    </row>
    <row r="3964" spans="2:50">
      <c r="B3964" s="19"/>
      <c r="K3964" s="21"/>
      <c r="T3964" s="28"/>
      <c r="AS3964" s="24"/>
      <c r="AT3964" s="24"/>
      <c r="AU3964" s="24"/>
      <c r="AV3964" s="24"/>
      <c r="AX3964" s="29"/>
    </row>
    <row r="3965" spans="2:50">
      <c r="B3965" s="19"/>
      <c r="K3965" s="21"/>
      <c r="T3965" s="28"/>
      <c r="AS3965" s="24"/>
      <c r="AT3965" s="24"/>
      <c r="AU3965" s="24"/>
      <c r="AV3965" s="24"/>
      <c r="AX3965" s="29"/>
    </row>
    <row r="3966" spans="2:50">
      <c r="B3966" s="19"/>
      <c r="K3966" s="21"/>
      <c r="T3966" s="28"/>
      <c r="AS3966" s="24"/>
      <c r="AT3966" s="24"/>
      <c r="AU3966" s="24"/>
      <c r="AV3966" s="24"/>
      <c r="AX3966" s="29"/>
    </row>
    <row r="3967" spans="2:50">
      <c r="B3967" s="19"/>
      <c r="K3967" s="21"/>
      <c r="T3967" s="28"/>
      <c r="AS3967" s="24"/>
      <c r="AT3967" s="24"/>
      <c r="AU3967" s="24"/>
      <c r="AV3967" s="24"/>
      <c r="AX3967" s="29"/>
    </row>
    <row r="3968" spans="2:50">
      <c r="B3968" s="19"/>
      <c r="K3968" s="21"/>
      <c r="T3968" s="28"/>
      <c r="AS3968" s="24"/>
      <c r="AT3968" s="24"/>
      <c r="AU3968" s="24"/>
      <c r="AV3968" s="24"/>
      <c r="AX3968" s="29"/>
    </row>
    <row r="3969" spans="2:50">
      <c r="B3969" s="19"/>
      <c r="K3969" s="21"/>
      <c r="T3969" s="28"/>
      <c r="AS3969" s="24"/>
      <c r="AT3969" s="24"/>
      <c r="AU3969" s="24"/>
      <c r="AV3969" s="24"/>
      <c r="AX3969" s="29"/>
    </row>
    <row r="3970" spans="2:50">
      <c r="B3970" s="19"/>
      <c r="K3970" s="21"/>
      <c r="T3970" s="28"/>
      <c r="AS3970" s="24"/>
      <c r="AT3970" s="24"/>
      <c r="AU3970" s="24"/>
      <c r="AV3970" s="24"/>
      <c r="AX3970" s="29"/>
    </row>
    <row r="3971" spans="2:50">
      <c r="B3971" s="19"/>
      <c r="K3971" s="21"/>
      <c r="T3971" s="28"/>
      <c r="AS3971" s="24"/>
      <c r="AT3971" s="24"/>
      <c r="AU3971" s="24"/>
      <c r="AV3971" s="24"/>
      <c r="AX3971" s="29"/>
    </row>
    <row r="3972" spans="2:50">
      <c r="B3972" s="19"/>
      <c r="K3972" s="21"/>
      <c r="T3972" s="28"/>
      <c r="AS3972" s="24"/>
      <c r="AT3972" s="24"/>
      <c r="AU3972" s="24"/>
      <c r="AV3972" s="24"/>
      <c r="AX3972" s="29"/>
    </row>
    <row r="3973" spans="2:50">
      <c r="B3973" s="19"/>
      <c r="K3973" s="21"/>
      <c r="T3973" s="28"/>
      <c r="AS3973" s="24"/>
      <c r="AT3973" s="24"/>
      <c r="AU3973" s="24"/>
      <c r="AV3973" s="24"/>
      <c r="AX3973" s="29"/>
    </row>
    <row r="3974" spans="2:50">
      <c r="B3974" s="19"/>
      <c r="K3974" s="21"/>
      <c r="T3974" s="28"/>
      <c r="AS3974" s="24"/>
      <c r="AT3974" s="24"/>
      <c r="AU3974" s="24"/>
      <c r="AV3974" s="24"/>
      <c r="AX3974" s="29"/>
    </row>
    <row r="3975" spans="2:50">
      <c r="B3975" s="19"/>
      <c r="K3975" s="21"/>
      <c r="T3975" s="28"/>
      <c r="AS3975" s="24"/>
      <c r="AT3975" s="24"/>
      <c r="AU3975" s="24"/>
      <c r="AV3975" s="24"/>
      <c r="AX3975" s="29"/>
    </row>
    <row r="3976" spans="2:50">
      <c r="B3976" s="19"/>
      <c r="K3976" s="21"/>
      <c r="T3976" s="28"/>
      <c r="AS3976" s="24"/>
      <c r="AT3976" s="24"/>
      <c r="AU3976" s="24"/>
      <c r="AV3976" s="24"/>
      <c r="AX3976" s="29"/>
    </row>
    <row r="3977" spans="2:50">
      <c r="B3977" s="19"/>
      <c r="K3977" s="21"/>
      <c r="T3977" s="28"/>
      <c r="AS3977" s="24"/>
      <c r="AT3977" s="24"/>
      <c r="AU3977" s="24"/>
      <c r="AV3977" s="24"/>
      <c r="AX3977" s="29"/>
    </row>
    <row r="3978" spans="2:50">
      <c r="B3978" s="19"/>
      <c r="K3978" s="21"/>
      <c r="T3978" s="28"/>
      <c r="AS3978" s="24"/>
      <c r="AT3978" s="24"/>
      <c r="AU3978" s="24"/>
      <c r="AV3978" s="24"/>
      <c r="AX3978" s="29"/>
    </row>
    <row r="3979" spans="2:50">
      <c r="B3979" s="19"/>
      <c r="K3979" s="21"/>
      <c r="T3979" s="28"/>
      <c r="AS3979" s="24"/>
      <c r="AT3979" s="24"/>
      <c r="AU3979" s="24"/>
      <c r="AV3979" s="24"/>
      <c r="AX3979" s="29"/>
    </row>
    <row r="3980" spans="2:50">
      <c r="B3980" s="19"/>
      <c r="K3980" s="21"/>
      <c r="T3980" s="28"/>
      <c r="AS3980" s="24"/>
      <c r="AT3980" s="24"/>
      <c r="AU3980" s="24"/>
      <c r="AV3980" s="24"/>
      <c r="AX3980" s="29"/>
    </row>
    <row r="3981" spans="2:50">
      <c r="B3981" s="19"/>
      <c r="K3981" s="21"/>
      <c r="T3981" s="28"/>
      <c r="AS3981" s="24"/>
      <c r="AT3981" s="24"/>
      <c r="AU3981" s="24"/>
      <c r="AV3981" s="24"/>
      <c r="AX3981" s="29"/>
    </row>
    <row r="3982" spans="2:50">
      <c r="B3982" s="19"/>
      <c r="K3982" s="21"/>
      <c r="T3982" s="28"/>
      <c r="AS3982" s="24"/>
      <c r="AT3982" s="24"/>
      <c r="AU3982" s="24"/>
      <c r="AV3982" s="24"/>
      <c r="AX3982" s="29"/>
    </row>
    <row r="3983" spans="2:50">
      <c r="B3983" s="19"/>
      <c r="K3983" s="21"/>
      <c r="T3983" s="28"/>
      <c r="AS3983" s="24"/>
      <c r="AT3983" s="24"/>
      <c r="AU3983" s="24"/>
      <c r="AV3983" s="24"/>
      <c r="AX3983" s="29"/>
    </row>
    <row r="3984" spans="2:50">
      <c r="B3984" s="19"/>
      <c r="K3984" s="21"/>
      <c r="T3984" s="28"/>
      <c r="AS3984" s="24"/>
      <c r="AT3984" s="24"/>
      <c r="AU3984" s="24"/>
      <c r="AV3984" s="24"/>
      <c r="AX3984" s="29"/>
    </row>
    <row r="3985" spans="2:50">
      <c r="B3985" s="19"/>
      <c r="K3985" s="21"/>
      <c r="T3985" s="28"/>
      <c r="AS3985" s="24"/>
      <c r="AT3985" s="24"/>
      <c r="AU3985" s="24"/>
      <c r="AV3985" s="24"/>
      <c r="AX3985" s="29"/>
    </row>
    <row r="3986" spans="2:50">
      <c r="B3986" s="19"/>
      <c r="K3986" s="21"/>
      <c r="T3986" s="28"/>
      <c r="AS3986" s="24"/>
      <c r="AT3986" s="24"/>
      <c r="AU3986" s="24"/>
      <c r="AV3986" s="24"/>
      <c r="AX3986" s="29"/>
    </row>
    <row r="3987" spans="2:50">
      <c r="B3987" s="19"/>
      <c r="K3987" s="21"/>
      <c r="T3987" s="28"/>
      <c r="AS3987" s="24"/>
      <c r="AT3987" s="24"/>
      <c r="AU3987" s="24"/>
      <c r="AV3987" s="24"/>
      <c r="AX3987" s="29"/>
    </row>
    <row r="3988" spans="2:50">
      <c r="B3988" s="19"/>
      <c r="K3988" s="21"/>
      <c r="T3988" s="28"/>
      <c r="AS3988" s="24"/>
      <c r="AT3988" s="24"/>
      <c r="AU3988" s="24"/>
      <c r="AV3988" s="24"/>
      <c r="AX3988" s="29"/>
    </row>
    <row r="3989" spans="2:50">
      <c r="B3989" s="19"/>
      <c r="K3989" s="21"/>
      <c r="T3989" s="28"/>
      <c r="AS3989" s="24"/>
      <c r="AT3989" s="24"/>
      <c r="AU3989" s="24"/>
      <c r="AV3989" s="24"/>
      <c r="AX3989" s="29"/>
    </row>
    <row r="3990" spans="2:50">
      <c r="B3990" s="19"/>
      <c r="K3990" s="21"/>
      <c r="T3990" s="28"/>
      <c r="AS3990" s="24"/>
      <c r="AT3990" s="24"/>
      <c r="AU3990" s="24"/>
      <c r="AV3990" s="24"/>
      <c r="AX3990" s="29"/>
    </row>
    <row r="3991" spans="2:50">
      <c r="B3991" s="19"/>
      <c r="K3991" s="21"/>
      <c r="T3991" s="28"/>
      <c r="AS3991" s="24"/>
      <c r="AT3991" s="24"/>
      <c r="AU3991" s="24"/>
      <c r="AV3991" s="24"/>
      <c r="AX3991" s="29"/>
    </row>
    <row r="3992" spans="2:50">
      <c r="B3992" s="19"/>
      <c r="K3992" s="21"/>
      <c r="T3992" s="28"/>
      <c r="AS3992" s="24"/>
      <c r="AT3992" s="24"/>
      <c r="AU3992" s="24"/>
      <c r="AV3992" s="24"/>
      <c r="AX3992" s="29"/>
    </row>
    <row r="3993" spans="2:50">
      <c r="B3993" s="19"/>
      <c r="K3993" s="21"/>
      <c r="T3993" s="28"/>
      <c r="AS3993" s="24"/>
      <c r="AT3993" s="24"/>
      <c r="AU3993" s="24"/>
      <c r="AV3993" s="24"/>
      <c r="AX3993" s="29"/>
    </row>
    <row r="3994" spans="2:50">
      <c r="B3994" s="19"/>
      <c r="K3994" s="21"/>
      <c r="T3994" s="28"/>
      <c r="AS3994" s="24"/>
      <c r="AT3994" s="24"/>
      <c r="AU3994" s="24"/>
      <c r="AV3994" s="24"/>
      <c r="AX3994" s="29"/>
    </row>
    <row r="3995" spans="2:50">
      <c r="B3995" s="19"/>
      <c r="K3995" s="21"/>
      <c r="T3995" s="28"/>
      <c r="AS3995" s="24"/>
      <c r="AT3995" s="24"/>
      <c r="AU3995" s="24"/>
      <c r="AV3995" s="24"/>
      <c r="AX3995" s="29"/>
    </row>
    <row r="3996" spans="2:50">
      <c r="B3996" s="19"/>
      <c r="K3996" s="21"/>
      <c r="T3996" s="28"/>
      <c r="AS3996" s="24"/>
      <c r="AT3996" s="24"/>
      <c r="AU3996" s="24"/>
      <c r="AV3996" s="24"/>
      <c r="AX3996" s="29"/>
    </row>
    <row r="3997" spans="2:50">
      <c r="B3997" s="19"/>
      <c r="K3997" s="21"/>
      <c r="T3997" s="28"/>
      <c r="AS3997" s="24"/>
      <c r="AT3997" s="24"/>
      <c r="AU3997" s="24"/>
      <c r="AV3997" s="24"/>
      <c r="AX3997" s="29"/>
    </row>
    <row r="3998" spans="2:50">
      <c r="B3998" s="19"/>
      <c r="K3998" s="21"/>
      <c r="T3998" s="28"/>
      <c r="AS3998" s="24"/>
      <c r="AT3998" s="24"/>
      <c r="AU3998" s="24"/>
      <c r="AV3998" s="24"/>
      <c r="AX3998" s="29"/>
    </row>
    <row r="3999" spans="2:50">
      <c r="B3999" s="19"/>
      <c r="K3999" s="21"/>
      <c r="T3999" s="28"/>
      <c r="AS3999" s="24"/>
      <c r="AT3999" s="24"/>
      <c r="AU3999" s="24"/>
      <c r="AV3999" s="24"/>
      <c r="AX3999" s="29"/>
    </row>
    <row r="4000" spans="2:50">
      <c r="B4000" s="19"/>
      <c r="K4000" s="21"/>
      <c r="T4000" s="28"/>
      <c r="AS4000" s="24"/>
      <c r="AT4000" s="24"/>
      <c r="AU4000" s="24"/>
      <c r="AV4000" s="24"/>
      <c r="AX4000" s="29"/>
    </row>
    <row r="4001" spans="2:50">
      <c r="B4001" s="19"/>
      <c r="K4001" s="21"/>
      <c r="T4001" s="28"/>
      <c r="AS4001" s="24"/>
      <c r="AT4001" s="24"/>
      <c r="AU4001" s="24"/>
      <c r="AV4001" s="24"/>
      <c r="AX4001" s="29"/>
    </row>
    <row r="4002" spans="2:50">
      <c r="B4002" s="19"/>
      <c r="K4002" s="21"/>
      <c r="T4002" s="28"/>
      <c r="AS4002" s="24"/>
      <c r="AT4002" s="24"/>
      <c r="AU4002" s="24"/>
      <c r="AV4002" s="24"/>
      <c r="AX4002" s="29"/>
    </row>
    <row r="4003" spans="2:50">
      <c r="B4003" s="19"/>
      <c r="K4003" s="21"/>
      <c r="T4003" s="28"/>
      <c r="AS4003" s="24"/>
      <c r="AT4003" s="24"/>
      <c r="AU4003" s="24"/>
      <c r="AV4003" s="24"/>
      <c r="AX4003" s="29"/>
    </row>
    <row r="4004" spans="2:50">
      <c r="B4004" s="19"/>
      <c r="K4004" s="21"/>
      <c r="T4004" s="28"/>
      <c r="AS4004" s="24"/>
      <c r="AT4004" s="24"/>
      <c r="AU4004" s="24"/>
      <c r="AV4004" s="24"/>
      <c r="AX4004" s="29"/>
    </row>
    <row r="4005" spans="2:50">
      <c r="B4005" s="19"/>
      <c r="K4005" s="21"/>
      <c r="T4005" s="28"/>
      <c r="AS4005" s="24"/>
      <c r="AT4005" s="24"/>
      <c r="AU4005" s="24"/>
      <c r="AV4005" s="24"/>
      <c r="AX4005" s="29"/>
    </row>
    <row r="4006" spans="2:50">
      <c r="B4006" s="19"/>
      <c r="K4006" s="21"/>
      <c r="T4006" s="28"/>
      <c r="AS4006" s="24"/>
      <c r="AT4006" s="24"/>
      <c r="AU4006" s="24"/>
      <c r="AV4006" s="24"/>
      <c r="AX4006" s="29"/>
    </row>
    <row r="4007" spans="2:50">
      <c r="B4007" s="19"/>
      <c r="K4007" s="21"/>
      <c r="T4007" s="28"/>
      <c r="AS4007" s="24"/>
      <c r="AT4007" s="24"/>
      <c r="AU4007" s="24"/>
      <c r="AV4007" s="24"/>
      <c r="AX4007" s="29"/>
    </row>
    <row r="4008" spans="2:50">
      <c r="B4008" s="19"/>
      <c r="K4008" s="21"/>
      <c r="T4008" s="28"/>
      <c r="AS4008" s="24"/>
      <c r="AT4008" s="24"/>
      <c r="AU4008" s="24"/>
      <c r="AV4008" s="24"/>
      <c r="AX4008" s="29"/>
    </row>
    <row r="4009" spans="2:50">
      <c r="B4009" s="19"/>
      <c r="K4009" s="21"/>
      <c r="T4009" s="28"/>
      <c r="AS4009" s="24"/>
      <c r="AT4009" s="24"/>
      <c r="AU4009" s="24"/>
      <c r="AV4009" s="24"/>
      <c r="AX4009" s="29"/>
    </row>
    <row r="4010" spans="2:50">
      <c r="B4010" s="19"/>
      <c r="K4010" s="21"/>
      <c r="T4010" s="28"/>
      <c r="AS4010" s="24"/>
      <c r="AT4010" s="24"/>
      <c r="AU4010" s="24"/>
      <c r="AV4010" s="24"/>
      <c r="AX4010" s="29"/>
    </row>
    <row r="4011" spans="2:50">
      <c r="B4011" s="19"/>
      <c r="K4011" s="21"/>
      <c r="T4011" s="28"/>
      <c r="AS4011" s="24"/>
      <c r="AT4011" s="24"/>
      <c r="AU4011" s="24"/>
      <c r="AV4011" s="24"/>
      <c r="AX4011" s="29"/>
    </row>
    <row r="4012" spans="2:50">
      <c r="B4012" s="19"/>
      <c r="K4012" s="21"/>
      <c r="T4012" s="28"/>
      <c r="AS4012" s="24"/>
      <c r="AT4012" s="24"/>
      <c r="AU4012" s="24"/>
      <c r="AV4012" s="24"/>
      <c r="AX4012" s="29"/>
    </row>
    <row r="4013" spans="2:50">
      <c r="B4013" s="19"/>
      <c r="K4013" s="21"/>
      <c r="T4013" s="28"/>
      <c r="AS4013" s="24"/>
      <c r="AT4013" s="24"/>
      <c r="AU4013" s="24"/>
      <c r="AV4013" s="24"/>
      <c r="AX4013" s="29"/>
    </row>
    <row r="4014" spans="2:50">
      <c r="B4014" s="19"/>
      <c r="K4014" s="21"/>
      <c r="T4014" s="28"/>
      <c r="AS4014" s="24"/>
      <c r="AT4014" s="24"/>
      <c r="AU4014" s="24"/>
      <c r="AV4014" s="24"/>
      <c r="AX4014" s="29"/>
    </row>
    <row r="4015" spans="2:50">
      <c r="B4015" s="19"/>
      <c r="K4015" s="21"/>
      <c r="T4015" s="28"/>
      <c r="AS4015" s="24"/>
      <c r="AT4015" s="24"/>
      <c r="AU4015" s="24"/>
      <c r="AV4015" s="24"/>
      <c r="AX4015" s="29"/>
    </row>
    <row r="4016" spans="2:50">
      <c r="B4016" s="19"/>
      <c r="K4016" s="21"/>
      <c r="T4016" s="28"/>
      <c r="AS4016" s="24"/>
      <c r="AT4016" s="24"/>
      <c r="AU4016" s="24"/>
      <c r="AV4016" s="24"/>
      <c r="AX4016" s="29"/>
    </row>
    <row r="4017" spans="2:50">
      <c r="B4017" s="19"/>
      <c r="K4017" s="21"/>
      <c r="T4017" s="28"/>
      <c r="AS4017" s="24"/>
      <c r="AT4017" s="24"/>
      <c r="AU4017" s="24"/>
      <c r="AV4017" s="24"/>
      <c r="AX4017" s="29"/>
    </row>
    <row r="4018" spans="2:50">
      <c r="B4018" s="19"/>
      <c r="K4018" s="21"/>
      <c r="T4018" s="28"/>
      <c r="AS4018" s="24"/>
      <c r="AT4018" s="24"/>
      <c r="AU4018" s="24"/>
      <c r="AV4018" s="24"/>
      <c r="AX4018" s="29"/>
    </row>
    <row r="4019" spans="2:50">
      <c r="B4019" s="19"/>
      <c r="K4019" s="21"/>
      <c r="T4019" s="28"/>
      <c r="AS4019" s="24"/>
      <c r="AT4019" s="24"/>
      <c r="AU4019" s="24"/>
      <c r="AV4019" s="24"/>
      <c r="AX4019" s="29"/>
    </row>
    <row r="4020" spans="2:50">
      <c r="B4020" s="19"/>
      <c r="K4020" s="21"/>
      <c r="T4020" s="28"/>
      <c r="AS4020" s="24"/>
      <c r="AT4020" s="24"/>
      <c r="AU4020" s="24"/>
      <c r="AV4020" s="24"/>
      <c r="AX4020" s="29"/>
    </row>
    <row r="4021" spans="2:50">
      <c r="B4021" s="19"/>
      <c r="K4021" s="21"/>
      <c r="T4021" s="28"/>
      <c r="AS4021" s="24"/>
      <c r="AT4021" s="24"/>
      <c r="AU4021" s="24"/>
      <c r="AV4021" s="24"/>
      <c r="AX4021" s="29"/>
    </row>
    <row r="4022" spans="2:50">
      <c r="B4022" s="19"/>
      <c r="K4022" s="21"/>
      <c r="T4022" s="28"/>
      <c r="AS4022" s="24"/>
      <c r="AT4022" s="24"/>
      <c r="AU4022" s="24"/>
      <c r="AV4022" s="24"/>
      <c r="AX4022" s="29"/>
    </row>
    <row r="4023" spans="2:50">
      <c r="B4023" s="19"/>
      <c r="K4023" s="21"/>
      <c r="T4023" s="28"/>
      <c r="AS4023" s="24"/>
      <c r="AT4023" s="24"/>
      <c r="AU4023" s="24"/>
      <c r="AV4023" s="24"/>
      <c r="AX4023" s="29"/>
    </row>
    <row r="4024" spans="2:50">
      <c r="B4024" s="19"/>
      <c r="K4024" s="21"/>
      <c r="T4024" s="28"/>
      <c r="AS4024" s="24"/>
      <c r="AT4024" s="24"/>
      <c r="AU4024" s="24"/>
      <c r="AV4024" s="24"/>
      <c r="AX4024" s="29"/>
    </row>
    <row r="4025" spans="2:50">
      <c r="B4025" s="19"/>
      <c r="K4025" s="21"/>
      <c r="T4025" s="28"/>
      <c r="AS4025" s="24"/>
      <c r="AT4025" s="24"/>
      <c r="AU4025" s="24"/>
      <c r="AV4025" s="24"/>
      <c r="AX4025" s="29"/>
    </row>
    <row r="4026" spans="2:50">
      <c r="B4026" s="19"/>
      <c r="K4026" s="21"/>
      <c r="T4026" s="28"/>
      <c r="AS4026" s="24"/>
      <c r="AT4026" s="24"/>
      <c r="AU4026" s="24"/>
      <c r="AV4026" s="24"/>
      <c r="AX4026" s="29"/>
    </row>
    <row r="4027" spans="2:50">
      <c r="B4027" s="19"/>
      <c r="K4027" s="21"/>
      <c r="T4027" s="28"/>
      <c r="AS4027" s="24"/>
      <c r="AT4027" s="24"/>
      <c r="AU4027" s="24"/>
      <c r="AV4027" s="24"/>
      <c r="AX4027" s="29"/>
    </row>
    <row r="4028" spans="2:50">
      <c r="B4028" s="19"/>
      <c r="K4028" s="21"/>
      <c r="T4028" s="28"/>
      <c r="AS4028" s="24"/>
      <c r="AT4028" s="24"/>
      <c r="AU4028" s="24"/>
      <c r="AV4028" s="24"/>
      <c r="AX4028" s="29"/>
    </row>
    <row r="4029" spans="2:50">
      <c r="B4029" s="19"/>
      <c r="K4029" s="21"/>
      <c r="T4029" s="28"/>
      <c r="AS4029" s="24"/>
      <c r="AT4029" s="24"/>
      <c r="AU4029" s="24"/>
      <c r="AV4029" s="24"/>
      <c r="AX4029" s="29"/>
    </row>
    <row r="4030" spans="2:50">
      <c r="B4030" s="19"/>
      <c r="K4030" s="21"/>
      <c r="T4030" s="28"/>
      <c r="AS4030" s="24"/>
      <c r="AT4030" s="24"/>
      <c r="AU4030" s="24"/>
      <c r="AV4030" s="24"/>
      <c r="AX4030" s="29"/>
    </row>
    <row r="4031" spans="2:50">
      <c r="B4031" s="19"/>
      <c r="K4031" s="21"/>
      <c r="T4031" s="28"/>
      <c r="AS4031" s="24"/>
      <c r="AT4031" s="24"/>
      <c r="AU4031" s="24"/>
      <c r="AV4031" s="24"/>
      <c r="AX4031" s="29"/>
    </row>
    <row r="4032" spans="2:50">
      <c r="B4032" s="19"/>
      <c r="K4032" s="21"/>
      <c r="T4032" s="28"/>
      <c r="AS4032" s="24"/>
      <c r="AT4032" s="24"/>
      <c r="AU4032" s="24"/>
      <c r="AV4032" s="24"/>
      <c r="AX4032" s="29"/>
    </row>
    <row r="4033" spans="2:50">
      <c r="B4033" s="19"/>
      <c r="K4033" s="21"/>
      <c r="T4033" s="28"/>
      <c r="AS4033" s="24"/>
      <c r="AT4033" s="24"/>
      <c r="AU4033" s="24"/>
      <c r="AV4033" s="24"/>
      <c r="AX4033" s="29"/>
    </row>
    <row r="4034" spans="2:50">
      <c r="B4034" s="19"/>
      <c r="K4034" s="21"/>
      <c r="T4034" s="28"/>
      <c r="AS4034" s="24"/>
      <c r="AT4034" s="24"/>
      <c r="AU4034" s="24"/>
      <c r="AV4034" s="24"/>
      <c r="AX4034" s="29"/>
    </row>
    <row r="4035" spans="2:50">
      <c r="B4035" s="19"/>
      <c r="K4035" s="21"/>
      <c r="T4035" s="28"/>
      <c r="AS4035" s="24"/>
      <c r="AT4035" s="24"/>
      <c r="AU4035" s="24"/>
      <c r="AV4035" s="24"/>
      <c r="AX4035" s="29"/>
    </row>
    <row r="4036" spans="2:50">
      <c r="B4036" s="19"/>
      <c r="K4036" s="21"/>
      <c r="T4036" s="28"/>
      <c r="AS4036" s="24"/>
      <c r="AT4036" s="24"/>
      <c r="AU4036" s="24"/>
      <c r="AV4036" s="24"/>
      <c r="AX4036" s="29"/>
    </row>
    <row r="4037" spans="2:50">
      <c r="B4037" s="19"/>
      <c r="K4037" s="21"/>
      <c r="T4037" s="28"/>
      <c r="AS4037" s="24"/>
      <c r="AT4037" s="24"/>
      <c r="AU4037" s="24"/>
      <c r="AV4037" s="24"/>
      <c r="AX4037" s="29"/>
    </row>
    <row r="4038" spans="2:50">
      <c r="B4038" s="19"/>
      <c r="K4038" s="21"/>
      <c r="T4038" s="28"/>
      <c r="AS4038" s="24"/>
      <c r="AT4038" s="24"/>
      <c r="AU4038" s="24"/>
      <c r="AV4038" s="24"/>
      <c r="AX4038" s="29"/>
    </row>
    <row r="4039" spans="2:50">
      <c r="B4039" s="19"/>
      <c r="K4039" s="21"/>
      <c r="T4039" s="28"/>
      <c r="AS4039" s="24"/>
      <c r="AT4039" s="24"/>
      <c r="AU4039" s="24"/>
      <c r="AV4039" s="24"/>
      <c r="AX4039" s="29"/>
    </row>
    <row r="4040" spans="2:50">
      <c r="B4040" s="19"/>
      <c r="K4040" s="21"/>
      <c r="T4040" s="28"/>
      <c r="AS4040" s="24"/>
      <c r="AT4040" s="24"/>
      <c r="AU4040" s="24"/>
      <c r="AV4040" s="24"/>
      <c r="AX4040" s="29"/>
    </row>
    <row r="4041" spans="2:50">
      <c r="B4041" s="19"/>
      <c r="K4041" s="21"/>
      <c r="T4041" s="28"/>
      <c r="AS4041" s="24"/>
      <c r="AT4041" s="24"/>
      <c r="AU4041" s="24"/>
      <c r="AV4041" s="24"/>
      <c r="AX4041" s="29"/>
    </row>
    <row r="4042" spans="2:50">
      <c r="B4042" s="19"/>
      <c r="K4042" s="21"/>
      <c r="T4042" s="28"/>
      <c r="AS4042" s="24"/>
      <c r="AT4042" s="24"/>
      <c r="AU4042" s="24"/>
      <c r="AV4042" s="24"/>
      <c r="AX4042" s="29"/>
    </row>
    <row r="4043" spans="2:50">
      <c r="B4043" s="19"/>
      <c r="K4043" s="21"/>
      <c r="T4043" s="28"/>
      <c r="AS4043" s="24"/>
      <c r="AT4043" s="24"/>
      <c r="AU4043" s="24"/>
      <c r="AV4043" s="24"/>
      <c r="AX4043" s="29"/>
    </row>
    <row r="4044" spans="2:50">
      <c r="B4044" s="19"/>
      <c r="K4044" s="21"/>
      <c r="T4044" s="28"/>
      <c r="AS4044" s="24"/>
      <c r="AT4044" s="24"/>
      <c r="AU4044" s="24"/>
      <c r="AV4044" s="24"/>
      <c r="AX4044" s="29"/>
    </row>
    <row r="4045" spans="2:50">
      <c r="B4045" s="19"/>
      <c r="K4045" s="21"/>
      <c r="T4045" s="28"/>
      <c r="AS4045" s="24"/>
      <c r="AT4045" s="24"/>
      <c r="AU4045" s="24"/>
      <c r="AV4045" s="24"/>
      <c r="AX4045" s="29"/>
    </row>
    <row r="4046" spans="2:50">
      <c r="B4046" s="19"/>
      <c r="K4046" s="21"/>
      <c r="T4046" s="28"/>
      <c r="AS4046" s="24"/>
      <c r="AT4046" s="24"/>
      <c r="AU4046" s="24"/>
      <c r="AV4046" s="24"/>
      <c r="AX4046" s="29"/>
    </row>
    <row r="4047" spans="2:50">
      <c r="B4047" s="19"/>
      <c r="K4047" s="21"/>
      <c r="T4047" s="28"/>
      <c r="AS4047" s="24"/>
      <c r="AT4047" s="24"/>
      <c r="AU4047" s="24"/>
      <c r="AV4047" s="24"/>
      <c r="AX4047" s="29"/>
    </row>
    <row r="4048" spans="2:50">
      <c r="B4048" s="19"/>
      <c r="K4048" s="21"/>
      <c r="T4048" s="28"/>
      <c r="AS4048" s="24"/>
      <c r="AT4048" s="24"/>
      <c r="AU4048" s="24"/>
      <c r="AV4048" s="24"/>
      <c r="AX4048" s="29"/>
    </row>
    <row r="4049" spans="2:50">
      <c r="B4049" s="19"/>
      <c r="K4049" s="21"/>
      <c r="T4049" s="28"/>
      <c r="AS4049" s="24"/>
      <c r="AT4049" s="24"/>
      <c r="AU4049" s="24"/>
      <c r="AV4049" s="24"/>
      <c r="AX4049" s="29"/>
    </row>
    <row r="4050" spans="2:50">
      <c r="B4050" s="19"/>
      <c r="K4050" s="21"/>
      <c r="T4050" s="28"/>
      <c r="AS4050" s="24"/>
      <c r="AT4050" s="24"/>
      <c r="AU4050" s="24"/>
      <c r="AV4050" s="24"/>
      <c r="AX4050" s="29"/>
    </row>
    <row r="4051" spans="2:50">
      <c r="B4051" s="19"/>
      <c r="K4051" s="21"/>
      <c r="T4051" s="28"/>
      <c r="AS4051" s="24"/>
      <c r="AT4051" s="24"/>
      <c r="AU4051" s="24"/>
      <c r="AV4051" s="24"/>
      <c r="AX4051" s="29"/>
    </row>
    <row r="4052" spans="2:50">
      <c r="B4052" s="19"/>
      <c r="K4052" s="21"/>
      <c r="T4052" s="28"/>
      <c r="AS4052" s="24"/>
      <c r="AT4052" s="24"/>
      <c r="AU4052" s="24"/>
      <c r="AV4052" s="24"/>
      <c r="AX4052" s="29"/>
    </row>
    <row r="4053" spans="2:50">
      <c r="B4053" s="19"/>
      <c r="K4053" s="21"/>
      <c r="T4053" s="28"/>
      <c r="AS4053" s="24"/>
      <c r="AT4053" s="24"/>
      <c r="AU4053" s="24"/>
      <c r="AV4053" s="24"/>
      <c r="AX4053" s="29"/>
    </row>
    <row r="4054" spans="2:50">
      <c r="B4054" s="19"/>
      <c r="K4054" s="21"/>
      <c r="T4054" s="28"/>
      <c r="AS4054" s="24"/>
      <c r="AT4054" s="24"/>
      <c r="AU4054" s="24"/>
      <c r="AV4054" s="24"/>
      <c r="AX4054" s="29"/>
    </row>
    <row r="4055" spans="2:50">
      <c r="B4055" s="19"/>
      <c r="K4055" s="21"/>
      <c r="T4055" s="28"/>
      <c r="AS4055" s="24"/>
      <c r="AT4055" s="24"/>
      <c r="AU4055" s="24"/>
      <c r="AV4055" s="24"/>
      <c r="AX4055" s="29"/>
    </row>
    <row r="4056" spans="2:50">
      <c r="B4056" s="19"/>
      <c r="K4056" s="21"/>
      <c r="T4056" s="28"/>
      <c r="AS4056" s="24"/>
      <c r="AT4056" s="24"/>
      <c r="AU4056" s="24"/>
      <c r="AV4056" s="24"/>
      <c r="AX4056" s="29"/>
    </row>
    <row r="4057" spans="2:50">
      <c r="B4057" s="19"/>
      <c r="K4057" s="21"/>
      <c r="T4057" s="28"/>
      <c r="AS4057" s="24"/>
      <c r="AT4057" s="24"/>
      <c r="AU4057" s="24"/>
      <c r="AV4057" s="24"/>
      <c r="AX4057" s="29"/>
    </row>
    <row r="4058" spans="2:50">
      <c r="B4058" s="19"/>
      <c r="K4058" s="21"/>
      <c r="T4058" s="28"/>
      <c r="AS4058" s="24"/>
      <c r="AT4058" s="24"/>
      <c r="AU4058" s="24"/>
      <c r="AV4058" s="24"/>
      <c r="AX4058" s="29"/>
    </row>
    <row r="4059" spans="2:50">
      <c r="B4059" s="19"/>
      <c r="K4059" s="21"/>
      <c r="T4059" s="28"/>
      <c r="AS4059" s="24"/>
      <c r="AT4059" s="24"/>
      <c r="AU4059" s="24"/>
      <c r="AV4059" s="24"/>
      <c r="AX4059" s="29"/>
    </row>
    <row r="4060" spans="2:50">
      <c r="B4060" s="19"/>
      <c r="K4060" s="21"/>
      <c r="T4060" s="28"/>
      <c r="AS4060" s="24"/>
      <c r="AT4060" s="24"/>
      <c r="AU4060" s="24"/>
      <c r="AV4060" s="24"/>
      <c r="AX4060" s="29"/>
    </row>
    <row r="4061" spans="2:50">
      <c r="B4061" s="19"/>
      <c r="K4061" s="21"/>
      <c r="T4061" s="28"/>
      <c r="AS4061" s="24"/>
      <c r="AT4061" s="24"/>
      <c r="AU4061" s="24"/>
      <c r="AV4061" s="24"/>
      <c r="AX4061" s="29"/>
    </row>
    <row r="4062" spans="2:50">
      <c r="B4062" s="19"/>
      <c r="K4062" s="21"/>
      <c r="T4062" s="28"/>
      <c r="AS4062" s="24"/>
      <c r="AT4062" s="24"/>
      <c r="AU4062" s="24"/>
      <c r="AV4062" s="24"/>
      <c r="AX4062" s="29"/>
    </row>
    <row r="4063" spans="2:50">
      <c r="B4063" s="19"/>
      <c r="K4063" s="21"/>
      <c r="T4063" s="28"/>
      <c r="AS4063" s="24"/>
      <c r="AT4063" s="24"/>
      <c r="AU4063" s="24"/>
      <c r="AV4063" s="24"/>
      <c r="AX4063" s="29"/>
    </row>
    <row r="4064" spans="2:50">
      <c r="B4064" s="19"/>
      <c r="K4064" s="21"/>
      <c r="T4064" s="28"/>
      <c r="AS4064" s="24"/>
      <c r="AT4064" s="24"/>
      <c r="AU4064" s="24"/>
      <c r="AV4064" s="24"/>
      <c r="AX4064" s="29"/>
    </row>
    <row r="4065" spans="2:50">
      <c r="B4065" s="19"/>
      <c r="K4065" s="21"/>
      <c r="T4065" s="28"/>
      <c r="AS4065" s="24"/>
      <c r="AT4065" s="24"/>
      <c r="AU4065" s="24"/>
      <c r="AV4065" s="24"/>
      <c r="AX4065" s="29"/>
    </row>
    <row r="4066" spans="2:50">
      <c r="B4066" s="19"/>
      <c r="K4066" s="21"/>
      <c r="T4066" s="28"/>
      <c r="AS4066" s="24"/>
      <c r="AT4066" s="24"/>
      <c r="AU4066" s="24"/>
      <c r="AV4066" s="24"/>
      <c r="AX4066" s="29"/>
    </row>
    <row r="4067" spans="2:50">
      <c r="B4067" s="19"/>
      <c r="K4067" s="21"/>
      <c r="T4067" s="28"/>
      <c r="AS4067" s="24"/>
      <c r="AT4067" s="24"/>
      <c r="AU4067" s="24"/>
      <c r="AV4067" s="24"/>
      <c r="AX4067" s="29"/>
    </row>
    <row r="4068" spans="2:50">
      <c r="B4068" s="19"/>
      <c r="K4068" s="21"/>
      <c r="T4068" s="28"/>
      <c r="AS4068" s="24"/>
      <c r="AT4068" s="24"/>
      <c r="AU4068" s="24"/>
      <c r="AV4068" s="24"/>
      <c r="AX4068" s="29"/>
    </row>
    <row r="4069" spans="2:50">
      <c r="B4069" s="19"/>
      <c r="K4069" s="21"/>
      <c r="T4069" s="28"/>
      <c r="AS4069" s="24"/>
      <c r="AT4069" s="24"/>
      <c r="AU4069" s="24"/>
      <c r="AV4069" s="24"/>
      <c r="AX4069" s="29"/>
    </row>
    <row r="4070" spans="2:50">
      <c r="B4070" s="19"/>
      <c r="K4070" s="21"/>
      <c r="T4070" s="28"/>
      <c r="AS4070" s="24"/>
      <c r="AT4070" s="24"/>
      <c r="AU4070" s="24"/>
      <c r="AV4070" s="24"/>
      <c r="AX4070" s="29"/>
    </row>
    <row r="4071" spans="2:50">
      <c r="B4071" s="19"/>
      <c r="K4071" s="21"/>
      <c r="T4071" s="28"/>
      <c r="AS4071" s="24"/>
      <c r="AT4071" s="24"/>
      <c r="AU4071" s="24"/>
      <c r="AV4071" s="24"/>
      <c r="AX4071" s="29"/>
    </row>
    <row r="4072" spans="2:50">
      <c r="B4072" s="19"/>
      <c r="K4072" s="21"/>
      <c r="T4072" s="28"/>
      <c r="AS4072" s="24"/>
      <c r="AT4072" s="24"/>
      <c r="AU4072" s="24"/>
      <c r="AV4072" s="24"/>
      <c r="AX4072" s="29"/>
    </row>
    <row r="4073" spans="2:50">
      <c r="B4073" s="19"/>
      <c r="K4073" s="21"/>
      <c r="T4073" s="28"/>
      <c r="AS4073" s="24"/>
      <c r="AT4073" s="24"/>
      <c r="AU4073" s="24"/>
      <c r="AV4073" s="24"/>
      <c r="AX4073" s="29"/>
    </row>
    <row r="4074" spans="2:50">
      <c r="B4074" s="19"/>
      <c r="K4074" s="21"/>
      <c r="T4074" s="28"/>
      <c r="AS4074" s="24"/>
      <c r="AT4074" s="24"/>
      <c r="AU4074" s="24"/>
      <c r="AV4074" s="24"/>
      <c r="AX4074" s="29"/>
    </row>
    <row r="4075" spans="2:50">
      <c r="B4075" s="19"/>
      <c r="K4075" s="21"/>
      <c r="T4075" s="28"/>
      <c r="AS4075" s="24"/>
      <c r="AT4075" s="24"/>
      <c r="AU4075" s="24"/>
      <c r="AV4075" s="24"/>
      <c r="AX4075" s="29"/>
    </row>
    <row r="4076" spans="2:50">
      <c r="B4076" s="19"/>
      <c r="K4076" s="21"/>
      <c r="T4076" s="28"/>
      <c r="AS4076" s="24"/>
      <c r="AT4076" s="24"/>
      <c r="AU4076" s="24"/>
      <c r="AV4076" s="24"/>
      <c r="AX4076" s="29"/>
    </row>
    <row r="4077" spans="2:50">
      <c r="B4077" s="19"/>
      <c r="K4077" s="21"/>
      <c r="T4077" s="28"/>
      <c r="AS4077" s="24"/>
      <c r="AT4077" s="24"/>
      <c r="AU4077" s="24"/>
      <c r="AV4077" s="24"/>
      <c r="AX4077" s="29"/>
    </row>
    <row r="4078" spans="2:50">
      <c r="B4078" s="19"/>
      <c r="K4078" s="21"/>
      <c r="T4078" s="28"/>
      <c r="AS4078" s="24"/>
      <c r="AT4078" s="24"/>
      <c r="AU4078" s="24"/>
      <c r="AV4078" s="24"/>
      <c r="AX4078" s="29"/>
    </row>
    <row r="4079" spans="2:50">
      <c r="B4079" s="19"/>
      <c r="K4079" s="21"/>
      <c r="T4079" s="28"/>
      <c r="AS4079" s="24"/>
      <c r="AT4079" s="24"/>
      <c r="AU4079" s="24"/>
      <c r="AV4079" s="24"/>
      <c r="AX4079" s="29"/>
    </row>
    <row r="4080" spans="2:50">
      <c r="B4080" s="19"/>
      <c r="K4080" s="21"/>
      <c r="T4080" s="28"/>
      <c r="AS4080" s="24"/>
      <c r="AT4080" s="24"/>
      <c r="AU4080" s="24"/>
      <c r="AV4080" s="24"/>
      <c r="AX4080" s="29"/>
    </row>
    <row r="4081" spans="2:50">
      <c r="B4081" s="19"/>
      <c r="K4081" s="21"/>
      <c r="T4081" s="28"/>
      <c r="AS4081" s="24"/>
      <c r="AT4081" s="24"/>
      <c r="AU4081" s="24"/>
      <c r="AV4081" s="24"/>
      <c r="AX4081" s="29"/>
    </row>
    <row r="4082" spans="2:50">
      <c r="B4082" s="19"/>
      <c r="K4082" s="21"/>
      <c r="T4082" s="28"/>
      <c r="AS4082" s="24"/>
      <c r="AT4082" s="24"/>
      <c r="AU4082" s="24"/>
      <c r="AV4082" s="24"/>
      <c r="AX4082" s="29"/>
    </row>
    <row r="4083" spans="2:50">
      <c r="B4083" s="19"/>
      <c r="K4083" s="21"/>
      <c r="T4083" s="28"/>
      <c r="AS4083" s="24"/>
      <c r="AT4083" s="24"/>
      <c r="AU4083" s="24"/>
      <c r="AV4083" s="24"/>
      <c r="AX4083" s="29"/>
    </row>
    <row r="4084" spans="2:50">
      <c r="B4084" s="19"/>
      <c r="K4084" s="21"/>
      <c r="T4084" s="28"/>
      <c r="AS4084" s="24"/>
      <c r="AT4084" s="24"/>
      <c r="AU4084" s="24"/>
      <c r="AV4084" s="24"/>
      <c r="AX4084" s="29"/>
    </row>
    <row r="4085" spans="2:50">
      <c r="B4085" s="19"/>
      <c r="K4085" s="21"/>
      <c r="T4085" s="28"/>
      <c r="AS4085" s="24"/>
      <c r="AT4085" s="24"/>
      <c r="AU4085" s="24"/>
      <c r="AV4085" s="24"/>
      <c r="AX4085" s="29"/>
    </row>
    <row r="4086" spans="2:50">
      <c r="B4086" s="19"/>
      <c r="K4086" s="21"/>
      <c r="T4086" s="28"/>
      <c r="AS4086" s="24"/>
      <c r="AT4086" s="24"/>
      <c r="AU4086" s="24"/>
      <c r="AV4086" s="24"/>
      <c r="AX4086" s="29"/>
    </row>
    <row r="4087" spans="2:50">
      <c r="B4087" s="19"/>
      <c r="K4087" s="21"/>
      <c r="T4087" s="28"/>
      <c r="AS4087" s="24"/>
      <c r="AT4087" s="24"/>
      <c r="AU4087" s="24"/>
      <c r="AV4087" s="24"/>
      <c r="AX4087" s="29"/>
    </row>
    <row r="4088" spans="2:50">
      <c r="B4088" s="19"/>
      <c r="K4088" s="21"/>
      <c r="T4088" s="28"/>
      <c r="AS4088" s="24"/>
      <c r="AT4088" s="24"/>
      <c r="AU4088" s="24"/>
      <c r="AV4088" s="24"/>
      <c r="AX4088" s="29"/>
    </row>
    <row r="4089" spans="2:50">
      <c r="B4089" s="19"/>
      <c r="K4089" s="21"/>
      <c r="T4089" s="28"/>
      <c r="AS4089" s="24"/>
      <c r="AT4089" s="24"/>
      <c r="AU4089" s="24"/>
      <c r="AV4089" s="24"/>
      <c r="AX4089" s="29"/>
    </row>
    <row r="4090" spans="2:50">
      <c r="B4090" s="19"/>
      <c r="K4090" s="21"/>
      <c r="T4090" s="28"/>
      <c r="AS4090" s="24"/>
      <c r="AT4090" s="24"/>
      <c r="AU4090" s="24"/>
      <c r="AV4090" s="24"/>
      <c r="AX4090" s="29"/>
    </row>
    <row r="4091" spans="2:50">
      <c r="B4091" s="19"/>
      <c r="K4091" s="21"/>
      <c r="T4091" s="28"/>
      <c r="AS4091" s="24"/>
      <c r="AT4091" s="24"/>
      <c r="AU4091" s="24"/>
      <c r="AV4091" s="24"/>
      <c r="AX4091" s="29"/>
    </row>
    <row r="4092" spans="2:50">
      <c r="B4092" s="19"/>
      <c r="K4092" s="21"/>
      <c r="T4092" s="28"/>
      <c r="AS4092" s="24"/>
      <c r="AT4092" s="24"/>
      <c r="AU4092" s="24"/>
      <c r="AV4092" s="24"/>
      <c r="AX4092" s="29"/>
    </row>
    <row r="4093" spans="2:50">
      <c r="B4093" s="19"/>
      <c r="K4093" s="21"/>
      <c r="T4093" s="28"/>
      <c r="AS4093" s="24"/>
      <c r="AT4093" s="24"/>
      <c r="AU4093" s="24"/>
      <c r="AV4093" s="24"/>
      <c r="AX4093" s="29"/>
    </row>
    <row r="4094" spans="2:50">
      <c r="B4094" s="19"/>
      <c r="K4094" s="21"/>
      <c r="T4094" s="28"/>
      <c r="AS4094" s="24"/>
      <c r="AT4094" s="24"/>
      <c r="AU4094" s="24"/>
      <c r="AV4094" s="24"/>
      <c r="AX4094" s="29"/>
    </row>
    <row r="4095" spans="2:50">
      <c r="B4095" s="19"/>
      <c r="K4095" s="21"/>
      <c r="T4095" s="28"/>
      <c r="AS4095" s="24"/>
      <c r="AT4095" s="24"/>
      <c r="AU4095" s="24"/>
      <c r="AV4095" s="24"/>
      <c r="AX4095" s="29"/>
    </row>
    <row r="4096" spans="2:50">
      <c r="B4096" s="19"/>
      <c r="K4096" s="21"/>
      <c r="T4096" s="28"/>
      <c r="AS4096" s="24"/>
      <c r="AT4096" s="24"/>
      <c r="AU4096" s="24"/>
      <c r="AV4096" s="24"/>
      <c r="AX4096" s="29"/>
    </row>
    <row r="4097" spans="2:50">
      <c r="B4097" s="19"/>
      <c r="K4097" s="21"/>
      <c r="T4097" s="28"/>
      <c r="AS4097" s="24"/>
      <c r="AT4097" s="24"/>
      <c r="AU4097" s="24"/>
      <c r="AV4097" s="24"/>
      <c r="AX4097" s="29"/>
    </row>
    <row r="4098" spans="2:50">
      <c r="B4098" s="19"/>
      <c r="K4098" s="21"/>
      <c r="T4098" s="28"/>
      <c r="AS4098" s="24"/>
      <c r="AT4098" s="24"/>
      <c r="AU4098" s="24"/>
      <c r="AV4098" s="24"/>
      <c r="AX4098" s="29"/>
    </row>
    <row r="4099" spans="2:50">
      <c r="B4099" s="19"/>
      <c r="K4099" s="21"/>
      <c r="T4099" s="28"/>
      <c r="AS4099" s="24"/>
      <c r="AT4099" s="24"/>
      <c r="AU4099" s="24"/>
      <c r="AV4099" s="24"/>
      <c r="AX4099" s="29"/>
    </row>
    <row r="4100" spans="2:50">
      <c r="B4100" s="19"/>
      <c r="K4100" s="21"/>
      <c r="T4100" s="28"/>
      <c r="AS4100" s="24"/>
      <c r="AT4100" s="24"/>
      <c r="AU4100" s="24"/>
      <c r="AV4100" s="24"/>
      <c r="AX4100" s="29"/>
    </row>
    <row r="4101" spans="2:50">
      <c r="B4101" s="19"/>
      <c r="G4101" s="31"/>
      <c r="K4101" s="21"/>
      <c r="T4101" s="28"/>
      <c r="AS4101" s="24"/>
      <c r="AT4101" s="24"/>
      <c r="AU4101" s="24"/>
      <c r="AV4101" s="24"/>
      <c r="AX4101" s="29"/>
    </row>
    <row r="4102" spans="2:50">
      <c r="B4102" s="19"/>
      <c r="K4102" s="21"/>
      <c r="T4102" s="28"/>
      <c r="AS4102" s="24"/>
      <c r="AT4102" s="24"/>
      <c r="AU4102" s="24"/>
      <c r="AV4102" s="24"/>
      <c r="AX4102" s="29"/>
    </row>
    <row r="4103" spans="2:50">
      <c r="B4103" s="19"/>
      <c r="K4103" s="21"/>
      <c r="T4103" s="28"/>
      <c r="AS4103" s="24"/>
      <c r="AT4103" s="24"/>
      <c r="AU4103" s="24"/>
      <c r="AV4103" s="24"/>
      <c r="AX4103" s="29"/>
    </row>
    <row r="4104" spans="2:50">
      <c r="B4104" s="19"/>
      <c r="K4104" s="21"/>
      <c r="T4104" s="28"/>
      <c r="AS4104" s="24"/>
      <c r="AT4104" s="24"/>
      <c r="AU4104" s="24"/>
      <c r="AV4104" s="24"/>
      <c r="AX4104" s="29"/>
    </row>
    <row r="4105" spans="2:50">
      <c r="B4105" s="19"/>
      <c r="K4105" s="21"/>
      <c r="T4105" s="28"/>
      <c r="AS4105" s="24"/>
      <c r="AT4105" s="24"/>
      <c r="AU4105" s="24"/>
      <c r="AV4105" s="24"/>
      <c r="AX4105" s="29"/>
    </row>
    <row r="4106" spans="2:50">
      <c r="B4106" s="19"/>
      <c r="K4106" s="21"/>
      <c r="T4106" s="28"/>
      <c r="AS4106" s="24"/>
      <c r="AT4106" s="24"/>
      <c r="AU4106" s="24"/>
      <c r="AV4106" s="24"/>
      <c r="AX4106" s="29"/>
    </row>
    <row r="4107" spans="2:50">
      <c r="B4107" s="19"/>
      <c r="K4107" s="21"/>
      <c r="T4107" s="28"/>
      <c r="AS4107" s="24"/>
      <c r="AT4107" s="24"/>
      <c r="AU4107" s="24"/>
      <c r="AV4107" s="24"/>
      <c r="AX4107" s="29"/>
    </row>
    <row r="4108" spans="2:50">
      <c r="B4108" s="19"/>
      <c r="K4108" s="21"/>
      <c r="T4108" s="28"/>
      <c r="AS4108" s="24"/>
      <c r="AT4108" s="24"/>
      <c r="AU4108" s="24"/>
      <c r="AV4108" s="24"/>
      <c r="AX4108" s="29"/>
    </row>
    <row r="4109" spans="2:50">
      <c r="B4109" s="19"/>
      <c r="K4109" s="21"/>
      <c r="T4109" s="28"/>
      <c r="AS4109" s="24"/>
      <c r="AT4109" s="24"/>
      <c r="AU4109" s="24"/>
      <c r="AV4109" s="24"/>
      <c r="AX4109" s="29"/>
    </row>
    <row r="4110" spans="2:50">
      <c r="B4110" s="19"/>
      <c r="K4110" s="21"/>
      <c r="T4110" s="28"/>
      <c r="AS4110" s="24"/>
      <c r="AT4110" s="24"/>
      <c r="AU4110" s="24"/>
      <c r="AV4110" s="24"/>
      <c r="AX4110" s="29"/>
    </row>
    <row r="4111" spans="2:50">
      <c r="B4111" s="19"/>
      <c r="K4111" s="21"/>
      <c r="T4111" s="28"/>
      <c r="AS4111" s="24"/>
      <c r="AT4111" s="24"/>
      <c r="AU4111" s="24"/>
      <c r="AV4111" s="24"/>
      <c r="AX4111" s="29"/>
    </row>
    <row r="4112" spans="2:50">
      <c r="B4112" s="19"/>
      <c r="K4112" s="21"/>
      <c r="T4112" s="28"/>
      <c r="AS4112" s="24"/>
      <c r="AT4112" s="24"/>
      <c r="AU4112" s="24"/>
      <c r="AV4112" s="24"/>
      <c r="AX4112" s="29"/>
    </row>
    <row r="4113" spans="2:50">
      <c r="B4113" s="19"/>
      <c r="K4113" s="21"/>
      <c r="T4113" s="28"/>
      <c r="AS4113" s="24"/>
      <c r="AT4113" s="24"/>
      <c r="AU4113" s="24"/>
      <c r="AV4113" s="24"/>
      <c r="AX4113" s="29"/>
    </row>
    <row r="4114" spans="2:50">
      <c r="B4114" s="19"/>
      <c r="K4114" s="21"/>
      <c r="T4114" s="28"/>
      <c r="AS4114" s="24"/>
      <c r="AT4114" s="24"/>
      <c r="AU4114" s="24"/>
      <c r="AV4114" s="24"/>
      <c r="AX4114" s="29"/>
    </row>
    <row r="4115" spans="2:50">
      <c r="B4115" s="19"/>
      <c r="K4115" s="21"/>
      <c r="T4115" s="28"/>
      <c r="AS4115" s="24"/>
      <c r="AT4115" s="24"/>
      <c r="AU4115" s="24"/>
      <c r="AV4115" s="24"/>
      <c r="AX4115" s="29"/>
    </row>
    <row r="4116" spans="2:50">
      <c r="B4116" s="19"/>
      <c r="K4116" s="21"/>
      <c r="T4116" s="28"/>
      <c r="AS4116" s="24"/>
      <c r="AT4116" s="24"/>
      <c r="AU4116" s="24"/>
      <c r="AV4116" s="24"/>
      <c r="AX4116" s="29"/>
    </row>
    <row r="4117" spans="2:50">
      <c r="B4117" s="19"/>
      <c r="K4117" s="21"/>
      <c r="T4117" s="28"/>
      <c r="AS4117" s="24"/>
      <c r="AT4117" s="24"/>
      <c r="AU4117" s="24"/>
      <c r="AV4117" s="24"/>
      <c r="AX4117" s="29"/>
    </row>
    <row r="4118" spans="2:50">
      <c r="B4118" s="19"/>
      <c r="K4118" s="21"/>
      <c r="T4118" s="28"/>
      <c r="AS4118" s="24"/>
      <c r="AT4118" s="24"/>
      <c r="AU4118" s="24"/>
      <c r="AV4118" s="24"/>
      <c r="AX4118" s="29"/>
    </row>
    <row r="4119" spans="2:50">
      <c r="B4119" s="19"/>
      <c r="K4119" s="21"/>
      <c r="T4119" s="28"/>
      <c r="AS4119" s="24"/>
      <c r="AT4119" s="24"/>
      <c r="AU4119" s="24"/>
      <c r="AV4119" s="24"/>
      <c r="AX4119" s="29"/>
    </row>
    <row r="4120" spans="2:50">
      <c r="B4120" s="19"/>
      <c r="K4120" s="21"/>
      <c r="T4120" s="28"/>
      <c r="AS4120" s="24"/>
      <c r="AT4120" s="24"/>
      <c r="AU4120" s="24"/>
      <c r="AV4120" s="24"/>
      <c r="AX4120" s="29"/>
    </row>
    <row r="4121" spans="2:50">
      <c r="B4121" s="19"/>
      <c r="K4121" s="21"/>
      <c r="T4121" s="28"/>
      <c r="AS4121" s="24"/>
      <c r="AT4121" s="24"/>
      <c r="AU4121" s="24"/>
      <c r="AV4121" s="24"/>
      <c r="AX4121" s="29"/>
    </row>
    <row r="4122" spans="2:50">
      <c r="B4122" s="19"/>
      <c r="K4122" s="21"/>
      <c r="T4122" s="28"/>
      <c r="AS4122" s="24"/>
      <c r="AT4122" s="24"/>
      <c r="AU4122" s="24"/>
      <c r="AV4122" s="24"/>
      <c r="AX4122" s="29"/>
    </row>
    <row r="4123" spans="2:50">
      <c r="B4123" s="19"/>
      <c r="K4123" s="21"/>
      <c r="T4123" s="28"/>
      <c r="AS4123" s="24"/>
      <c r="AT4123" s="24"/>
      <c r="AU4123" s="24"/>
      <c r="AV4123" s="24"/>
      <c r="AX4123" s="29"/>
    </row>
    <row r="4124" spans="2:50">
      <c r="B4124" s="19"/>
      <c r="K4124" s="21"/>
      <c r="T4124" s="28"/>
      <c r="AS4124" s="24"/>
      <c r="AT4124" s="24"/>
      <c r="AU4124" s="24"/>
      <c r="AV4124" s="24"/>
      <c r="AX4124" s="29"/>
    </row>
    <row r="4125" spans="2:50">
      <c r="B4125" s="19"/>
      <c r="K4125" s="21"/>
      <c r="T4125" s="28"/>
      <c r="AS4125" s="24"/>
      <c r="AT4125" s="24"/>
      <c r="AU4125" s="24"/>
      <c r="AV4125" s="24"/>
      <c r="AX4125" s="29"/>
    </row>
    <row r="4126" spans="2:50">
      <c r="B4126" s="19"/>
      <c r="K4126" s="21"/>
      <c r="T4126" s="28"/>
      <c r="AS4126" s="24"/>
      <c r="AT4126" s="24"/>
      <c r="AU4126" s="24"/>
      <c r="AV4126" s="24"/>
      <c r="AX4126" s="29"/>
    </row>
    <row r="4127" spans="2:50">
      <c r="B4127" s="19"/>
      <c r="K4127" s="21"/>
      <c r="T4127" s="28"/>
      <c r="AS4127" s="24"/>
      <c r="AT4127" s="24"/>
      <c r="AU4127" s="24"/>
      <c r="AV4127" s="24"/>
      <c r="AX4127" s="29"/>
    </row>
    <row r="4128" spans="2:50">
      <c r="B4128" s="19"/>
      <c r="K4128" s="21"/>
      <c r="T4128" s="28"/>
      <c r="AS4128" s="24"/>
      <c r="AT4128" s="24"/>
      <c r="AU4128" s="24"/>
      <c r="AV4128" s="24"/>
      <c r="AX4128" s="29"/>
    </row>
    <row r="4129" spans="2:50">
      <c r="B4129" s="19"/>
      <c r="K4129" s="21"/>
      <c r="T4129" s="28"/>
      <c r="AS4129" s="24"/>
      <c r="AT4129" s="24"/>
      <c r="AU4129" s="24"/>
      <c r="AV4129" s="24"/>
      <c r="AX4129" s="29"/>
    </row>
    <row r="4130" spans="2:50">
      <c r="B4130" s="19"/>
      <c r="K4130" s="21"/>
      <c r="T4130" s="28"/>
      <c r="AS4130" s="24"/>
      <c r="AT4130" s="24"/>
      <c r="AU4130" s="24"/>
      <c r="AV4130" s="24"/>
      <c r="AX4130" s="29"/>
    </row>
    <row r="4131" spans="2:50">
      <c r="B4131" s="19"/>
      <c r="K4131" s="21"/>
      <c r="T4131" s="28"/>
      <c r="AS4131" s="24"/>
      <c r="AT4131" s="24"/>
      <c r="AU4131" s="24"/>
      <c r="AV4131" s="24"/>
      <c r="AX4131" s="29"/>
    </row>
    <row r="4132" spans="2:50">
      <c r="B4132" s="19"/>
      <c r="K4132" s="21"/>
      <c r="T4132" s="28"/>
      <c r="AS4132" s="24"/>
      <c r="AT4132" s="24"/>
      <c r="AU4132" s="24"/>
      <c r="AV4132" s="24"/>
      <c r="AX4132" s="29"/>
    </row>
    <row r="4133" spans="2:50">
      <c r="B4133" s="19"/>
      <c r="K4133" s="21"/>
      <c r="T4133" s="28"/>
      <c r="AS4133" s="24"/>
      <c r="AT4133" s="24"/>
      <c r="AU4133" s="24"/>
      <c r="AV4133" s="24"/>
      <c r="AX4133" s="29"/>
    </row>
    <row r="4134" spans="2:50">
      <c r="B4134" s="19"/>
      <c r="K4134" s="21"/>
      <c r="T4134" s="28"/>
      <c r="AS4134" s="24"/>
      <c r="AT4134" s="24"/>
      <c r="AU4134" s="24"/>
      <c r="AV4134" s="24"/>
      <c r="AX4134" s="29"/>
    </row>
    <row r="4135" spans="2:50">
      <c r="B4135" s="19"/>
      <c r="K4135" s="21"/>
      <c r="T4135" s="28"/>
      <c r="AS4135" s="24"/>
      <c r="AT4135" s="24"/>
      <c r="AU4135" s="24"/>
      <c r="AV4135" s="24"/>
      <c r="AX4135" s="29"/>
    </row>
    <row r="4136" spans="2:50">
      <c r="B4136" s="19"/>
      <c r="K4136" s="21"/>
      <c r="T4136" s="28"/>
      <c r="AS4136" s="24"/>
      <c r="AT4136" s="24"/>
      <c r="AU4136" s="24"/>
      <c r="AV4136" s="24"/>
      <c r="AX4136" s="29"/>
    </row>
    <row r="4137" spans="2:50">
      <c r="B4137" s="19"/>
      <c r="K4137" s="21"/>
      <c r="T4137" s="28"/>
      <c r="AS4137" s="24"/>
      <c r="AT4137" s="24"/>
      <c r="AU4137" s="24"/>
      <c r="AV4137" s="24"/>
      <c r="AX4137" s="29"/>
    </row>
    <row r="4138" spans="2:50">
      <c r="B4138" s="19"/>
      <c r="K4138" s="21"/>
      <c r="T4138" s="28"/>
      <c r="AS4138" s="24"/>
      <c r="AT4138" s="24"/>
      <c r="AU4138" s="24"/>
      <c r="AV4138" s="24"/>
      <c r="AX4138" s="29"/>
    </row>
    <row r="4139" spans="2:50">
      <c r="B4139" s="19"/>
      <c r="K4139" s="21"/>
      <c r="T4139" s="28"/>
      <c r="AS4139" s="24"/>
      <c r="AT4139" s="24"/>
      <c r="AU4139" s="24"/>
      <c r="AV4139" s="24"/>
      <c r="AX4139" s="29"/>
    </row>
    <row r="4140" spans="2:50">
      <c r="B4140" s="19"/>
      <c r="K4140" s="21"/>
      <c r="T4140" s="28"/>
      <c r="AS4140" s="24"/>
      <c r="AT4140" s="24"/>
      <c r="AU4140" s="24"/>
      <c r="AV4140" s="24"/>
      <c r="AX4140" s="29"/>
    </row>
    <row r="4141" spans="2:50">
      <c r="B4141" s="19"/>
      <c r="K4141" s="21"/>
      <c r="T4141" s="28"/>
      <c r="AS4141" s="24"/>
      <c r="AT4141" s="24"/>
      <c r="AU4141" s="24"/>
      <c r="AV4141" s="24"/>
      <c r="AX4141" s="29"/>
    </row>
    <row r="4142" spans="2:50">
      <c r="B4142" s="19"/>
      <c r="K4142" s="21"/>
      <c r="T4142" s="28"/>
      <c r="AS4142" s="24"/>
      <c r="AT4142" s="24"/>
      <c r="AU4142" s="24"/>
      <c r="AV4142" s="24"/>
      <c r="AX4142" s="29"/>
    </row>
    <row r="4143" spans="2:50">
      <c r="B4143" s="19"/>
      <c r="K4143" s="21"/>
      <c r="T4143" s="28"/>
      <c r="AS4143" s="24"/>
      <c r="AT4143" s="24"/>
      <c r="AU4143" s="24"/>
      <c r="AV4143" s="24"/>
      <c r="AX4143" s="29"/>
    </row>
    <row r="4144" spans="2:50">
      <c r="B4144" s="19"/>
      <c r="K4144" s="21"/>
      <c r="T4144" s="28"/>
      <c r="AS4144" s="24"/>
      <c r="AT4144" s="24"/>
      <c r="AU4144" s="24"/>
      <c r="AV4144" s="24"/>
      <c r="AX4144" s="29"/>
    </row>
    <row r="4145" spans="2:50">
      <c r="B4145" s="19"/>
      <c r="K4145" s="21"/>
      <c r="T4145" s="28"/>
      <c r="AS4145" s="24"/>
      <c r="AT4145" s="24"/>
      <c r="AU4145" s="24"/>
      <c r="AV4145" s="24"/>
      <c r="AX4145" s="29"/>
    </row>
    <row r="4146" spans="2:50">
      <c r="B4146" s="19"/>
      <c r="K4146" s="21"/>
      <c r="T4146" s="28"/>
      <c r="AS4146" s="24"/>
      <c r="AT4146" s="24"/>
      <c r="AU4146" s="24"/>
      <c r="AV4146" s="24"/>
      <c r="AX4146" s="29"/>
    </row>
    <row r="4147" spans="2:50">
      <c r="B4147" s="19"/>
      <c r="K4147" s="21"/>
      <c r="T4147" s="28"/>
      <c r="AS4147" s="24"/>
      <c r="AT4147" s="24"/>
      <c r="AU4147" s="24"/>
      <c r="AV4147" s="24"/>
      <c r="AX4147" s="29"/>
    </row>
    <row r="4148" spans="2:50">
      <c r="B4148" s="19"/>
      <c r="K4148" s="21"/>
      <c r="T4148" s="28"/>
      <c r="AS4148" s="24"/>
      <c r="AT4148" s="24"/>
      <c r="AU4148" s="24"/>
      <c r="AV4148" s="24"/>
      <c r="AX4148" s="29"/>
    </row>
    <row r="4149" spans="2:50">
      <c r="B4149" s="19"/>
      <c r="K4149" s="21"/>
      <c r="T4149" s="28"/>
      <c r="AS4149" s="24"/>
      <c r="AT4149" s="24"/>
      <c r="AU4149" s="24"/>
      <c r="AV4149" s="24"/>
      <c r="AX4149" s="29"/>
    </row>
    <row r="4150" spans="2:50">
      <c r="B4150" s="19"/>
      <c r="K4150" s="21"/>
      <c r="T4150" s="28"/>
      <c r="AS4150" s="24"/>
      <c r="AT4150" s="24"/>
      <c r="AU4150" s="24"/>
      <c r="AV4150" s="24"/>
      <c r="AX4150" s="29"/>
    </row>
    <row r="4151" spans="2:50">
      <c r="B4151" s="19"/>
      <c r="K4151" s="21"/>
      <c r="T4151" s="28"/>
      <c r="AS4151" s="24"/>
      <c r="AT4151" s="24"/>
      <c r="AU4151" s="24"/>
      <c r="AV4151" s="24"/>
      <c r="AX4151" s="29"/>
    </row>
    <row r="4152" spans="2:50">
      <c r="B4152" s="19"/>
      <c r="K4152" s="21"/>
      <c r="T4152" s="28"/>
      <c r="AS4152" s="24"/>
      <c r="AT4152" s="24"/>
      <c r="AU4152" s="24"/>
      <c r="AV4152" s="24"/>
      <c r="AX4152" s="29"/>
    </row>
    <row r="4153" spans="2:50">
      <c r="K4153" s="21"/>
      <c r="T4153" s="28"/>
      <c r="AS4153" s="24"/>
      <c r="AT4153" s="24"/>
      <c r="AU4153" s="24"/>
      <c r="AV4153" s="24"/>
      <c r="AX4153" s="29"/>
    </row>
    <row r="4154" spans="2:50">
      <c r="B4154" s="19"/>
      <c r="K4154" s="21"/>
      <c r="T4154" s="28"/>
      <c r="AS4154" s="24"/>
      <c r="AT4154" s="24"/>
      <c r="AU4154" s="24"/>
      <c r="AV4154" s="24"/>
      <c r="AX4154" s="29"/>
    </row>
    <row r="4155" spans="2:50">
      <c r="B4155" s="19"/>
      <c r="K4155" s="21"/>
      <c r="T4155" s="28"/>
      <c r="AS4155" s="24"/>
      <c r="AT4155" s="24"/>
      <c r="AU4155" s="24"/>
      <c r="AV4155" s="24"/>
      <c r="AX4155" s="29"/>
    </row>
    <row r="4156" spans="2:50">
      <c r="B4156" s="19"/>
      <c r="K4156" s="21"/>
      <c r="T4156" s="28"/>
      <c r="AS4156" s="24"/>
      <c r="AT4156" s="24"/>
      <c r="AU4156" s="24"/>
      <c r="AV4156" s="24"/>
      <c r="AX4156" s="29"/>
    </row>
    <row r="4157" spans="2:50">
      <c r="B4157" s="19"/>
      <c r="K4157" s="21"/>
      <c r="T4157" s="28"/>
      <c r="AS4157" s="24"/>
      <c r="AT4157" s="24"/>
      <c r="AU4157" s="24"/>
      <c r="AV4157" s="24"/>
      <c r="AX4157" s="29"/>
    </row>
    <row r="4158" spans="2:50">
      <c r="B4158" s="19"/>
      <c r="K4158" s="21"/>
      <c r="T4158" s="28"/>
      <c r="AS4158" s="24"/>
      <c r="AT4158" s="24"/>
      <c r="AU4158" s="24"/>
      <c r="AV4158" s="24"/>
      <c r="AX4158" s="29"/>
    </row>
    <row r="4159" spans="2:50">
      <c r="B4159" s="19"/>
      <c r="K4159" s="21"/>
      <c r="T4159" s="28"/>
      <c r="AS4159" s="24"/>
      <c r="AT4159" s="24"/>
      <c r="AU4159" s="24"/>
      <c r="AV4159" s="24"/>
      <c r="AX4159" s="29"/>
    </row>
    <row r="4160" spans="2:50">
      <c r="B4160" s="19"/>
      <c r="K4160" s="21"/>
      <c r="T4160" s="28"/>
      <c r="AS4160" s="24"/>
      <c r="AT4160" s="24"/>
      <c r="AU4160" s="24"/>
      <c r="AV4160" s="24"/>
      <c r="AX4160" s="29"/>
    </row>
    <row r="4161" spans="2:50">
      <c r="B4161" s="19"/>
      <c r="K4161" s="21"/>
      <c r="T4161" s="28"/>
      <c r="AS4161" s="24"/>
      <c r="AT4161" s="24"/>
      <c r="AU4161" s="24"/>
      <c r="AV4161" s="24"/>
      <c r="AX4161" s="29"/>
    </row>
    <row r="4162" spans="2:50">
      <c r="B4162" s="19"/>
      <c r="K4162" s="21"/>
      <c r="T4162" s="28"/>
      <c r="AS4162" s="24"/>
      <c r="AT4162" s="24"/>
      <c r="AU4162" s="24"/>
      <c r="AV4162" s="24"/>
      <c r="AX4162" s="29"/>
    </row>
    <row r="4163" spans="2:50">
      <c r="B4163" s="19"/>
      <c r="K4163" s="21"/>
      <c r="T4163" s="28"/>
      <c r="AS4163" s="24"/>
      <c r="AT4163" s="24"/>
      <c r="AU4163" s="24"/>
      <c r="AV4163" s="24"/>
      <c r="AX4163" s="29"/>
    </row>
    <row r="4164" spans="2:50">
      <c r="B4164" s="19"/>
      <c r="K4164" s="21"/>
      <c r="T4164" s="28"/>
      <c r="AS4164" s="24"/>
      <c r="AT4164" s="24"/>
      <c r="AU4164" s="24"/>
      <c r="AV4164" s="24"/>
      <c r="AX4164" s="29"/>
    </row>
    <row r="4165" spans="2:50">
      <c r="B4165" s="19"/>
      <c r="K4165" s="21"/>
      <c r="T4165" s="28"/>
      <c r="AS4165" s="24"/>
      <c r="AT4165" s="24"/>
      <c r="AU4165" s="24"/>
      <c r="AV4165" s="24"/>
      <c r="AX4165" s="29"/>
    </row>
    <row r="4166" spans="2:50">
      <c r="B4166" s="19"/>
      <c r="K4166" s="21"/>
      <c r="T4166" s="28"/>
      <c r="AS4166" s="24"/>
      <c r="AT4166" s="24"/>
      <c r="AU4166" s="24"/>
      <c r="AV4166" s="24"/>
      <c r="AX4166" s="29"/>
    </row>
    <row r="4167" spans="2:50">
      <c r="B4167" s="19"/>
      <c r="K4167" s="21"/>
      <c r="T4167" s="28"/>
      <c r="AS4167" s="24"/>
      <c r="AT4167" s="24"/>
      <c r="AU4167" s="24"/>
      <c r="AV4167" s="24"/>
      <c r="AX4167" s="29"/>
    </row>
    <row r="4168" spans="2:50">
      <c r="B4168" s="19"/>
      <c r="K4168" s="21"/>
      <c r="T4168" s="28"/>
      <c r="AS4168" s="24"/>
      <c r="AT4168" s="24"/>
      <c r="AU4168" s="24"/>
      <c r="AV4168" s="24"/>
      <c r="AX4168" s="29"/>
    </row>
    <row r="4169" spans="2:50">
      <c r="B4169" s="19"/>
      <c r="K4169" s="21"/>
      <c r="T4169" s="28"/>
      <c r="AS4169" s="24"/>
      <c r="AT4169" s="24"/>
      <c r="AU4169" s="24"/>
      <c r="AV4169" s="24"/>
      <c r="AX4169" s="29"/>
    </row>
    <row r="4170" spans="2:50">
      <c r="B4170" s="19"/>
      <c r="K4170" s="21"/>
      <c r="T4170" s="28"/>
      <c r="AS4170" s="24"/>
      <c r="AT4170" s="24"/>
      <c r="AU4170" s="24"/>
      <c r="AV4170" s="24"/>
      <c r="AX4170" s="29"/>
    </row>
    <row r="4171" spans="2:50">
      <c r="B4171" s="19"/>
      <c r="K4171" s="21"/>
      <c r="T4171" s="28"/>
      <c r="AS4171" s="24"/>
      <c r="AT4171" s="24"/>
      <c r="AU4171" s="24"/>
      <c r="AV4171" s="24"/>
      <c r="AX4171" s="29"/>
    </row>
    <row r="4172" spans="2:50">
      <c r="B4172" s="19"/>
      <c r="K4172" s="21"/>
      <c r="T4172" s="28"/>
      <c r="AS4172" s="24"/>
      <c r="AT4172" s="24"/>
      <c r="AU4172" s="24"/>
      <c r="AV4172" s="24"/>
      <c r="AX4172" s="29"/>
    </row>
    <row r="4173" spans="2:50">
      <c r="B4173" s="19"/>
      <c r="K4173" s="21"/>
      <c r="T4173" s="28"/>
      <c r="AS4173" s="24"/>
      <c r="AT4173" s="24"/>
      <c r="AU4173" s="24"/>
      <c r="AV4173" s="24"/>
      <c r="AX4173" s="29"/>
    </row>
    <row r="4174" spans="2:50">
      <c r="B4174" s="19"/>
      <c r="K4174" s="21"/>
      <c r="T4174" s="28"/>
      <c r="AS4174" s="24"/>
      <c r="AT4174" s="24"/>
      <c r="AU4174" s="24"/>
      <c r="AV4174" s="24"/>
      <c r="AX4174" s="29"/>
    </row>
    <row r="4175" spans="2:50">
      <c r="B4175" s="19"/>
      <c r="K4175" s="21"/>
      <c r="T4175" s="28"/>
      <c r="AS4175" s="24"/>
      <c r="AT4175" s="24"/>
      <c r="AU4175" s="24"/>
      <c r="AV4175" s="24"/>
      <c r="AX4175" s="29"/>
    </row>
    <row r="4176" spans="2:50">
      <c r="B4176" s="19"/>
      <c r="K4176" s="21"/>
      <c r="T4176" s="28"/>
      <c r="AS4176" s="24"/>
      <c r="AT4176" s="24"/>
      <c r="AU4176" s="24"/>
      <c r="AV4176" s="24"/>
      <c r="AX4176" s="29"/>
    </row>
    <row r="4177" spans="2:50">
      <c r="B4177" s="19"/>
      <c r="K4177" s="21"/>
      <c r="T4177" s="28"/>
      <c r="AS4177" s="24"/>
      <c r="AT4177" s="24"/>
      <c r="AU4177" s="24"/>
      <c r="AV4177" s="24"/>
      <c r="AX4177" s="29"/>
    </row>
    <row r="4178" spans="2:50">
      <c r="B4178" s="19"/>
      <c r="K4178" s="21"/>
      <c r="T4178" s="28"/>
      <c r="AS4178" s="24"/>
      <c r="AT4178" s="24"/>
      <c r="AU4178" s="24"/>
      <c r="AV4178" s="24"/>
      <c r="AX4178" s="29"/>
    </row>
    <row r="4179" spans="2:50">
      <c r="B4179" s="19"/>
      <c r="K4179" s="21"/>
      <c r="T4179" s="28"/>
      <c r="AS4179" s="24"/>
      <c r="AT4179" s="24"/>
      <c r="AU4179" s="24"/>
      <c r="AV4179" s="24"/>
      <c r="AX4179" s="29"/>
    </row>
    <row r="4180" spans="2:50">
      <c r="B4180" s="19"/>
      <c r="K4180" s="21"/>
      <c r="T4180" s="28"/>
      <c r="AS4180" s="24"/>
      <c r="AT4180" s="24"/>
      <c r="AU4180" s="24"/>
      <c r="AV4180" s="24"/>
      <c r="AX4180" s="29"/>
    </row>
    <row r="4181" spans="2:50">
      <c r="B4181" s="19"/>
      <c r="K4181" s="21"/>
      <c r="T4181" s="28"/>
      <c r="AS4181" s="24"/>
      <c r="AT4181" s="24"/>
      <c r="AU4181" s="24"/>
      <c r="AV4181" s="24"/>
      <c r="AX4181" s="29"/>
    </row>
    <row r="4182" spans="2:50">
      <c r="B4182" s="19"/>
      <c r="K4182" s="21"/>
      <c r="T4182" s="28"/>
      <c r="AS4182" s="24"/>
      <c r="AT4182" s="24"/>
      <c r="AU4182" s="24"/>
      <c r="AV4182" s="24"/>
      <c r="AX4182" s="29"/>
    </row>
    <row r="4183" spans="2:50">
      <c r="B4183" s="19"/>
      <c r="K4183" s="21"/>
      <c r="T4183" s="28"/>
      <c r="AS4183" s="24"/>
      <c r="AT4183" s="24"/>
      <c r="AU4183" s="24"/>
      <c r="AV4183" s="24"/>
      <c r="AX4183" s="29"/>
    </row>
    <row r="4184" spans="2:50">
      <c r="B4184" s="19"/>
      <c r="K4184" s="21"/>
      <c r="T4184" s="28"/>
      <c r="AS4184" s="24"/>
      <c r="AT4184" s="24"/>
      <c r="AU4184" s="24"/>
      <c r="AV4184" s="24"/>
      <c r="AX4184" s="29"/>
    </row>
    <row r="4185" spans="2:50">
      <c r="B4185" s="19"/>
      <c r="K4185" s="21"/>
      <c r="T4185" s="28"/>
      <c r="AS4185" s="24"/>
      <c r="AT4185" s="24"/>
      <c r="AU4185" s="24"/>
      <c r="AV4185" s="24"/>
      <c r="AX4185" s="29"/>
    </row>
    <row r="4186" spans="2:50">
      <c r="B4186" s="19"/>
      <c r="K4186" s="21"/>
      <c r="T4186" s="28"/>
      <c r="AS4186" s="24"/>
      <c r="AT4186" s="24"/>
      <c r="AU4186" s="24"/>
      <c r="AV4186" s="24"/>
      <c r="AX4186" s="29"/>
    </row>
    <row r="4187" spans="2:50">
      <c r="B4187" s="19"/>
      <c r="K4187" s="21"/>
      <c r="T4187" s="28"/>
      <c r="AS4187" s="24"/>
      <c r="AT4187" s="24"/>
      <c r="AU4187" s="24"/>
      <c r="AV4187" s="24"/>
      <c r="AX4187" s="29"/>
    </row>
    <row r="4188" spans="2:50">
      <c r="B4188" s="19"/>
      <c r="K4188" s="21"/>
      <c r="T4188" s="28"/>
      <c r="AS4188" s="24"/>
      <c r="AT4188" s="24"/>
      <c r="AU4188" s="24"/>
      <c r="AV4188" s="24"/>
      <c r="AX4188" s="29"/>
    </row>
    <row r="4189" spans="2:50">
      <c r="B4189" s="19"/>
      <c r="K4189" s="21"/>
      <c r="T4189" s="28"/>
      <c r="AS4189" s="24"/>
      <c r="AT4189" s="24"/>
      <c r="AU4189" s="24"/>
      <c r="AV4189" s="24"/>
      <c r="AX4189" s="29"/>
    </row>
    <row r="4190" spans="2:50">
      <c r="B4190" s="19"/>
      <c r="K4190" s="21"/>
      <c r="T4190" s="28"/>
      <c r="AS4190" s="24"/>
      <c r="AT4190" s="24"/>
      <c r="AU4190" s="24"/>
      <c r="AV4190" s="24"/>
      <c r="AX4190" s="29"/>
    </row>
    <row r="4191" spans="2:50">
      <c r="B4191" s="19"/>
      <c r="K4191" s="21"/>
      <c r="T4191" s="28"/>
      <c r="AS4191" s="24"/>
      <c r="AT4191" s="24"/>
      <c r="AU4191" s="24"/>
      <c r="AV4191" s="24"/>
      <c r="AX4191" s="29"/>
    </row>
    <row r="4192" spans="2:50">
      <c r="B4192" s="19"/>
      <c r="K4192" s="21"/>
      <c r="T4192" s="28"/>
      <c r="AS4192" s="24"/>
      <c r="AT4192" s="24"/>
      <c r="AU4192" s="24"/>
      <c r="AV4192" s="24"/>
      <c r="AX4192" s="29"/>
    </row>
    <row r="4193" spans="2:50">
      <c r="B4193" s="19"/>
      <c r="K4193" s="21"/>
      <c r="T4193" s="28"/>
      <c r="AS4193" s="24"/>
      <c r="AT4193" s="24"/>
      <c r="AU4193" s="24"/>
      <c r="AV4193" s="24"/>
      <c r="AX4193" s="29"/>
    </row>
    <row r="4194" spans="2:50">
      <c r="B4194" s="19"/>
      <c r="K4194" s="21"/>
      <c r="T4194" s="28"/>
      <c r="AS4194" s="24"/>
      <c r="AT4194" s="24"/>
      <c r="AU4194" s="24"/>
      <c r="AV4194" s="24"/>
      <c r="AX4194" s="29"/>
    </row>
    <row r="4195" spans="2:50">
      <c r="B4195" s="19"/>
      <c r="K4195" s="21"/>
      <c r="T4195" s="28"/>
      <c r="AS4195" s="24"/>
      <c r="AT4195" s="24"/>
      <c r="AU4195" s="24"/>
      <c r="AV4195" s="24"/>
      <c r="AX4195" s="29"/>
    </row>
    <row r="4196" spans="2:50">
      <c r="B4196" s="19"/>
      <c r="K4196" s="21"/>
      <c r="T4196" s="28"/>
      <c r="AS4196" s="24"/>
      <c r="AT4196" s="24"/>
      <c r="AU4196" s="24"/>
      <c r="AV4196" s="24"/>
      <c r="AX4196" s="29"/>
    </row>
    <row r="4197" spans="2:50">
      <c r="B4197" s="19"/>
      <c r="K4197" s="21"/>
      <c r="T4197" s="28"/>
      <c r="AS4197" s="24"/>
      <c r="AT4197" s="24"/>
      <c r="AU4197" s="24"/>
      <c r="AV4197" s="24"/>
      <c r="AX4197" s="29"/>
    </row>
    <row r="4198" spans="2:50">
      <c r="B4198" s="19"/>
      <c r="K4198" s="21"/>
      <c r="T4198" s="28"/>
      <c r="AS4198" s="24"/>
      <c r="AT4198" s="24"/>
      <c r="AU4198" s="24"/>
      <c r="AV4198" s="24"/>
      <c r="AX4198" s="29"/>
    </row>
    <row r="4199" spans="2:50">
      <c r="B4199" s="19"/>
      <c r="K4199" s="21"/>
      <c r="T4199" s="28"/>
      <c r="AS4199" s="24"/>
      <c r="AT4199" s="24"/>
      <c r="AU4199" s="24"/>
      <c r="AV4199" s="24"/>
      <c r="AX4199" s="29"/>
    </row>
    <row r="4200" spans="2:50">
      <c r="B4200" s="19"/>
      <c r="K4200" s="21"/>
      <c r="T4200" s="28"/>
      <c r="AS4200" s="24"/>
      <c r="AT4200" s="24"/>
      <c r="AU4200" s="24"/>
      <c r="AV4200" s="24"/>
      <c r="AX4200" s="29"/>
    </row>
    <row r="4201" spans="2:50">
      <c r="B4201" s="19"/>
      <c r="K4201" s="21"/>
      <c r="T4201" s="28"/>
      <c r="AS4201" s="24"/>
      <c r="AT4201" s="24"/>
      <c r="AU4201" s="24"/>
      <c r="AV4201" s="24"/>
      <c r="AX4201" s="29"/>
    </row>
    <row r="4202" spans="2:50">
      <c r="B4202" s="19"/>
      <c r="K4202" s="21"/>
      <c r="T4202" s="28"/>
      <c r="AS4202" s="24"/>
      <c r="AT4202" s="24"/>
      <c r="AU4202" s="24"/>
      <c r="AV4202" s="24"/>
      <c r="AX4202" s="29"/>
    </row>
    <row r="4203" spans="2:50">
      <c r="B4203" s="19"/>
      <c r="K4203" s="21"/>
      <c r="T4203" s="28"/>
      <c r="AS4203" s="24"/>
      <c r="AT4203" s="24"/>
      <c r="AU4203" s="24"/>
      <c r="AV4203" s="24"/>
      <c r="AX4203" s="29"/>
    </row>
    <row r="4204" spans="2:50">
      <c r="B4204" s="19"/>
      <c r="K4204" s="21"/>
      <c r="T4204" s="28"/>
      <c r="AS4204" s="24"/>
      <c r="AT4204" s="24"/>
      <c r="AU4204" s="24"/>
      <c r="AV4204" s="24"/>
      <c r="AX4204" s="29"/>
    </row>
    <row r="4205" spans="2:50">
      <c r="B4205" s="19"/>
      <c r="K4205" s="21"/>
      <c r="T4205" s="28"/>
      <c r="AS4205" s="24"/>
      <c r="AT4205" s="24"/>
      <c r="AU4205" s="24"/>
      <c r="AV4205" s="24"/>
      <c r="AX4205" s="29"/>
    </row>
    <row r="4206" spans="2:50">
      <c r="B4206" s="19"/>
      <c r="K4206" s="21"/>
      <c r="T4206" s="28"/>
      <c r="AS4206" s="24"/>
      <c r="AT4206" s="24"/>
      <c r="AU4206" s="24"/>
      <c r="AV4206" s="24"/>
      <c r="AX4206" s="29"/>
    </row>
    <row r="4207" spans="2:50">
      <c r="B4207" s="19"/>
      <c r="K4207" s="21"/>
      <c r="T4207" s="28"/>
      <c r="AS4207" s="24"/>
      <c r="AT4207" s="24"/>
      <c r="AU4207" s="24"/>
      <c r="AV4207" s="24"/>
      <c r="AX4207" s="29"/>
    </row>
    <row r="4208" spans="2:50">
      <c r="B4208" s="19"/>
      <c r="K4208" s="21"/>
      <c r="T4208" s="28"/>
      <c r="AS4208" s="24"/>
      <c r="AT4208" s="24"/>
      <c r="AU4208" s="24"/>
      <c r="AV4208" s="24"/>
      <c r="AX4208" s="29"/>
    </row>
    <row r="4209" spans="2:50">
      <c r="B4209" s="19"/>
      <c r="K4209" s="21"/>
      <c r="T4209" s="28"/>
      <c r="AS4209" s="24"/>
      <c r="AT4209" s="24"/>
      <c r="AU4209" s="24"/>
      <c r="AV4209" s="24"/>
      <c r="AX4209" s="29"/>
    </row>
    <row r="4210" spans="2:50">
      <c r="B4210" s="19"/>
      <c r="K4210" s="21"/>
      <c r="T4210" s="28"/>
      <c r="AS4210" s="24"/>
      <c r="AT4210" s="24"/>
      <c r="AU4210" s="24"/>
      <c r="AV4210" s="24"/>
      <c r="AX4210" s="29"/>
    </row>
    <row r="4211" spans="2:50">
      <c r="B4211" s="19"/>
      <c r="K4211" s="21"/>
      <c r="T4211" s="28"/>
      <c r="AS4211" s="24"/>
      <c r="AT4211" s="24"/>
      <c r="AU4211" s="24"/>
      <c r="AV4211" s="24"/>
      <c r="AX4211" s="29"/>
    </row>
    <row r="4212" spans="2:50">
      <c r="B4212" s="19"/>
      <c r="K4212" s="21"/>
      <c r="T4212" s="28"/>
      <c r="AS4212" s="24"/>
      <c r="AT4212" s="24"/>
      <c r="AU4212" s="24"/>
      <c r="AV4212" s="24"/>
      <c r="AX4212" s="29"/>
    </row>
    <row r="4213" spans="2:50">
      <c r="B4213" s="19"/>
      <c r="K4213" s="21"/>
      <c r="T4213" s="28"/>
      <c r="AS4213" s="24"/>
      <c r="AT4213" s="24"/>
      <c r="AU4213" s="24"/>
      <c r="AV4213" s="24"/>
      <c r="AX4213" s="29"/>
    </row>
    <row r="4214" spans="2:50">
      <c r="B4214" s="19"/>
      <c r="K4214" s="21"/>
      <c r="T4214" s="28"/>
      <c r="AS4214" s="24"/>
      <c r="AT4214" s="24"/>
      <c r="AU4214" s="24"/>
      <c r="AV4214" s="24"/>
      <c r="AX4214" s="29"/>
    </row>
    <row r="4215" spans="2:50">
      <c r="B4215" s="19"/>
      <c r="K4215" s="21"/>
      <c r="T4215" s="28"/>
      <c r="AS4215" s="24"/>
      <c r="AT4215" s="24"/>
      <c r="AU4215" s="24"/>
      <c r="AV4215" s="24"/>
      <c r="AX4215" s="29"/>
    </row>
    <row r="4216" spans="2:50">
      <c r="B4216" s="19"/>
      <c r="K4216" s="21"/>
      <c r="T4216" s="28"/>
      <c r="AS4216" s="24"/>
      <c r="AT4216" s="24"/>
      <c r="AU4216" s="24"/>
      <c r="AV4216" s="24"/>
      <c r="AX4216" s="29"/>
    </row>
    <row r="4217" spans="2:50">
      <c r="B4217" s="19"/>
      <c r="K4217" s="21"/>
      <c r="T4217" s="28"/>
      <c r="AS4217" s="24"/>
      <c r="AT4217" s="24"/>
      <c r="AU4217" s="24"/>
      <c r="AV4217" s="24"/>
      <c r="AX4217" s="29"/>
    </row>
    <row r="4218" spans="2:50">
      <c r="B4218" s="19"/>
      <c r="K4218" s="21"/>
      <c r="T4218" s="28"/>
      <c r="AS4218" s="24"/>
      <c r="AT4218" s="24"/>
      <c r="AU4218" s="24"/>
      <c r="AV4218" s="24"/>
      <c r="AX4218" s="29"/>
    </row>
    <row r="4219" spans="2:50">
      <c r="B4219" s="19"/>
      <c r="K4219" s="21"/>
      <c r="T4219" s="28"/>
      <c r="AS4219" s="24"/>
      <c r="AT4219" s="24"/>
      <c r="AU4219" s="24"/>
      <c r="AV4219" s="24"/>
      <c r="AX4219" s="29"/>
    </row>
    <row r="4220" spans="2:50">
      <c r="B4220" s="19"/>
      <c r="K4220" s="21"/>
      <c r="T4220" s="28"/>
      <c r="AS4220" s="24"/>
      <c r="AT4220" s="24"/>
      <c r="AU4220" s="24"/>
      <c r="AV4220" s="24"/>
      <c r="AX4220" s="29"/>
    </row>
    <row r="4221" spans="2:50">
      <c r="B4221" s="19"/>
      <c r="K4221" s="21"/>
      <c r="T4221" s="28"/>
      <c r="AS4221" s="24"/>
      <c r="AT4221" s="24"/>
      <c r="AU4221" s="24"/>
      <c r="AV4221" s="24"/>
      <c r="AX4221" s="29"/>
    </row>
    <row r="4222" spans="2:50">
      <c r="B4222" s="19"/>
      <c r="K4222" s="21"/>
      <c r="T4222" s="28"/>
      <c r="AS4222" s="24"/>
      <c r="AT4222" s="24"/>
      <c r="AU4222" s="24"/>
      <c r="AV4222" s="24"/>
      <c r="AX4222" s="29"/>
    </row>
    <row r="4223" spans="2:50">
      <c r="B4223" s="19"/>
      <c r="K4223" s="21"/>
      <c r="T4223" s="28"/>
      <c r="AS4223" s="24"/>
      <c r="AT4223" s="24"/>
      <c r="AU4223" s="24"/>
      <c r="AV4223" s="24"/>
      <c r="AX4223" s="29"/>
    </row>
    <row r="4224" spans="2:50">
      <c r="B4224" s="19"/>
      <c r="K4224" s="21"/>
      <c r="T4224" s="28"/>
      <c r="AS4224" s="24"/>
      <c r="AT4224" s="24"/>
      <c r="AU4224" s="24"/>
      <c r="AV4224" s="24"/>
      <c r="AX4224" s="29"/>
    </row>
    <row r="4225" spans="2:50">
      <c r="B4225" s="19"/>
      <c r="K4225" s="21"/>
      <c r="T4225" s="28"/>
      <c r="AS4225" s="24"/>
      <c r="AT4225" s="24"/>
      <c r="AU4225" s="24"/>
      <c r="AV4225" s="24"/>
      <c r="AX4225" s="29"/>
    </row>
    <row r="4226" spans="2:50">
      <c r="B4226" s="19"/>
      <c r="K4226" s="21"/>
      <c r="T4226" s="28"/>
      <c r="AS4226" s="24"/>
      <c r="AT4226" s="24"/>
      <c r="AU4226" s="24"/>
      <c r="AV4226" s="24"/>
      <c r="AX4226" s="29"/>
    </row>
    <row r="4227" spans="2:50">
      <c r="B4227" s="19"/>
      <c r="K4227" s="21"/>
      <c r="T4227" s="28"/>
      <c r="AS4227" s="24"/>
      <c r="AT4227" s="24"/>
      <c r="AU4227" s="24"/>
      <c r="AV4227" s="24"/>
      <c r="AX4227" s="29"/>
    </row>
    <row r="4228" spans="2:50">
      <c r="B4228" s="19"/>
      <c r="K4228" s="21"/>
      <c r="T4228" s="28"/>
      <c r="AS4228" s="24"/>
      <c r="AT4228" s="24"/>
      <c r="AU4228" s="24"/>
      <c r="AV4228" s="24"/>
      <c r="AX4228" s="29"/>
    </row>
    <row r="4229" spans="2:50">
      <c r="B4229" s="19"/>
      <c r="K4229" s="21"/>
      <c r="T4229" s="28"/>
      <c r="AS4229" s="24"/>
      <c r="AT4229" s="24"/>
      <c r="AU4229" s="24"/>
      <c r="AV4229" s="24"/>
      <c r="AX4229" s="29"/>
    </row>
    <row r="4230" spans="2:50">
      <c r="B4230" s="19"/>
      <c r="K4230" s="21"/>
      <c r="T4230" s="28"/>
      <c r="AS4230" s="24"/>
      <c r="AT4230" s="24"/>
      <c r="AU4230" s="24"/>
      <c r="AV4230" s="24"/>
      <c r="AX4230" s="29"/>
    </row>
    <row r="4231" spans="2:50">
      <c r="B4231" s="19"/>
      <c r="K4231" s="21"/>
      <c r="T4231" s="28"/>
      <c r="AS4231" s="24"/>
      <c r="AT4231" s="24"/>
      <c r="AU4231" s="24"/>
      <c r="AV4231" s="24"/>
      <c r="AX4231" s="29"/>
    </row>
    <row r="4232" spans="2:50">
      <c r="B4232" s="19"/>
      <c r="K4232" s="21"/>
      <c r="T4232" s="28"/>
      <c r="AS4232" s="24"/>
      <c r="AT4232" s="24"/>
      <c r="AU4232" s="24"/>
      <c r="AV4232" s="24"/>
      <c r="AX4232" s="29"/>
    </row>
    <row r="4233" spans="2:50">
      <c r="B4233" s="19"/>
      <c r="K4233" s="21"/>
      <c r="T4233" s="28"/>
      <c r="AS4233" s="24"/>
      <c r="AT4233" s="24"/>
      <c r="AU4233" s="24"/>
      <c r="AV4233" s="24"/>
      <c r="AX4233" s="29"/>
    </row>
    <row r="4234" spans="2:50">
      <c r="B4234" s="19"/>
      <c r="K4234" s="21"/>
      <c r="T4234" s="28"/>
      <c r="AS4234" s="24"/>
      <c r="AT4234" s="24"/>
      <c r="AU4234" s="24"/>
      <c r="AV4234" s="24"/>
      <c r="AX4234" s="29"/>
    </row>
    <row r="4235" spans="2:50">
      <c r="B4235" s="19"/>
      <c r="K4235" s="21"/>
      <c r="T4235" s="28"/>
      <c r="AS4235" s="24"/>
      <c r="AT4235" s="24"/>
      <c r="AU4235" s="24"/>
      <c r="AV4235" s="24"/>
      <c r="AX4235" s="29"/>
    </row>
    <row r="4236" spans="2:50">
      <c r="B4236" s="19"/>
      <c r="K4236" s="21"/>
      <c r="T4236" s="28"/>
      <c r="AS4236" s="24"/>
      <c r="AT4236" s="24"/>
      <c r="AU4236" s="24"/>
      <c r="AV4236" s="24"/>
      <c r="AX4236" s="29"/>
    </row>
    <row r="4237" spans="2:50">
      <c r="B4237" s="19"/>
      <c r="K4237" s="21"/>
      <c r="T4237" s="28"/>
      <c r="AS4237" s="24"/>
      <c r="AT4237" s="24"/>
      <c r="AU4237" s="24"/>
      <c r="AV4237" s="24"/>
      <c r="AX4237" s="29"/>
    </row>
    <row r="4238" spans="2:50">
      <c r="B4238" s="19"/>
      <c r="K4238" s="21"/>
      <c r="T4238" s="28"/>
      <c r="AS4238" s="24"/>
      <c r="AT4238" s="24"/>
      <c r="AU4238" s="24"/>
      <c r="AV4238" s="24"/>
      <c r="AX4238" s="29"/>
    </row>
    <row r="4239" spans="2:50">
      <c r="B4239" s="19"/>
      <c r="K4239" s="21"/>
      <c r="T4239" s="28"/>
      <c r="AS4239" s="24"/>
      <c r="AT4239" s="24"/>
      <c r="AU4239" s="24"/>
      <c r="AV4239" s="24"/>
      <c r="AX4239" s="29"/>
    </row>
    <row r="4240" spans="2:50">
      <c r="B4240" s="19"/>
      <c r="K4240" s="21"/>
      <c r="T4240" s="28"/>
      <c r="AS4240" s="24"/>
      <c r="AT4240" s="24"/>
      <c r="AU4240" s="24"/>
      <c r="AV4240" s="24"/>
      <c r="AX4240" s="29"/>
    </row>
    <row r="4241" spans="2:50">
      <c r="B4241" s="19"/>
      <c r="K4241" s="21"/>
      <c r="T4241" s="28"/>
      <c r="AS4241" s="24"/>
      <c r="AT4241" s="24"/>
      <c r="AU4241" s="24"/>
      <c r="AV4241" s="24"/>
      <c r="AX4241" s="29"/>
    </row>
    <row r="4242" spans="2:50">
      <c r="B4242" s="19"/>
      <c r="K4242" s="21"/>
      <c r="T4242" s="28"/>
      <c r="AS4242" s="24"/>
      <c r="AT4242" s="24"/>
      <c r="AU4242" s="24"/>
      <c r="AV4242" s="24"/>
      <c r="AX4242" s="29"/>
    </row>
    <row r="4243" spans="2:50">
      <c r="B4243" s="19"/>
      <c r="K4243" s="21"/>
      <c r="T4243" s="28"/>
      <c r="AS4243" s="24"/>
      <c r="AT4243" s="24"/>
      <c r="AU4243" s="24"/>
      <c r="AV4243" s="24"/>
      <c r="AX4243" s="29"/>
    </row>
    <row r="4244" spans="2:50">
      <c r="B4244" s="19"/>
      <c r="K4244" s="21"/>
      <c r="T4244" s="28"/>
      <c r="AS4244" s="24"/>
      <c r="AT4244" s="24"/>
      <c r="AU4244" s="24"/>
      <c r="AV4244" s="24"/>
      <c r="AX4244" s="29"/>
    </row>
    <row r="4245" spans="2:50">
      <c r="B4245" s="19"/>
      <c r="K4245" s="21"/>
      <c r="T4245" s="28"/>
      <c r="AS4245" s="24"/>
      <c r="AT4245" s="24"/>
      <c r="AU4245" s="24"/>
      <c r="AV4245" s="24"/>
      <c r="AX4245" s="29"/>
    </row>
    <row r="4246" spans="2:50">
      <c r="B4246" s="19"/>
      <c r="K4246" s="21"/>
      <c r="T4246" s="28"/>
      <c r="AS4246" s="24"/>
      <c r="AT4246" s="24"/>
      <c r="AU4246" s="24"/>
      <c r="AV4246" s="24"/>
      <c r="AX4246" s="29"/>
    </row>
    <row r="4247" spans="2:50">
      <c r="B4247" s="19"/>
      <c r="K4247" s="21"/>
      <c r="T4247" s="28"/>
      <c r="AS4247" s="24"/>
      <c r="AT4247" s="24"/>
      <c r="AU4247" s="24"/>
      <c r="AV4247" s="24"/>
      <c r="AX4247" s="29"/>
    </row>
    <row r="4248" spans="2:50">
      <c r="B4248" s="19"/>
      <c r="K4248" s="21"/>
      <c r="T4248" s="28"/>
      <c r="AS4248" s="24"/>
      <c r="AT4248" s="24"/>
      <c r="AU4248" s="24"/>
      <c r="AV4248" s="24"/>
      <c r="AX4248" s="29"/>
    </row>
    <row r="4249" spans="2:50">
      <c r="B4249" s="19"/>
      <c r="K4249" s="21"/>
      <c r="T4249" s="28"/>
      <c r="AS4249" s="24"/>
      <c r="AT4249" s="24"/>
      <c r="AU4249" s="24"/>
      <c r="AV4249" s="24"/>
      <c r="AX4249" s="29"/>
    </row>
    <row r="4250" spans="2:50">
      <c r="B4250" s="19"/>
      <c r="K4250" s="21"/>
      <c r="T4250" s="28"/>
      <c r="AS4250" s="24"/>
      <c r="AT4250" s="24"/>
      <c r="AU4250" s="24"/>
      <c r="AV4250" s="24"/>
      <c r="AX4250" s="29"/>
    </row>
    <row r="4251" spans="2:50">
      <c r="B4251" s="19"/>
      <c r="K4251" s="21"/>
      <c r="T4251" s="28"/>
      <c r="AS4251" s="24"/>
      <c r="AT4251" s="24"/>
      <c r="AU4251" s="24"/>
      <c r="AV4251" s="24"/>
      <c r="AX4251" s="29"/>
    </row>
    <row r="4252" spans="2:50">
      <c r="B4252" s="19"/>
      <c r="K4252" s="21"/>
      <c r="T4252" s="28"/>
      <c r="AS4252" s="24"/>
      <c r="AT4252" s="24"/>
      <c r="AU4252" s="24"/>
      <c r="AV4252" s="24"/>
      <c r="AX4252" s="29"/>
    </row>
    <row r="4253" spans="2:50">
      <c r="B4253" s="19"/>
      <c r="K4253" s="21"/>
      <c r="T4253" s="28"/>
      <c r="AS4253" s="24"/>
      <c r="AT4253" s="24"/>
      <c r="AU4253" s="24"/>
      <c r="AV4253" s="24"/>
      <c r="AX4253" s="29"/>
    </row>
    <row r="4254" spans="2:50">
      <c r="B4254" s="19"/>
      <c r="K4254" s="21"/>
      <c r="T4254" s="28"/>
      <c r="AS4254" s="24"/>
      <c r="AT4254" s="24"/>
      <c r="AU4254" s="24"/>
      <c r="AV4254" s="24"/>
      <c r="AX4254" s="29"/>
    </row>
    <row r="4255" spans="2:50">
      <c r="B4255" s="19"/>
      <c r="K4255" s="21"/>
      <c r="T4255" s="28"/>
      <c r="AS4255" s="24"/>
      <c r="AT4255" s="24"/>
      <c r="AU4255" s="24"/>
      <c r="AV4255" s="24"/>
      <c r="AX4255" s="29"/>
    </row>
    <row r="4256" spans="2:50">
      <c r="B4256" s="19"/>
      <c r="K4256" s="21"/>
      <c r="T4256" s="28"/>
      <c r="AS4256" s="24"/>
      <c r="AT4256" s="24"/>
      <c r="AU4256" s="24"/>
      <c r="AV4256" s="24"/>
      <c r="AX4256" s="29"/>
    </row>
    <row r="4257" spans="2:50">
      <c r="B4257" s="19"/>
      <c r="K4257" s="21"/>
      <c r="T4257" s="28"/>
      <c r="AS4257" s="24"/>
      <c r="AT4257" s="24"/>
      <c r="AU4257" s="24"/>
      <c r="AV4257" s="24"/>
      <c r="AX4257" s="29"/>
    </row>
    <row r="4258" spans="2:50">
      <c r="B4258" s="19"/>
      <c r="K4258" s="21"/>
      <c r="T4258" s="28"/>
      <c r="AS4258" s="24"/>
      <c r="AT4258" s="24"/>
      <c r="AU4258" s="24"/>
      <c r="AV4258" s="24"/>
      <c r="AX4258" s="29"/>
    </row>
    <row r="4259" spans="2:50">
      <c r="B4259" s="19"/>
      <c r="K4259" s="21"/>
      <c r="T4259" s="28"/>
      <c r="AS4259" s="24"/>
      <c r="AT4259" s="24"/>
      <c r="AU4259" s="24"/>
      <c r="AV4259" s="24"/>
      <c r="AX4259" s="29"/>
    </row>
    <row r="4260" spans="2:50">
      <c r="B4260" s="19"/>
      <c r="K4260" s="21"/>
      <c r="T4260" s="28"/>
      <c r="AS4260" s="24"/>
      <c r="AT4260" s="24"/>
      <c r="AU4260" s="24"/>
      <c r="AV4260" s="24"/>
      <c r="AX4260" s="29"/>
    </row>
    <row r="4261" spans="2:50">
      <c r="B4261" s="19"/>
      <c r="K4261" s="21"/>
      <c r="T4261" s="28"/>
      <c r="AS4261" s="24"/>
      <c r="AT4261" s="24"/>
      <c r="AU4261" s="24"/>
      <c r="AV4261" s="24"/>
      <c r="AX4261" s="29"/>
    </row>
    <row r="4262" spans="2:50">
      <c r="B4262" s="19"/>
      <c r="K4262" s="21"/>
      <c r="T4262" s="28"/>
      <c r="AS4262" s="24"/>
      <c r="AT4262" s="24"/>
      <c r="AU4262" s="24"/>
      <c r="AV4262" s="24"/>
      <c r="AX4262" s="29"/>
    </row>
    <row r="4263" spans="2:50">
      <c r="B4263" s="19"/>
      <c r="K4263" s="21"/>
      <c r="T4263" s="28"/>
      <c r="AS4263" s="24"/>
      <c r="AT4263" s="24"/>
      <c r="AU4263" s="24"/>
      <c r="AV4263" s="24"/>
      <c r="AX4263" s="29"/>
    </row>
    <row r="4264" spans="2:50">
      <c r="B4264" s="19"/>
      <c r="K4264" s="21"/>
      <c r="T4264" s="28"/>
      <c r="AS4264" s="24"/>
      <c r="AT4264" s="24"/>
      <c r="AU4264" s="24"/>
      <c r="AV4264" s="24"/>
      <c r="AX4264" s="29"/>
    </row>
    <row r="4265" spans="2:50">
      <c r="B4265" s="19"/>
      <c r="K4265" s="21"/>
      <c r="T4265" s="28"/>
      <c r="AS4265" s="24"/>
      <c r="AT4265" s="24"/>
      <c r="AU4265" s="24"/>
      <c r="AV4265" s="24"/>
      <c r="AX4265" s="29"/>
    </row>
    <row r="4266" spans="2:50">
      <c r="B4266" s="19"/>
      <c r="K4266" s="21"/>
      <c r="T4266" s="28"/>
      <c r="AS4266" s="24"/>
      <c r="AT4266" s="24"/>
      <c r="AU4266" s="24"/>
      <c r="AV4266" s="24"/>
      <c r="AX4266" s="29"/>
    </row>
    <row r="4267" spans="2:50">
      <c r="B4267" s="19"/>
      <c r="K4267" s="21"/>
      <c r="T4267" s="28"/>
      <c r="AS4267" s="24"/>
      <c r="AT4267" s="24"/>
      <c r="AU4267" s="24"/>
      <c r="AV4267" s="24"/>
      <c r="AX4267" s="29"/>
    </row>
    <row r="4268" spans="2:50">
      <c r="B4268" s="19"/>
      <c r="K4268" s="21"/>
      <c r="T4268" s="28"/>
      <c r="AS4268" s="24"/>
      <c r="AT4268" s="24"/>
      <c r="AU4268" s="24"/>
      <c r="AV4268" s="24"/>
      <c r="AX4268" s="29"/>
    </row>
    <row r="4269" spans="2:50">
      <c r="B4269" s="19"/>
      <c r="K4269" s="21"/>
      <c r="T4269" s="28"/>
      <c r="AS4269" s="24"/>
      <c r="AT4269" s="24"/>
      <c r="AU4269" s="24"/>
      <c r="AV4269" s="24"/>
      <c r="AX4269" s="29"/>
    </row>
    <row r="4270" spans="2:50">
      <c r="B4270" s="19"/>
      <c r="K4270" s="21"/>
      <c r="T4270" s="28"/>
      <c r="AS4270" s="24"/>
      <c r="AT4270" s="24"/>
      <c r="AU4270" s="24"/>
      <c r="AV4270" s="24"/>
      <c r="AX4270" s="29"/>
    </row>
    <row r="4271" spans="2:50">
      <c r="B4271" s="19"/>
      <c r="K4271" s="21"/>
      <c r="T4271" s="28"/>
      <c r="AS4271" s="24"/>
      <c r="AT4271" s="24"/>
      <c r="AU4271" s="24"/>
      <c r="AV4271" s="24"/>
      <c r="AX4271" s="29"/>
    </row>
    <row r="4272" spans="2:50">
      <c r="B4272" s="19"/>
      <c r="K4272" s="21"/>
      <c r="T4272" s="28"/>
      <c r="AS4272" s="24"/>
      <c r="AT4272" s="24"/>
      <c r="AU4272" s="24"/>
      <c r="AV4272" s="24"/>
      <c r="AX4272" s="29"/>
    </row>
    <row r="4273" spans="2:50">
      <c r="B4273" s="19"/>
      <c r="K4273" s="21"/>
      <c r="T4273" s="28"/>
      <c r="AS4273" s="24"/>
      <c r="AT4273" s="24"/>
      <c r="AU4273" s="24"/>
      <c r="AV4273" s="24"/>
      <c r="AX4273" s="29"/>
    </row>
    <row r="4274" spans="2:50">
      <c r="B4274" s="19"/>
      <c r="K4274" s="21"/>
      <c r="T4274" s="28"/>
      <c r="AS4274" s="24"/>
      <c r="AT4274" s="24"/>
      <c r="AU4274" s="24"/>
      <c r="AV4274" s="24"/>
      <c r="AX4274" s="29"/>
    </row>
    <row r="4275" spans="2:50">
      <c r="B4275" s="19"/>
      <c r="K4275" s="21"/>
      <c r="T4275" s="28"/>
      <c r="AS4275" s="24"/>
      <c r="AT4275" s="24"/>
      <c r="AU4275" s="24"/>
      <c r="AV4275" s="24"/>
      <c r="AX4275" s="29"/>
    </row>
    <row r="4276" spans="2:50">
      <c r="B4276" s="19"/>
      <c r="K4276" s="21"/>
      <c r="T4276" s="28"/>
      <c r="AS4276" s="24"/>
      <c r="AT4276" s="24"/>
      <c r="AU4276" s="24"/>
      <c r="AV4276" s="24"/>
      <c r="AX4276" s="29"/>
    </row>
    <row r="4277" spans="2:50">
      <c r="B4277" s="19"/>
      <c r="K4277" s="21"/>
      <c r="T4277" s="28"/>
      <c r="AS4277" s="24"/>
      <c r="AT4277" s="24"/>
      <c r="AU4277" s="24"/>
      <c r="AV4277" s="24"/>
      <c r="AX4277" s="29"/>
    </row>
    <row r="4278" spans="2:50">
      <c r="B4278" s="19"/>
      <c r="K4278" s="21"/>
      <c r="T4278" s="28"/>
      <c r="AS4278" s="24"/>
      <c r="AT4278" s="24"/>
      <c r="AU4278" s="24"/>
      <c r="AV4278" s="24"/>
      <c r="AX4278" s="29"/>
    </row>
    <row r="4279" spans="2:50">
      <c r="B4279" s="19"/>
      <c r="K4279" s="21"/>
      <c r="T4279" s="28"/>
      <c r="AS4279" s="24"/>
      <c r="AT4279" s="24"/>
      <c r="AU4279" s="24"/>
      <c r="AV4279" s="24"/>
      <c r="AX4279" s="29"/>
    </row>
    <row r="4280" spans="2:50">
      <c r="B4280" s="19"/>
      <c r="K4280" s="21"/>
      <c r="T4280" s="28"/>
      <c r="AS4280" s="24"/>
      <c r="AT4280" s="24"/>
      <c r="AU4280" s="24"/>
      <c r="AV4280" s="24"/>
      <c r="AX4280" s="29"/>
    </row>
    <row r="4281" spans="2:50">
      <c r="B4281" s="19"/>
      <c r="K4281" s="21"/>
      <c r="T4281" s="28"/>
      <c r="AS4281" s="24"/>
      <c r="AT4281" s="24"/>
      <c r="AU4281" s="24"/>
      <c r="AV4281" s="24"/>
      <c r="AX4281" s="29"/>
    </row>
    <row r="4282" spans="2:50">
      <c r="B4282" s="19"/>
      <c r="K4282" s="21"/>
      <c r="T4282" s="28"/>
      <c r="AS4282" s="24"/>
      <c r="AT4282" s="24"/>
      <c r="AU4282" s="24"/>
      <c r="AV4282" s="24"/>
      <c r="AX4282" s="29"/>
    </row>
    <row r="4283" spans="2:50">
      <c r="B4283" s="19"/>
      <c r="K4283" s="21"/>
      <c r="T4283" s="28"/>
      <c r="AS4283" s="24"/>
      <c r="AT4283" s="24"/>
      <c r="AU4283" s="24"/>
      <c r="AV4283" s="24"/>
      <c r="AX4283" s="29"/>
    </row>
    <row r="4284" spans="2:50">
      <c r="B4284" s="19"/>
      <c r="K4284" s="21"/>
      <c r="T4284" s="28"/>
      <c r="AS4284" s="24"/>
      <c r="AT4284" s="24"/>
      <c r="AU4284" s="24"/>
      <c r="AV4284" s="24"/>
      <c r="AX4284" s="29"/>
    </row>
    <row r="4285" spans="2:50">
      <c r="B4285" s="19"/>
      <c r="K4285" s="21"/>
      <c r="T4285" s="28"/>
      <c r="AS4285" s="24"/>
      <c r="AT4285" s="24"/>
      <c r="AU4285" s="24"/>
      <c r="AV4285" s="24"/>
      <c r="AX4285" s="29"/>
    </row>
    <row r="4286" spans="2:50">
      <c r="B4286" s="19"/>
      <c r="K4286" s="21"/>
      <c r="T4286" s="28"/>
      <c r="AS4286" s="24"/>
      <c r="AT4286" s="24"/>
      <c r="AU4286" s="24"/>
      <c r="AV4286" s="24"/>
      <c r="AX4286" s="29"/>
    </row>
    <row r="4287" spans="2:50">
      <c r="B4287" s="19"/>
      <c r="K4287" s="21"/>
      <c r="T4287" s="28"/>
      <c r="AS4287" s="24"/>
      <c r="AT4287" s="24"/>
      <c r="AU4287" s="24"/>
      <c r="AV4287" s="24"/>
      <c r="AX4287" s="29"/>
    </row>
    <row r="4288" spans="2:50">
      <c r="B4288" s="19"/>
      <c r="K4288" s="21"/>
      <c r="T4288" s="28"/>
      <c r="AS4288" s="24"/>
      <c r="AT4288" s="24"/>
      <c r="AU4288" s="24"/>
      <c r="AV4288" s="24"/>
      <c r="AX4288" s="29"/>
    </row>
    <row r="4289" spans="2:50">
      <c r="B4289" s="19"/>
      <c r="K4289" s="21"/>
      <c r="T4289" s="28"/>
      <c r="AS4289" s="24"/>
      <c r="AT4289" s="24"/>
      <c r="AU4289" s="24"/>
      <c r="AV4289" s="24"/>
      <c r="AX4289" s="29"/>
    </row>
    <row r="4290" spans="2:50">
      <c r="B4290" s="19"/>
      <c r="K4290" s="21"/>
      <c r="T4290" s="28"/>
      <c r="AS4290" s="24"/>
      <c r="AT4290" s="24"/>
      <c r="AU4290" s="24"/>
      <c r="AV4290" s="24"/>
      <c r="AX4290" s="29"/>
    </row>
    <row r="4291" spans="2:50">
      <c r="B4291" s="19"/>
      <c r="K4291" s="21"/>
      <c r="T4291" s="28"/>
      <c r="AS4291" s="24"/>
      <c r="AT4291" s="24"/>
      <c r="AU4291" s="24"/>
      <c r="AV4291" s="24"/>
      <c r="AX4291" s="29"/>
    </row>
    <row r="4292" spans="2:50">
      <c r="B4292" s="19"/>
      <c r="K4292" s="21"/>
      <c r="T4292" s="28"/>
      <c r="AS4292" s="24"/>
      <c r="AT4292" s="24"/>
      <c r="AU4292" s="24"/>
      <c r="AV4292" s="24"/>
      <c r="AX4292" s="29"/>
    </row>
    <row r="4293" spans="2:50">
      <c r="B4293" s="19"/>
      <c r="K4293" s="21"/>
      <c r="T4293" s="28"/>
      <c r="AS4293" s="24"/>
      <c r="AT4293" s="24"/>
      <c r="AU4293" s="24"/>
      <c r="AV4293" s="24"/>
      <c r="AX4293" s="29"/>
    </row>
    <row r="4294" spans="2:50">
      <c r="B4294" s="19"/>
      <c r="K4294" s="21"/>
      <c r="T4294" s="28"/>
      <c r="AS4294" s="24"/>
      <c r="AT4294" s="24"/>
      <c r="AU4294" s="24"/>
      <c r="AV4294" s="24"/>
      <c r="AX4294" s="29"/>
    </row>
    <row r="4295" spans="2:50">
      <c r="B4295" s="19"/>
      <c r="K4295" s="21"/>
      <c r="T4295" s="28"/>
      <c r="AS4295" s="24"/>
      <c r="AT4295" s="24"/>
      <c r="AU4295" s="24"/>
      <c r="AV4295" s="24"/>
      <c r="AX4295" s="29"/>
    </row>
    <row r="4296" spans="2:50">
      <c r="B4296" s="19"/>
      <c r="K4296" s="21"/>
      <c r="T4296" s="28"/>
      <c r="AS4296" s="24"/>
      <c r="AT4296" s="24"/>
      <c r="AU4296" s="24"/>
      <c r="AV4296" s="24"/>
      <c r="AX4296" s="29"/>
    </row>
    <row r="4297" spans="2:50">
      <c r="B4297" s="19"/>
      <c r="K4297" s="21"/>
      <c r="T4297" s="28"/>
      <c r="AS4297" s="24"/>
      <c r="AT4297" s="24"/>
      <c r="AU4297" s="24"/>
      <c r="AV4297" s="24"/>
      <c r="AX4297" s="29"/>
    </row>
    <row r="4298" spans="2:50">
      <c r="B4298" s="19"/>
      <c r="K4298" s="21"/>
      <c r="T4298" s="28"/>
      <c r="AS4298" s="24"/>
      <c r="AT4298" s="24"/>
      <c r="AU4298" s="24"/>
      <c r="AV4298" s="24"/>
      <c r="AX4298" s="29"/>
    </row>
    <row r="4299" spans="2:50">
      <c r="B4299" s="19"/>
      <c r="K4299" s="21"/>
      <c r="T4299" s="28"/>
      <c r="AS4299" s="24"/>
      <c r="AT4299" s="24"/>
      <c r="AU4299" s="24"/>
      <c r="AV4299" s="24"/>
      <c r="AX4299" s="29"/>
    </row>
    <row r="4300" spans="2:50">
      <c r="B4300" s="19"/>
      <c r="K4300" s="21"/>
      <c r="T4300" s="28"/>
      <c r="AS4300" s="24"/>
      <c r="AT4300" s="24"/>
      <c r="AU4300" s="24"/>
      <c r="AV4300" s="24"/>
      <c r="AX4300" s="29"/>
    </row>
    <row r="4301" spans="2:50">
      <c r="B4301" s="19"/>
      <c r="K4301" s="21"/>
      <c r="T4301" s="28"/>
      <c r="AS4301" s="24"/>
      <c r="AT4301" s="24"/>
      <c r="AU4301" s="24"/>
      <c r="AV4301" s="24"/>
      <c r="AX4301" s="29"/>
    </row>
    <row r="4302" spans="2:50">
      <c r="B4302" s="19"/>
      <c r="K4302" s="21"/>
      <c r="T4302" s="28"/>
      <c r="AS4302" s="24"/>
      <c r="AT4302" s="24"/>
      <c r="AU4302" s="24"/>
      <c r="AV4302" s="24"/>
      <c r="AX4302" s="29"/>
    </row>
    <row r="4303" spans="2:50">
      <c r="B4303" s="19"/>
      <c r="K4303" s="21"/>
      <c r="T4303" s="28"/>
      <c r="AS4303" s="24"/>
      <c r="AT4303" s="24"/>
      <c r="AU4303" s="24"/>
      <c r="AV4303" s="24"/>
      <c r="AX4303" s="29"/>
    </row>
    <row r="4304" spans="2:50">
      <c r="B4304" s="19"/>
      <c r="K4304" s="21"/>
      <c r="T4304" s="28"/>
      <c r="AS4304" s="24"/>
      <c r="AT4304" s="24"/>
      <c r="AU4304" s="24"/>
      <c r="AV4304" s="24"/>
      <c r="AX4304" s="29"/>
    </row>
    <row r="4305" spans="2:50">
      <c r="B4305" s="19"/>
      <c r="K4305" s="21"/>
      <c r="T4305" s="28"/>
      <c r="AS4305" s="24"/>
      <c r="AT4305" s="24"/>
      <c r="AU4305" s="24"/>
      <c r="AV4305" s="24"/>
      <c r="AX4305" s="29"/>
    </row>
    <row r="4306" spans="2:50">
      <c r="B4306" s="19"/>
      <c r="K4306" s="21"/>
      <c r="T4306" s="28"/>
      <c r="AS4306" s="24"/>
      <c r="AT4306" s="24"/>
      <c r="AU4306" s="24"/>
      <c r="AV4306" s="24"/>
      <c r="AX4306" s="29"/>
    </row>
    <row r="4307" spans="2:50">
      <c r="B4307" s="19"/>
      <c r="K4307" s="21"/>
      <c r="T4307" s="28"/>
      <c r="AS4307" s="24"/>
      <c r="AT4307" s="24"/>
      <c r="AU4307" s="24"/>
      <c r="AV4307" s="24"/>
      <c r="AX4307" s="29"/>
    </row>
    <row r="4308" spans="2:50">
      <c r="B4308" s="19"/>
      <c r="K4308" s="21"/>
      <c r="T4308" s="28"/>
      <c r="AS4308" s="24"/>
      <c r="AT4308" s="24"/>
      <c r="AU4308" s="24"/>
      <c r="AV4308" s="24"/>
      <c r="AX4308" s="29"/>
    </row>
    <row r="4309" spans="2:50">
      <c r="B4309" s="19"/>
      <c r="K4309" s="21"/>
      <c r="T4309" s="28"/>
      <c r="AS4309" s="24"/>
      <c r="AT4309" s="24"/>
      <c r="AU4309" s="24"/>
      <c r="AV4309" s="24"/>
      <c r="AX4309" s="29"/>
    </row>
    <row r="4310" spans="2:50">
      <c r="B4310" s="19"/>
      <c r="K4310" s="21"/>
      <c r="T4310" s="28"/>
      <c r="AS4310" s="24"/>
      <c r="AT4310" s="24"/>
      <c r="AU4310" s="24"/>
      <c r="AV4310" s="24"/>
      <c r="AX4310" s="29"/>
    </row>
    <row r="4311" spans="2:50">
      <c r="B4311" s="19"/>
      <c r="K4311" s="21"/>
      <c r="T4311" s="28"/>
      <c r="AS4311" s="24"/>
      <c r="AT4311" s="24"/>
      <c r="AU4311" s="24"/>
      <c r="AV4311" s="24"/>
      <c r="AX4311" s="29"/>
    </row>
    <row r="4312" spans="2:50">
      <c r="B4312" s="19"/>
      <c r="K4312" s="21"/>
      <c r="T4312" s="28"/>
      <c r="AS4312" s="24"/>
      <c r="AT4312" s="24"/>
      <c r="AU4312" s="24"/>
      <c r="AV4312" s="24"/>
      <c r="AX4312" s="29"/>
    </row>
    <row r="4313" spans="2:50">
      <c r="B4313" s="19"/>
      <c r="K4313" s="21"/>
      <c r="T4313" s="28"/>
      <c r="AS4313" s="24"/>
      <c r="AT4313" s="24"/>
      <c r="AU4313" s="24"/>
      <c r="AV4313" s="24"/>
      <c r="AX4313" s="29"/>
    </row>
    <row r="4314" spans="2:50">
      <c r="B4314" s="19"/>
      <c r="K4314" s="21"/>
      <c r="T4314" s="28"/>
      <c r="AS4314" s="24"/>
      <c r="AT4314" s="24"/>
      <c r="AU4314" s="24"/>
      <c r="AV4314" s="24"/>
      <c r="AX4314" s="29"/>
    </row>
    <row r="4315" spans="2:50">
      <c r="B4315" s="19"/>
      <c r="K4315" s="21"/>
      <c r="T4315" s="28"/>
      <c r="AS4315" s="24"/>
      <c r="AT4315" s="24"/>
      <c r="AU4315" s="24"/>
      <c r="AV4315" s="24"/>
      <c r="AX4315" s="29"/>
    </row>
    <row r="4316" spans="2:50">
      <c r="B4316" s="19"/>
      <c r="K4316" s="21"/>
      <c r="T4316" s="28"/>
      <c r="AS4316" s="24"/>
      <c r="AT4316" s="24"/>
      <c r="AU4316" s="24"/>
      <c r="AV4316" s="24"/>
      <c r="AX4316" s="29"/>
    </row>
    <row r="4317" spans="2:50">
      <c r="B4317" s="19"/>
      <c r="K4317" s="21"/>
      <c r="T4317" s="28"/>
      <c r="AS4317" s="24"/>
      <c r="AT4317" s="24"/>
      <c r="AU4317" s="24"/>
      <c r="AV4317" s="24"/>
      <c r="AX4317" s="29"/>
    </row>
    <row r="4318" spans="2:50">
      <c r="B4318" s="19"/>
      <c r="K4318" s="21"/>
      <c r="T4318" s="28"/>
      <c r="AS4318" s="24"/>
      <c r="AT4318" s="24"/>
      <c r="AU4318" s="24"/>
      <c r="AV4318" s="24"/>
      <c r="AX4318" s="29"/>
    </row>
    <row r="4319" spans="2:50">
      <c r="B4319" s="19"/>
      <c r="K4319" s="21"/>
      <c r="T4319" s="28"/>
      <c r="AS4319" s="24"/>
      <c r="AT4319" s="24"/>
      <c r="AU4319" s="24"/>
      <c r="AV4319" s="24"/>
      <c r="AX4319" s="29"/>
    </row>
    <row r="4320" spans="2:50">
      <c r="B4320" s="19"/>
      <c r="K4320" s="21"/>
      <c r="T4320" s="28"/>
      <c r="AS4320" s="24"/>
      <c r="AT4320" s="24"/>
      <c r="AU4320" s="24"/>
      <c r="AV4320" s="24"/>
      <c r="AX4320" s="29"/>
    </row>
    <row r="4321" spans="2:50">
      <c r="B4321" s="19"/>
      <c r="K4321" s="21"/>
      <c r="T4321" s="28"/>
      <c r="AS4321" s="24"/>
      <c r="AT4321" s="24"/>
      <c r="AU4321" s="24"/>
      <c r="AV4321" s="24"/>
      <c r="AX4321" s="29"/>
    </row>
    <row r="4322" spans="2:50">
      <c r="B4322" s="19"/>
      <c r="K4322" s="21"/>
      <c r="T4322" s="28"/>
      <c r="AS4322" s="24"/>
      <c r="AT4322" s="24"/>
      <c r="AU4322" s="24"/>
      <c r="AV4322" s="24"/>
      <c r="AX4322" s="29"/>
    </row>
    <row r="4323" spans="2:50">
      <c r="B4323" s="19"/>
      <c r="K4323" s="21"/>
      <c r="T4323" s="28"/>
      <c r="AS4323" s="24"/>
      <c r="AT4323" s="24"/>
      <c r="AU4323" s="24"/>
      <c r="AV4323" s="24"/>
      <c r="AX4323" s="29"/>
    </row>
    <row r="4324" spans="2:50">
      <c r="B4324" s="19"/>
      <c r="K4324" s="21"/>
      <c r="T4324" s="28"/>
      <c r="AS4324" s="24"/>
      <c r="AT4324" s="24"/>
      <c r="AU4324" s="24"/>
      <c r="AV4324" s="24"/>
      <c r="AX4324" s="29"/>
    </row>
    <row r="4325" spans="2:50">
      <c r="B4325" s="19"/>
      <c r="K4325" s="21"/>
      <c r="T4325" s="28"/>
      <c r="AS4325" s="24"/>
      <c r="AT4325" s="24"/>
      <c r="AU4325" s="24"/>
      <c r="AV4325" s="24"/>
      <c r="AX4325" s="29"/>
    </row>
    <row r="4326" spans="2:50">
      <c r="B4326" s="19"/>
      <c r="K4326" s="21"/>
      <c r="T4326" s="28"/>
      <c r="AS4326" s="24"/>
      <c r="AT4326" s="24"/>
      <c r="AU4326" s="24"/>
      <c r="AV4326" s="24"/>
      <c r="AX4326" s="29"/>
    </row>
    <row r="4327" spans="2:50">
      <c r="B4327" s="19"/>
      <c r="K4327" s="21"/>
      <c r="T4327" s="28"/>
      <c r="AS4327" s="24"/>
      <c r="AT4327" s="24"/>
      <c r="AU4327" s="24"/>
      <c r="AV4327" s="24"/>
      <c r="AX4327" s="29"/>
    </row>
    <row r="4328" spans="2:50">
      <c r="B4328" s="19"/>
      <c r="K4328" s="21"/>
      <c r="T4328" s="28"/>
      <c r="AS4328" s="24"/>
      <c r="AT4328" s="24"/>
      <c r="AU4328" s="24"/>
      <c r="AV4328" s="24"/>
      <c r="AX4328" s="29"/>
    </row>
    <row r="4329" spans="2:50">
      <c r="B4329" s="19"/>
      <c r="K4329" s="21"/>
      <c r="T4329" s="28"/>
      <c r="AS4329" s="24"/>
      <c r="AT4329" s="24"/>
      <c r="AU4329" s="24"/>
      <c r="AV4329" s="24"/>
      <c r="AX4329" s="29"/>
    </row>
    <row r="4330" spans="2:50">
      <c r="B4330" s="19"/>
      <c r="K4330" s="21"/>
      <c r="T4330" s="28"/>
      <c r="AS4330" s="24"/>
      <c r="AT4330" s="24"/>
      <c r="AU4330" s="24"/>
      <c r="AV4330" s="24"/>
      <c r="AX4330" s="29"/>
    </row>
    <row r="4331" spans="2:50">
      <c r="B4331" s="19"/>
      <c r="K4331" s="21"/>
      <c r="T4331" s="28"/>
      <c r="AS4331" s="24"/>
      <c r="AT4331" s="24"/>
      <c r="AU4331" s="24"/>
      <c r="AV4331" s="24"/>
      <c r="AX4331" s="29"/>
    </row>
    <row r="4332" spans="2:50">
      <c r="B4332" s="19"/>
      <c r="K4332" s="21"/>
      <c r="T4332" s="28"/>
      <c r="AS4332" s="24"/>
      <c r="AT4332" s="24"/>
      <c r="AU4332" s="24"/>
      <c r="AV4332" s="24"/>
      <c r="AX4332" s="29"/>
    </row>
    <row r="4333" spans="2:50">
      <c r="B4333" s="19"/>
      <c r="K4333" s="21"/>
      <c r="T4333" s="28"/>
      <c r="AS4333" s="24"/>
      <c r="AT4333" s="24"/>
      <c r="AU4333" s="24"/>
      <c r="AV4333" s="24"/>
      <c r="AX4333" s="29"/>
    </row>
    <row r="4334" spans="2:50">
      <c r="B4334" s="19"/>
      <c r="K4334" s="21"/>
      <c r="T4334" s="28"/>
      <c r="AS4334" s="24"/>
      <c r="AT4334" s="24"/>
      <c r="AU4334" s="24"/>
      <c r="AV4334" s="24"/>
      <c r="AX4334" s="29"/>
    </row>
    <row r="4335" spans="2:50">
      <c r="B4335" s="19"/>
      <c r="K4335" s="21"/>
      <c r="T4335" s="28"/>
      <c r="AS4335" s="24"/>
      <c r="AT4335" s="24"/>
      <c r="AU4335" s="24"/>
      <c r="AV4335" s="24"/>
      <c r="AX4335" s="29"/>
    </row>
    <row r="4336" spans="2:50">
      <c r="B4336" s="19"/>
      <c r="K4336" s="21"/>
      <c r="T4336" s="28"/>
      <c r="AS4336" s="24"/>
      <c r="AT4336" s="24"/>
      <c r="AU4336" s="24"/>
      <c r="AV4336" s="24"/>
      <c r="AX4336" s="29"/>
    </row>
    <row r="4337" spans="2:50">
      <c r="B4337" s="19"/>
      <c r="K4337" s="21"/>
      <c r="T4337" s="28"/>
      <c r="AS4337" s="24"/>
      <c r="AT4337" s="24"/>
      <c r="AU4337" s="24"/>
      <c r="AV4337" s="24"/>
      <c r="AX4337" s="29"/>
    </row>
    <row r="4338" spans="2:50">
      <c r="B4338" s="19"/>
      <c r="K4338" s="21"/>
      <c r="T4338" s="28"/>
      <c r="AS4338" s="24"/>
      <c r="AT4338" s="24"/>
      <c r="AU4338" s="24"/>
      <c r="AV4338" s="24"/>
      <c r="AX4338" s="29"/>
    </row>
    <row r="4339" spans="2:50">
      <c r="B4339" s="19"/>
      <c r="K4339" s="21"/>
      <c r="T4339" s="28"/>
      <c r="AS4339" s="24"/>
      <c r="AT4339" s="24"/>
      <c r="AU4339" s="24"/>
      <c r="AV4339" s="24"/>
      <c r="AX4339" s="29"/>
    </row>
    <row r="4340" spans="2:50">
      <c r="B4340" s="19"/>
      <c r="K4340" s="21"/>
      <c r="T4340" s="28"/>
      <c r="AS4340" s="24"/>
      <c r="AT4340" s="24"/>
      <c r="AU4340" s="24"/>
      <c r="AV4340" s="24"/>
      <c r="AX4340" s="29"/>
    </row>
    <row r="4341" spans="2:50">
      <c r="B4341" s="19"/>
      <c r="K4341" s="21"/>
      <c r="T4341" s="28"/>
      <c r="AS4341" s="24"/>
      <c r="AT4341" s="24"/>
      <c r="AU4341" s="24"/>
      <c r="AV4341" s="24"/>
      <c r="AX4341" s="29"/>
    </row>
    <row r="4342" spans="2:50">
      <c r="B4342" s="19"/>
      <c r="K4342" s="21"/>
      <c r="T4342" s="28"/>
      <c r="AS4342" s="24"/>
      <c r="AT4342" s="24"/>
      <c r="AU4342" s="24"/>
      <c r="AV4342" s="24"/>
      <c r="AX4342" s="29"/>
    </row>
    <row r="4343" spans="2:50">
      <c r="B4343" s="19"/>
      <c r="K4343" s="21"/>
      <c r="T4343" s="28"/>
      <c r="AS4343" s="24"/>
      <c r="AT4343" s="24"/>
      <c r="AU4343" s="24"/>
      <c r="AV4343" s="24"/>
      <c r="AX4343" s="29"/>
    </row>
    <row r="4344" spans="2:50">
      <c r="B4344" s="19"/>
      <c r="K4344" s="21"/>
      <c r="T4344" s="28"/>
      <c r="AS4344" s="24"/>
      <c r="AT4344" s="24"/>
      <c r="AU4344" s="24"/>
      <c r="AV4344" s="24"/>
      <c r="AX4344" s="29"/>
    </row>
    <row r="4345" spans="2:50">
      <c r="B4345" s="19"/>
      <c r="K4345" s="21"/>
      <c r="T4345" s="28"/>
      <c r="AS4345" s="24"/>
      <c r="AT4345" s="24"/>
      <c r="AU4345" s="24"/>
      <c r="AV4345" s="24"/>
      <c r="AX4345" s="29"/>
    </row>
    <row r="4346" spans="2:50">
      <c r="B4346" s="19"/>
      <c r="K4346" s="21"/>
      <c r="T4346" s="28"/>
      <c r="AS4346" s="24"/>
      <c r="AT4346" s="24"/>
      <c r="AU4346" s="24"/>
      <c r="AV4346" s="24"/>
      <c r="AX4346" s="29"/>
    </row>
    <row r="4347" spans="2:50">
      <c r="B4347" s="19"/>
      <c r="K4347" s="21"/>
      <c r="T4347" s="28"/>
      <c r="AS4347" s="24"/>
      <c r="AT4347" s="24"/>
      <c r="AU4347" s="24"/>
      <c r="AV4347" s="24"/>
      <c r="AX4347" s="29"/>
    </row>
    <row r="4348" spans="2:50">
      <c r="B4348" s="19"/>
      <c r="K4348" s="21"/>
      <c r="T4348" s="28"/>
      <c r="AS4348" s="24"/>
      <c r="AT4348" s="24"/>
      <c r="AU4348" s="24"/>
      <c r="AV4348" s="24"/>
      <c r="AX4348" s="29"/>
    </row>
    <row r="4349" spans="2:50">
      <c r="B4349" s="19"/>
      <c r="K4349" s="21"/>
      <c r="T4349" s="28"/>
      <c r="AS4349" s="24"/>
      <c r="AT4349" s="24"/>
      <c r="AU4349" s="24"/>
      <c r="AV4349" s="24"/>
      <c r="AX4349" s="29"/>
    </row>
    <row r="4350" spans="2:50">
      <c r="B4350" s="19"/>
      <c r="K4350" s="21"/>
      <c r="T4350" s="28"/>
      <c r="AS4350" s="24"/>
      <c r="AT4350" s="24"/>
      <c r="AU4350" s="24"/>
      <c r="AV4350" s="24"/>
      <c r="AX4350" s="29"/>
    </row>
    <row r="4351" spans="2:50">
      <c r="B4351" s="19"/>
      <c r="K4351" s="21"/>
      <c r="T4351" s="28"/>
      <c r="AS4351" s="24"/>
      <c r="AT4351" s="24"/>
      <c r="AU4351" s="24"/>
      <c r="AV4351" s="24"/>
      <c r="AX4351" s="29"/>
    </row>
    <row r="4352" spans="2:50">
      <c r="B4352" s="19"/>
      <c r="K4352" s="21"/>
      <c r="T4352" s="28"/>
      <c r="AS4352" s="24"/>
      <c r="AT4352" s="24"/>
      <c r="AU4352" s="24"/>
      <c r="AV4352" s="24"/>
      <c r="AX4352" s="29"/>
    </row>
    <row r="4353" spans="2:50">
      <c r="B4353" s="19"/>
      <c r="K4353" s="21"/>
      <c r="T4353" s="28"/>
      <c r="AS4353" s="24"/>
      <c r="AT4353" s="24"/>
      <c r="AU4353" s="24"/>
      <c r="AV4353" s="24"/>
      <c r="AX4353" s="29"/>
    </row>
    <row r="4354" spans="2:50">
      <c r="B4354" s="19"/>
      <c r="K4354" s="21"/>
      <c r="T4354" s="28"/>
      <c r="AS4354" s="24"/>
      <c r="AT4354" s="24"/>
      <c r="AU4354" s="24"/>
      <c r="AV4354" s="24"/>
      <c r="AX4354" s="29"/>
    </row>
    <row r="4355" spans="2:50">
      <c r="B4355" s="19"/>
      <c r="K4355" s="21"/>
      <c r="T4355" s="28"/>
      <c r="AS4355" s="24"/>
      <c r="AT4355" s="24"/>
      <c r="AU4355" s="24"/>
      <c r="AV4355" s="24"/>
      <c r="AX4355" s="29"/>
    </row>
    <row r="4356" spans="2:50">
      <c r="B4356" s="19"/>
      <c r="K4356" s="21"/>
      <c r="T4356" s="28"/>
      <c r="AS4356" s="24"/>
      <c r="AT4356" s="24"/>
      <c r="AU4356" s="24"/>
      <c r="AV4356" s="24"/>
      <c r="AX4356" s="29"/>
    </row>
    <row r="4357" spans="2:50">
      <c r="B4357" s="19"/>
      <c r="K4357" s="21"/>
      <c r="T4357" s="28"/>
      <c r="AS4357" s="24"/>
      <c r="AT4357" s="24"/>
      <c r="AU4357" s="24"/>
      <c r="AV4357" s="24"/>
      <c r="AX4357" s="29"/>
    </row>
    <row r="4358" spans="2:50">
      <c r="B4358" s="19"/>
      <c r="K4358" s="21"/>
      <c r="T4358" s="28"/>
      <c r="AS4358" s="24"/>
      <c r="AT4358" s="24"/>
      <c r="AU4358" s="24"/>
      <c r="AV4358" s="24"/>
      <c r="AX4358" s="29"/>
    </row>
    <row r="4359" spans="2:50">
      <c r="B4359" s="19"/>
      <c r="K4359" s="21"/>
      <c r="T4359" s="28"/>
      <c r="AS4359" s="24"/>
      <c r="AT4359" s="24"/>
      <c r="AU4359" s="24"/>
      <c r="AV4359" s="24"/>
      <c r="AX4359" s="29"/>
    </row>
    <row r="4360" spans="2:50">
      <c r="B4360" s="19"/>
      <c r="K4360" s="21"/>
      <c r="T4360" s="28"/>
      <c r="AS4360" s="24"/>
      <c r="AT4360" s="24"/>
      <c r="AU4360" s="24"/>
      <c r="AV4360" s="24"/>
      <c r="AX4360" s="29"/>
    </row>
    <row r="4361" spans="2:50">
      <c r="B4361" s="19"/>
      <c r="K4361" s="21"/>
      <c r="T4361" s="28"/>
      <c r="AS4361" s="24"/>
      <c r="AT4361" s="24"/>
      <c r="AU4361" s="24"/>
      <c r="AV4361" s="24"/>
      <c r="AX4361" s="29"/>
    </row>
    <row r="4362" spans="2:50">
      <c r="B4362" s="19"/>
      <c r="K4362" s="21"/>
      <c r="T4362" s="28"/>
      <c r="AS4362" s="24"/>
      <c r="AT4362" s="24"/>
      <c r="AU4362" s="24"/>
      <c r="AV4362" s="24"/>
      <c r="AX4362" s="29"/>
    </row>
    <row r="4363" spans="2:50">
      <c r="B4363" s="19"/>
      <c r="K4363" s="21"/>
      <c r="T4363" s="28"/>
      <c r="AS4363" s="24"/>
      <c r="AT4363" s="24"/>
      <c r="AU4363" s="24"/>
      <c r="AV4363" s="24"/>
      <c r="AX4363" s="29"/>
    </row>
    <row r="4364" spans="2:50">
      <c r="B4364" s="19"/>
      <c r="K4364" s="21"/>
      <c r="T4364" s="28"/>
      <c r="AS4364" s="24"/>
      <c r="AT4364" s="24"/>
      <c r="AU4364" s="24"/>
      <c r="AV4364" s="24"/>
      <c r="AX4364" s="29"/>
    </row>
    <row r="4365" spans="2:50">
      <c r="B4365" s="19"/>
      <c r="K4365" s="21"/>
      <c r="T4365" s="28"/>
      <c r="AS4365" s="24"/>
      <c r="AT4365" s="24"/>
      <c r="AU4365" s="24"/>
      <c r="AV4365" s="24"/>
      <c r="AX4365" s="29"/>
    </row>
    <row r="4366" spans="2:50">
      <c r="B4366" s="19"/>
      <c r="K4366" s="21"/>
      <c r="T4366" s="28"/>
      <c r="AS4366" s="24"/>
      <c r="AT4366" s="24"/>
      <c r="AU4366" s="24"/>
      <c r="AV4366" s="24"/>
      <c r="AX4366" s="29"/>
    </row>
    <row r="4367" spans="2:50">
      <c r="B4367" s="19"/>
      <c r="K4367" s="21"/>
      <c r="T4367" s="28"/>
      <c r="AS4367" s="24"/>
      <c r="AT4367" s="24"/>
      <c r="AU4367" s="24"/>
      <c r="AV4367" s="24"/>
      <c r="AX4367" s="29"/>
    </row>
    <row r="4368" spans="2:50">
      <c r="B4368" s="19"/>
      <c r="K4368" s="21"/>
      <c r="T4368" s="28"/>
      <c r="AS4368" s="24"/>
      <c r="AT4368" s="24"/>
      <c r="AU4368" s="24"/>
      <c r="AV4368" s="24"/>
      <c r="AX4368" s="29"/>
    </row>
    <row r="4369" spans="2:50">
      <c r="B4369" s="19"/>
      <c r="K4369" s="21"/>
      <c r="T4369" s="28"/>
      <c r="AS4369" s="24"/>
      <c r="AT4369" s="24"/>
      <c r="AU4369" s="24"/>
      <c r="AV4369" s="24"/>
      <c r="AX4369" s="29"/>
    </row>
    <row r="4370" spans="2:50">
      <c r="B4370" s="19"/>
      <c r="K4370" s="21"/>
      <c r="T4370" s="28"/>
      <c r="AS4370" s="24"/>
      <c r="AT4370" s="24"/>
      <c r="AU4370" s="24"/>
      <c r="AV4370" s="24"/>
      <c r="AX4370" s="29"/>
    </row>
    <row r="4371" spans="2:50">
      <c r="B4371" s="19"/>
      <c r="K4371" s="21"/>
      <c r="T4371" s="28"/>
      <c r="AS4371" s="24"/>
      <c r="AT4371" s="24"/>
      <c r="AU4371" s="24"/>
      <c r="AV4371" s="24"/>
      <c r="AX4371" s="29"/>
    </row>
    <row r="4372" spans="2:50">
      <c r="B4372" s="19"/>
      <c r="K4372" s="21"/>
      <c r="T4372" s="28"/>
      <c r="AS4372" s="24"/>
      <c r="AT4372" s="24"/>
      <c r="AU4372" s="24"/>
      <c r="AV4372" s="24"/>
      <c r="AX4372" s="29"/>
    </row>
    <row r="4373" spans="2:50">
      <c r="B4373" s="19"/>
      <c r="K4373" s="21"/>
      <c r="T4373" s="28"/>
      <c r="AS4373" s="24"/>
      <c r="AT4373" s="24"/>
      <c r="AU4373" s="24"/>
      <c r="AV4373" s="24"/>
      <c r="AX4373" s="29"/>
    </row>
    <row r="4374" spans="2:50">
      <c r="B4374" s="19"/>
      <c r="K4374" s="21"/>
      <c r="T4374" s="28"/>
      <c r="AS4374" s="24"/>
      <c r="AT4374" s="24"/>
      <c r="AU4374" s="24"/>
      <c r="AV4374" s="24"/>
      <c r="AX4374" s="29"/>
    </row>
    <row r="4375" spans="2:50">
      <c r="B4375" s="19"/>
      <c r="K4375" s="21"/>
      <c r="T4375" s="28"/>
      <c r="AS4375" s="24"/>
      <c r="AT4375" s="24"/>
      <c r="AU4375" s="24"/>
      <c r="AV4375" s="24"/>
      <c r="AX4375" s="29"/>
    </row>
    <row r="4376" spans="2:50">
      <c r="B4376" s="19"/>
      <c r="K4376" s="21"/>
      <c r="T4376" s="28"/>
      <c r="AS4376" s="24"/>
      <c r="AT4376" s="24"/>
      <c r="AU4376" s="24"/>
      <c r="AV4376" s="24"/>
      <c r="AX4376" s="29"/>
    </row>
    <row r="4377" spans="2:50">
      <c r="B4377" s="19"/>
      <c r="K4377" s="21"/>
      <c r="T4377" s="28"/>
      <c r="AS4377" s="24"/>
      <c r="AT4377" s="24"/>
      <c r="AU4377" s="24"/>
      <c r="AV4377" s="24"/>
      <c r="AX4377" s="29"/>
    </row>
    <row r="4378" spans="2:50">
      <c r="B4378" s="19"/>
      <c r="K4378" s="21"/>
      <c r="T4378" s="28"/>
      <c r="AS4378" s="24"/>
      <c r="AT4378" s="24"/>
      <c r="AU4378" s="24"/>
      <c r="AV4378" s="24"/>
      <c r="AX4378" s="29"/>
    </row>
    <row r="4379" spans="2:50">
      <c r="B4379" s="19"/>
      <c r="K4379" s="21"/>
      <c r="T4379" s="28"/>
      <c r="AS4379" s="24"/>
      <c r="AT4379" s="24"/>
      <c r="AU4379" s="24"/>
      <c r="AV4379" s="24"/>
      <c r="AX4379" s="29"/>
    </row>
    <row r="4380" spans="2:50">
      <c r="B4380" s="19"/>
      <c r="K4380" s="21"/>
      <c r="T4380" s="28"/>
      <c r="AS4380" s="24"/>
      <c r="AT4380" s="24"/>
      <c r="AU4380" s="24"/>
      <c r="AV4380" s="24"/>
      <c r="AX4380" s="29"/>
    </row>
    <row r="4381" spans="2:50">
      <c r="B4381" s="19"/>
      <c r="K4381" s="21"/>
      <c r="T4381" s="28"/>
      <c r="AS4381" s="24"/>
      <c r="AT4381" s="24"/>
      <c r="AU4381" s="24"/>
      <c r="AV4381" s="24"/>
      <c r="AX4381" s="29"/>
    </row>
    <row r="4382" spans="2:50">
      <c r="B4382" s="19"/>
      <c r="K4382" s="21"/>
      <c r="T4382" s="28"/>
      <c r="AS4382" s="24"/>
      <c r="AT4382" s="24"/>
      <c r="AU4382" s="24"/>
      <c r="AV4382" s="24"/>
      <c r="AX4382" s="29"/>
    </row>
    <row r="4383" spans="2:50">
      <c r="B4383" s="19"/>
      <c r="K4383" s="21"/>
      <c r="T4383" s="28"/>
      <c r="AS4383" s="24"/>
      <c r="AT4383" s="24"/>
      <c r="AU4383" s="24"/>
      <c r="AV4383" s="24"/>
      <c r="AX4383" s="29"/>
    </row>
    <row r="4384" spans="2:50">
      <c r="B4384" s="19"/>
      <c r="K4384" s="21"/>
      <c r="T4384" s="28"/>
      <c r="AS4384" s="24"/>
      <c r="AT4384" s="24"/>
      <c r="AU4384" s="24"/>
      <c r="AV4384" s="24"/>
      <c r="AX4384" s="29"/>
    </row>
    <row r="4385" spans="2:50">
      <c r="B4385" s="19"/>
      <c r="K4385" s="21"/>
      <c r="T4385" s="28"/>
      <c r="AS4385" s="24"/>
      <c r="AT4385" s="24"/>
      <c r="AU4385" s="24"/>
      <c r="AV4385" s="24"/>
      <c r="AX4385" s="29"/>
    </row>
    <row r="4386" spans="2:50">
      <c r="B4386" s="19"/>
      <c r="K4386" s="21"/>
      <c r="T4386" s="28"/>
      <c r="AS4386" s="24"/>
      <c r="AT4386" s="24"/>
      <c r="AU4386" s="24"/>
      <c r="AV4386" s="24"/>
      <c r="AX4386" s="29"/>
    </row>
    <row r="4387" spans="2:50">
      <c r="B4387" s="19"/>
      <c r="K4387" s="21"/>
      <c r="T4387" s="28"/>
      <c r="AS4387" s="24"/>
      <c r="AT4387" s="24"/>
      <c r="AU4387" s="24"/>
      <c r="AV4387" s="24"/>
      <c r="AX4387" s="29"/>
    </row>
    <row r="4388" spans="2:50">
      <c r="B4388" s="19"/>
      <c r="K4388" s="21"/>
      <c r="T4388" s="28"/>
      <c r="AS4388" s="24"/>
      <c r="AT4388" s="24"/>
      <c r="AU4388" s="24"/>
      <c r="AV4388" s="24"/>
      <c r="AX4388" s="29"/>
    </row>
    <row r="4389" spans="2:50">
      <c r="B4389" s="19"/>
      <c r="K4389" s="21"/>
      <c r="T4389" s="28"/>
      <c r="AS4389" s="24"/>
      <c r="AT4389" s="24"/>
      <c r="AU4389" s="24"/>
      <c r="AV4389" s="24"/>
      <c r="AX4389" s="29"/>
    </row>
    <row r="4390" spans="2:50">
      <c r="B4390" s="19"/>
      <c r="K4390" s="21"/>
      <c r="T4390" s="28"/>
      <c r="AS4390" s="24"/>
      <c r="AT4390" s="24"/>
      <c r="AU4390" s="24"/>
      <c r="AV4390" s="24"/>
      <c r="AX4390" s="29"/>
    </row>
    <row r="4391" spans="2:50">
      <c r="B4391" s="19"/>
      <c r="K4391" s="21"/>
      <c r="T4391" s="28"/>
      <c r="AS4391" s="24"/>
      <c r="AT4391" s="24"/>
      <c r="AU4391" s="24"/>
      <c r="AV4391" s="24"/>
      <c r="AX4391" s="29"/>
    </row>
    <row r="4392" spans="2:50">
      <c r="B4392" s="19"/>
      <c r="K4392" s="21"/>
      <c r="T4392" s="28"/>
      <c r="AS4392" s="24"/>
      <c r="AT4392" s="24"/>
      <c r="AU4392" s="24"/>
      <c r="AV4392" s="24"/>
      <c r="AX4392" s="29"/>
    </row>
    <row r="4393" spans="2:50">
      <c r="B4393" s="19"/>
      <c r="K4393" s="21"/>
      <c r="T4393" s="28"/>
      <c r="AS4393" s="24"/>
      <c r="AT4393" s="24"/>
      <c r="AU4393" s="24"/>
      <c r="AV4393" s="24"/>
      <c r="AX4393" s="29"/>
    </row>
    <row r="4394" spans="2:50">
      <c r="B4394" s="19"/>
      <c r="K4394" s="21"/>
      <c r="T4394" s="28"/>
      <c r="AS4394" s="24"/>
      <c r="AT4394" s="24"/>
      <c r="AU4394" s="24"/>
      <c r="AV4394" s="24"/>
      <c r="AX4394" s="29"/>
    </row>
    <row r="4395" spans="2:50">
      <c r="B4395" s="19"/>
      <c r="K4395" s="21"/>
      <c r="T4395" s="28"/>
      <c r="AS4395" s="24"/>
      <c r="AT4395" s="24"/>
      <c r="AU4395" s="24"/>
      <c r="AV4395" s="24"/>
      <c r="AX4395" s="29"/>
    </row>
    <row r="4396" spans="2:50">
      <c r="B4396" s="19"/>
      <c r="K4396" s="21"/>
      <c r="T4396" s="28"/>
      <c r="AS4396" s="24"/>
      <c r="AT4396" s="24"/>
      <c r="AU4396" s="24"/>
      <c r="AV4396" s="24"/>
      <c r="AX4396" s="29"/>
    </row>
    <row r="4397" spans="2:50">
      <c r="B4397" s="19"/>
      <c r="K4397" s="21"/>
      <c r="T4397" s="28"/>
      <c r="AS4397" s="24"/>
      <c r="AT4397" s="24"/>
      <c r="AU4397" s="24"/>
      <c r="AV4397" s="24"/>
      <c r="AX4397" s="29"/>
    </row>
    <row r="4398" spans="2:50">
      <c r="B4398" s="19"/>
      <c r="K4398" s="21"/>
      <c r="T4398" s="28"/>
      <c r="AS4398" s="24"/>
      <c r="AT4398" s="24"/>
      <c r="AU4398" s="24"/>
      <c r="AV4398" s="24"/>
      <c r="AX4398" s="29"/>
    </row>
    <row r="4399" spans="2:50">
      <c r="B4399" s="19"/>
      <c r="K4399" s="21"/>
      <c r="T4399" s="28"/>
      <c r="AS4399" s="24"/>
      <c r="AT4399" s="24"/>
      <c r="AU4399" s="24"/>
      <c r="AV4399" s="24"/>
      <c r="AX4399" s="29"/>
    </row>
    <row r="4400" spans="2:50">
      <c r="B4400" s="19"/>
      <c r="K4400" s="21"/>
      <c r="T4400" s="28"/>
      <c r="AS4400" s="24"/>
      <c r="AT4400" s="24"/>
      <c r="AU4400" s="24"/>
      <c r="AV4400" s="24"/>
      <c r="AX4400" s="29"/>
    </row>
    <row r="4401" spans="2:50">
      <c r="B4401" s="19"/>
      <c r="K4401" s="21"/>
      <c r="T4401" s="28"/>
      <c r="AS4401" s="24"/>
      <c r="AT4401" s="24"/>
      <c r="AU4401" s="24"/>
      <c r="AV4401" s="24"/>
      <c r="AX4401" s="29"/>
    </row>
    <row r="4402" spans="2:50">
      <c r="B4402" s="19"/>
      <c r="K4402" s="21"/>
      <c r="T4402" s="28"/>
      <c r="AS4402" s="24"/>
      <c r="AT4402" s="24"/>
      <c r="AU4402" s="24"/>
      <c r="AV4402" s="24"/>
      <c r="AX4402" s="29"/>
    </row>
    <row r="4403" spans="2:50">
      <c r="B4403" s="19"/>
      <c r="K4403" s="21"/>
      <c r="T4403" s="28"/>
      <c r="AS4403" s="24"/>
      <c r="AT4403" s="24"/>
      <c r="AU4403" s="24"/>
      <c r="AV4403" s="24"/>
      <c r="AX4403" s="29"/>
    </row>
    <row r="4404" spans="2:50">
      <c r="B4404" s="19"/>
      <c r="K4404" s="21"/>
      <c r="T4404" s="28"/>
      <c r="AS4404" s="24"/>
      <c r="AT4404" s="24"/>
      <c r="AU4404" s="24"/>
      <c r="AV4404" s="24"/>
      <c r="AX4404" s="29"/>
    </row>
    <row r="4405" spans="2:50">
      <c r="B4405" s="19"/>
      <c r="K4405" s="21"/>
      <c r="T4405" s="28"/>
      <c r="AS4405" s="24"/>
      <c r="AT4405" s="24"/>
      <c r="AU4405" s="24"/>
      <c r="AV4405" s="24"/>
      <c r="AX4405" s="29"/>
    </row>
    <row r="4406" spans="2:50">
      <c r="B4406" s="19"/>
      <c r="K4406" s="21"/>
      <c r="T4406" s="28"/>
      <c r="AS4406" s="24"/>
      <c r="AT4406" s="24"/>
      <c r="AU4406" s="24"/>
      <c r="AV4406" s="24"/>
      <c r="AX4406" s="29"/>
    </row>
    <row r="4407" spans="2:50">
      <c r="B4407" s="19"/>
      <c r="K4407" s="21"/>
      <c r="T4407" s="28"/>
      <c r="AS4407" s="24"/>
      <c r="AT4407" s="24"/>
      <c r="AU4407" s="24"/>
      <c r="AV4407" s="24"/>
      <c r="AX4407" s="29"/>
    </row>
    <row r="4408" spans="2:50">
      <c r="B4408" s="19"/>
      <c r="K4408" s="21"/>
      <c r="T4408" s="28"/>
      <c r="AS4408" s="24"/>
      <c r="AT4408" s="24"/>
      <c r="AU4408" s="24"/>
      <c r="AV4408" s="24"/>
      <c r="AX4408" s="29"/>
    </row>
    <row r="4409" spans="2:50">
      <c r="B4409" s="19"/>
      <c r="K4409" s="21"/>
      <c r="T4409" s="28"/>
      <c r="AS4409" s="24"/>
      <c r="AT4409" s="24"/>
      <c r="AU4409" s="24"/>
      <c r="AV4409" s="24"/>
      <c r="AX4409" s="29"/>
    </row>
    <row r="4410" spans="2:50">
      <c r="B4410" s="19"/>
      <c r="K4410" s="21"/>
      <c r="T4410" s="28"/>
      <c r="AS4410" s="24"/>
      <c r="AT4410" s="24"/>
      <c r="AU4410" s="24"/>
      <c r="AV4410" s="24"/>
      <c r="AX4410" s="29"/>
    </row>
    <row r="4411" spans="2:50">
      <c r="B4411" s="19"/>
      <c r="K4411" s="21"/>
      <c r="T4411" s="28"/>
      <c r="AS4411" s="24"/>
      <c r="AT4411" s="24"/>
      <c r="AU4411" s="24"/>
      <c r="AV4411" s="24"/>
      <c r="AX4411" s="29"/>
    </row>
    <row r="4412" spans="2:50">
      <c r="B4412" s="19"/>
      <c r="K4412" s="21"/>
      <c r="T4412" s="28"/>
      <c r="AS4412" s="24"/>
      <c r="AT4412" s="24"/>
      <c r="AU4412" s="24"/>
      <c r="AV4412" s="24"/>
      <c r="AX4412" s="29"/>
    </row>
    <row r="4413" spans="2:50">
      <c r="B4413" s="19"/>
      <c r="K4413" s="21"/>
      <c r="T4413" s="28"/>
      <c r="AS4413" s="24"/>
      <c r="AT4413" s="24"/>
      <c r="AU4413" s="24"/>
      <c r="AV4413" s="24"/>
      <c r="AX4413" s="29"/>
    </row>
    <row r="4414" spans="2:50">
      <c r="B4414" s="19"/>
      <c r="K4414" s="21"/>
      <c r="T4414" s="28"/>
      <c r="AS4414" s="24"/>
      <c r="AT4414" s="24"/>
      <c r="AU4414" s="24"/>
      <c r="AV4414" s="24"/>
      <c r="AX4414" s="29"/>
    </row>
    <row r="4415" spans="2:50">
      <c r="B4415" s="19"/>
      <c r="K4415" s="21"/>
      <c r="T4415" s="28"/>
      <c r="AS4415" s="24"/>
      <c r="AT4415" s="24"/>
      <c r="AU4415" s="24"/>
      <c r="AV4415" s="24"/>
      <c r="AX4415" s="29"/>
    </row>
    <row r="4416" spans="2:50">
      <c r="B4416" s="19"/>
      <c r="K4416" s="21"/>
      <c r="T4416" s="28"/>
      <c r="AS4416" s="24"/>
      <c r="AT4416" s="24"/>
      <c r="AU4416" s="24"/>
      <c r="AV4416" s="24"/>
      <c r="AX4416" s="29"/>
    </row>
    <row r="4417" spans="2:50">
      <c r="B4417" s="19"/>
      <c r="K4417" s="21"/>
      <c r="T4417" s="28"/>
      <c r="AS4417" s="24"/>
      <c r="AT4417" s="24"/>
      <c r="AU4417" s="24"/>
      <c r="AV4417" s="24"/>
      <c r="AX4417" s="29"/>
    </row>
    <row r="4418" spans="2:50">
      <c r="B4418" s="19"/>
      <c r="K4418" s="21"/>
      <c r="T4418" s="28"/>
      <c r="AS4418" s="24"/>
      <c r="AT4418" s="24"/>
      <c r="AU4418" s="24"/>
      <c r="AV4418" s="24"/>
      <c r="AX4418" s="29"/>
    </row>
    <row r="4419" spans="2:50">
      <c r="B4419" s="19"/>
      <c r="K4419" s="21"/>
      <c r="T4419" s="28"/>
      <c r="AS4419" s="24"/>
      <c r="AT4419" s="24"/>
      <c r="AU4419" s="24"/>
      <c r="AV4419" s="24"/>
      <c r="AX4419" s="29"/>
    </row>
    <row r="4420" spans="2:50">
      <c r="B4420" s="19"/>
      <c r="K4420" s="21"/>
      <c r="T4420" s="28"/>
      <c r="AS4420" s="24"/>
      <c r="AT4420" s="24"/>
      <c r="AU4420" s="24"/>
      <c r="AV4420" s="24"/>
      <c r="AX4420" s="29"/>
    </row>
    <row r="4421" spans="2:50">
      <c r="B4421" s="19"/>
      <c r="K4421" s="21"/>
      <c r="T4421" s="28"/>
      <c r="AS4421" s="24"/>
      <c r="AT4421" s="24"/>
      <c r="AU4421" s="24"/>
      <c r="AV4421" s="24"/>
      <c r="AX4421" s="29"/>
    </row>
    <row r="4422" spans="2:50">
      <c r="B4422" s="19"/>
      <c r="K4422" s="21"/>
      <c r="T4422" s="28"/>
      <c r="AS4422" s="24"/>
      <c r="AT4422" s="24"/>
      <c r="AU4422" s="24"/>
      <c r="AV4422" s="24"/>
      <c r="AX4422" s="29"/>
    </row>
    <row r="4423" spans="2:50">
      <c r="B4423" s="19"/>
      <c r="K4423" s="21"/>
      <c r="T4423" s="28"/>
      <c r="AS4423" s="24"/>
      <c r="AT4423" s="24"/>
      <c r="AU4423" s="24"/>
      <c r="AV4423" s="24"/>
      <c r="AX4423" s="29"/>
    </row>
    <row r="4424" spans="2:50">
      <c r="B4424" s="19"/>
      <c r="K4424" s="21"/>
      <c r="T4424" s="28"/>
      <c r="AS4424" s="24"/>
      <c r="AT4424" s="24"/>
      <c r="AU4424" s="24"/>
      <c r="AV4424" s="24"/>
      <c r="AX4424" s="29"/>
    </row>
    <row r="4425" spans="2:50">
      <c r="B4425" s="19"/>
      <c r="K4425" s="21"/>
      <c r="T4425" s="28"/>
      <c r="AS4425" s="24"/>
      <c r="AT4425" s="24"/>
      <c r="AU4425" s="24"/>
      <c r="AV4425" s="24"/>
      <c r="AX4425" s="29"/>
    </row>
    <row r="4426" spans="2:50">
      <c r="B4426" s="19"/>
      <c r="K4426" s="21"/>
      <c r="T4426" s="28"/>
      <c r="AS4426" s="24"/>
      <c r="AT4426" s="24"/>
      <c r="AU4426" s="24"/>
      <c r="AV4426" s="24"/>
      <c r="AX4426" s="29"/>
    </row>
    <row r="4427" spans="2:50">
      <c r="B4427" s="19"/>
      <c r="K4427" s="21"/>
      <c r="T4427" s="28"/>
      <c r="AS4427" s="24"/>
      <c r="AT4427" s="24"/>
      <c r="AU4427" s="24"/>
      <c r="AV4427" s="24"/>
      <c r="AX4427" s="29"/>
    </row>
    <row r="4428" spans="2:50">
      <c r="B4428" s="19"/>
      <c r="K4428" s="21"/>
      <c r="T4428" s="28"/>
      <c r="AS4428" s="24"/>
      <c r="AT4428" s="24"/>
      <c r="AU4428" s="24"/>
      <c r="AV4428" s="24"/>
      <c r="AX4428" s="29"/>
    </row>
    <row r="4429" spans="2:50">
      <c r="B4429" s="19"/>
      <c r="K4429" s="21"/>
      <c r="T4429" s="28"/>
      <c r="AS4429" s="24"/>
      <c r="AT4429" s="24"/>
      <c r="AU4429" s="24"/>
      <c r="AV4429" s="24"/>
      <c r="AX4429" s="29"/>
    </row>
    <row r="4430" spans="2:50">
      <c r="B4430" s="19"/>
      <c r="K4430" s="21"/>
      <c r="T4430" s="28"/>
      <c r="AS4430" s="24"/>
      <c r="AT4430" s="24"/>
      <c r="AU4430" s="24"/>
      <c r="AV4430" s="24"/>
      <c r="AX4430" s="29"/>
    </row>
    <row r="4431" spans="2:50">
      <c r="B4431" s="19"/>
      <c r="K4431" s="21"/>
      <c r="T4431" s="28"/>
      <c r="AS4431" s="24"/>
      <c r="AT4431" s="24"/>
      <c r="AU4431" s="24"/>
      <c r="AV4431" s="24"/>
      <c r="AX4431" s="29"/>
    </row>
    <row r="4432" spans="2:50">
      <c r="B4432" s="19"/>
      <c r="K4432" s="21"/>
      <c r="T4432" s="28"/>
      <c r="AS4432" s="24"/>
      <c r="AT4432" s="24"/>
      <c r="AU4432" s="24"/>
      <c r="AV4432" s="24"/>
      <c r="AX4432" s="29"/>
    </row>
    <row r="4433" spans="2:50">
      <c r="B4433" s="19"/>
      <c r="K4433" s="21"/>
      <c r="T4433" s="28"/>
      <c r="AS4433" s="24"/>
      <c r="AT4433" s="24"/>
      <c r="AU4433" s="24"/>
      <c r="AV4433" s="24"/>
      <c r="AX4433" s="29"/>
    </row>
    <row r="4434" spans="2:50">
      <c r="B4434" s="19"/>
      <c r="K4434" s="21"/>
      <c r="T4434" s="28"/>
      <c r="AS4434" s="24"/>
      <c r="AT4434" s="24"/>
      <c r="AU4434" s="24"/>
      <c r="AV4434" s="24"/>
      <c r="AX4434" s="29"/>
    </row>
    <row r="4435" spans="2:50">
      <c r="B4435" s="19"/>
      <c r="K4435" s="21"/>
      <c r="T4435" s="28"/>
      <c r="AS4435" s="24"/>
      <c r="AT4435" s="24"/>
      <c r="AU4435" s="24"/>
      <c r="AV4435" s="24"/>
      <c r="AX4435" s="29"/>
    </row>
    <row r="4436" spans="2:50">
      <c r="B4436" s="19"/>
      <c r="K4436" s="21"/>
      <c r="T4436" s="28"/>
      <c r="AS4436" s="24"/>
      <c r="AT4436" s="24"/>
      <c r="AU4436" s="24"/>
      <c r="AV4436" s="24"/>
      <c r="AX4436" s="29"/>
    </row>
    <row r="4437" spans="2:50">
      <c r="B4437" s="19"/>
      <c r="K4437" s="21"/>
      <c r="T4437" s="28"/>
      <c r="AS4437" s="24"/>
      <c r="AT4437" s="24"/>
      <c r="AU4437" s="24"/>
      <c r="AV4437" s="24"/>
      <c r="AX4437" s="29"/>
    </row>
    <row r="4438" spans="2:50">
      <c r="B4438" s="19"/>
      <c r="K4438" s="21"/>
      <c r="T4438" s="28"/>
      <c r="AS4438" s="24"/>
      <c r="AT4438" s="24"/>
      <c r="AU4438" s="24"/>
      <c r="AV4438" s="24"/>
      <c r="AX4438" s="29"/>
    </row>
    <row r="4439" spans="2:50">
      <c r="B4439" s="19"/>
      <c r="K4439" s="21"/>
      <c r="T4439" s="28"/>
      <c r="AS4439" s="24"/>
      <c r="AT4439" s="24"/>
      <c r="AU4439" s="24"/>
      <c r="AV4439" s="24"/>
      <c r="AX4439" s="29"/>
    </row>
    <row r="4440" spans="2:50">
      <c r="B4440" s="19"/>
      <c r="K4440" s="21"/>
      <c r="T4440" s="28"/>
      <c r="AS4440" s="24"/>
      <c r="AT4440" s="24"/>
      <c r="AU4440" s="24"/>
      <c r="AV4440" s="24"/>
      <c r="AX4440" s="29"/>
    </row>
    <row r="4441" spans="2:50">
      <c r="B4441" s="19"/>
      <c r="K4441" s="21"/>
      <c r="T4441" s="28"/>
      <c r="AS4441" s="24"/>
      <c r="AT4441" s="24"/>
      <c r="AU4441" s="24"/>
      <c r="AV4441" s="24"/>
      <c r="AX4441" s="29"/>
    </row>
    <row r="4442" spans="2:50">
      <c r="B4442" s="19"/>
      <c r="K4442" s="21"/>
      <c r="T4442" s="28"/>
      <c r="AS4442" s="24"/>
      <c r="AT4442" s="24"/>
      <c r="AU4442" s="24"/>
      <c r="AV4442" s="24"/>
      <c r="AX4442" s="29"/>
    </row>
    <row r="4443" spans="2:50">
      <c r="B4443" s="19"/>
      <c r="K4443" s="21"/>
      <c r="T4443" s="28"/>
      <c r="AS4443" s="24"/>
      <c r="AT4443" s="24"/>
      <c r="AU4443" s="24"/>
      <c r="AV4443" s="24"/>
      <c r="AX4443" s="29"/>
    </row>
    <row r="4444" spans="2:50">
      <c r="B4444" s="19"/>
      <c r="K4444" s="21"/>
      <c r="T4444" s="28"/>
      <c r="AS4444" s="24"/>
      <c r="AT4444" s="24"/>
      <c r="AU4444" s="24"/>
      <c r="AV4444" s="24"/>
      <c r="AX4444" s="29"/>
    </row>
    <row r="4445" spans="2:50">
      <c r="B4445" s="19"/>
      <c r="K4445" s="21"/>
      <c r="T4445" s="28"/>
      <c r="AS4445" s="24"/>
      <c r="AT4445" s="24"/>
      <c r="AU4445" s="24"/>
      <c r="AV4445" s="24"/>
      <c r="AX4445" s="29"/>
    </row>
    <row r="4446" spans="2:50">
      <c r="B4446" s="19"/>
      <c r="K4446" s="21"/>
      <c r="T4446" s="28"/>
      <c r="AS4446" s="24"/>
      <c r="AT4446" s="24"/>
      <c r="AU4446" s="24"/>
      <c r="AV4446" s="24"/>
      <c r="AX4446" s="29"/>
    </row>
    <row r="4447" spans="2:50">
      <c r="B4447" s="19"/>
      <c r="K4447" s="21"/>
      <c r="T4447" s="28"/>
      <c r="AS4447" s="24"/>
      <c r="AT4447" s="24"/>
      <c r="AU4447" s="24"/>
      <c r="AV4447" s="24"/>
      <c r="AX4447" s="29"/>
    </row>
    <row r="4448" spans="2:50">
      <c r="B4448" s="19"/>
      <c r="K4448" s="21"/>
      <c r="T4448" s="28"/>
      <c r="AS4448" s="24"/>
      <c r="AT4448" s="24"/>
      <c r="AU4448" s="24"/>
      <c r="AV4448" s="24"/>
      <c r="AX4448" s="29"/>
    </row>
    <row r="4449" spans="2:50">
      <c r="B4449" s="19"/>
      <c r="K4449" s="21"/>
      <c r="T4449" s="28"/>
      <c r="AS4449" s="24"/>
      <c r="AT4449" s="24"/>
      <c r="AU4449" s="24"/>
      <c r="AV4449" s="24"/>
      <c r="AX4449" s="29"/>
    </row>
    <row r="4450" spans="2:50">
      <c r="B4450" s="19"/>
      <c r="K4450" s="21"/>
      <c r="T4450" s="28"/>
      <c r="AS4450" s="24"/>
      <c r="AT4450" s="24"/>
      <c r="AU4450" s="24"/>
      <c r="AV4450" s="24"/>
      <c r="AX4450" s="29"/>
    </row>
    <row r="4451" spans="2:50">
      <c r="B4451" s="19"/>
      <c r="K4451" s="21"/>
      <c r="T4451" s="28"/>
      <c r="AS4451" s="24"/>
      <c r="AT4451" s="24"/>
      <c r="AU4451" s="24"/>
      <c r="AV4451" s="24"/>
      <c r="AX4451" s="29"/>
    </row>
    <row r="4452" spans="2:50">
      <c r="B4452" s="19"/>
      <c r="K4452" s="21"/>
      <c r="T4452" s="28"/>
      <c r="AS4452" s="24"/>
      <c r="AT4452" s="24"/>
      <c r="AU4452" s="24"/>
      <c r="AV4452" s="24"/>
      <c r="AX4452" s="29"/>
    </row>
    <row r="4453" spans="2:50">
      <c r="B4453" s="19"/>
      <c r="K4453" s="21"/>
      <c r="T4453" s="28"/>
      <c r="AS4453" s="24"/>
      <c r="AT4453" s="24"/>
      <c r="AU4453" s="24"/>
      <c r="AV4453" s="24"/>
      <c r="AX4453" s="29"/>
    </row>
    <row r="4454" spans="2:50">
      <c r="B4454" s="19"/>
      <c r="K4454" s="21"/>
      <c r="T4454" s="28"/>
      <c r="AS4454" s="24"/>
      <c r="AT4454" s="24"/>
      <c r="AU4454" s="24"/>
      <c r="AV4454" s="24"/>
      <c r="AX4454" s="29"/>
    </row>
    <row r="4455" spans="2:50">
      <c r="B4455" s="19"/>
      <c r="K4455" s="21"/>
      <c r="T4455" s="28"/>
      <c r="AS4455" s="24"/>
      <c r="AT4455" s="24"/>
      <c r="AU4455" s="24"/>
      <c r="AV4455" s="24"/>
      <c r="AX4455" s="29"/>
    </row>
    <row r="4456" spans="2:50">
      <c r="B4456" s="19"/>
      <c r="K4456" s="21"/>
      <c r="T4456" s="28"/>
      <c r="AS4456" s="24"/>
      <c r="AT4456" s="24"/>
      <c r="AU4456" s="24"/>
      <c r="AV4456" s="24"/>
      <c r="AX4456" s="29"/>
    </row>
    <row r="4457" spans="2:50">
      <c r="B4457" s="19"/>
      <c r="K4457" s="21"/>
      <c r="T4457" s="28"/>
      <c r="AS4457" s="24"/>
      <c r="AT4457" s="24"/>
      <c r="AU4457" s="24"/>
      <c r="AV4457" s="24"/>
      <c r="AX4457" s="29"/>
    </row>
    <row r="4458" spans="2:50">
      <c r="B4458" s="19"/>
      <c r="K4458" s="21"/>
      <c r="T4458" s="28"/>
      <c r="AS4458" s="24"/>
      <c r="AT4458" s="24"/>
      <c r="AU4458" s="24"/>
      <c r="AV4458" s="24"/>
      <c r="AX4458" s="29"/>
    </row>
    <row r="4459" spans="2:50">
      <c r="B4459" s="19"/>
      <c r="K4459" s="21"/>
      <c r="T4459" s="28"/>
      <c r="AS4459" s="24"/>
      <c r="AT4459" s="24"/>
      <c r="AU4459" s="24"/>
      <c r="AV4459" s="24"/>
      <c r="AX4459" s="29"/>
    </row>
    <row r="4460" spans="2:50">
      <c r="B4460" s="19"/>
      <c r="K4460" s="21"/>
      <c r="T4460" s="28"/>
      <c r="AS4460" s="24"/>
      <c r="AT4460" s="24"/>
      <c r="AU4460" s="24"/>
      <c r="AV4460" s="24"/>
      <c r="AX4460" s="29"/>
    </row>
    <row r="4461" spans="2:50">
      <c r="B4461" s="19"/>
      <c r="K4461" s="21"/>
      <c r="T4461" s="28"/>
      <c r="AS4461" s="24"/>
      <c r="AT4461" s="24"/>
      <c r="AU4461" s="24"/>
      <c r="AV4461" s="24"/>
      <c r="AX4461" s="29"/>
    </row>
    <row r="4462" spans="2:50">
      <c r="B4462" s="19"/>
      <c r="K4462" s="21"/>
      <c r="T4462" s="28"/>
      <c r="AS4462" s="24"/>
      <c r="AT4462" s="24"/>
      <c r="AU4462" s="24"/>
      <c r="AV4462" s="24"/>
      <c r="AX4462" s="29"/>
    </row>
    <row r="4463" spans="2:50">
      <c r="B4463" s="19"/>
      <c r="K4463" s="21"/>
      <c r="T4463" s="28"/>
      <c r="AS4463" s="24"/>
      <c r="AT4463" s="24"/>
      <c r="AU4463" s="24"/>
      <c r="AV4463" s="24"/>
      <c r="AX4463" s="29"/>
    </row>
    <row r="4464" spans="2:50">
      <c r="B4464" s="19"/>
      <c r="K4464" s="21"/>
      <c r="T4464" s="28"/>
      <c r="AS4464" s="24"/>
      <c r="AT4464" s="24"/>
      <c r="AU4464" s="24"/>
      <c r="AV4464" s="24"/>
      <c r="AX4464" s="29"/>
    </row>
    <row r="4465" spans="2:50">
      <c r="B4465" s="19"/>
      <c r="K4465" s="21"/>
      <c r="T4465" s="28"/>
      <c r="AS4465" s="24"/>
      <c r="AT4465" s="24"/>
      <c r="AU4465" s="24"/>
      <c r="AV4465" s="24"/>
      <c r="AX4465" s="29"/>
    </row>
    <row r="4466" spans="2:50">
      <c r="B4466" s="19"/>
      <c r="K4466" s="21"/>
      <c r="T4466" s="28"/>
      <c r="AS4466" s="24"/>
      <c r="AT4466" s="24"/>
      <c r="AU4466" s="24"/>
      <c r="AV4466" s="24"/>
      <c r="AX4466" s="29"/>
    </row>
    <row r="4467" spans="2:50">
      <c r="B4467" s="19"/>
      <c r="K4467" s="21"/>
      <c r="T4467" s="28"/>
      <c r="AS4467" s="24"/>
      <c r="AT4467" s="24"/>
      <c r="AU4467" s="24"/>
      <c r="AV4467" s="24"/>
      <c r="AX4467" s="29"/>
    </row>
    <row r="4468" spans="2:50">
      <c r="B4468" s="19"/>
      <c r="K4468" s="21"/>
      <c r="T4468" s="28"/>
      <c r="AS4468" s="24"/>
      <c r="AT4468" s="24"/>
      <c r="AU4468" s="24"/>
      <c r="AV4468" s="24"/>
      <c r="AX4468" s="29"/>
    </row>
    <row r="4469" spans="2:50">
      <c r="B4469" s="19"/>
      <c r="K4469" s="21"/>
      <c r="T4469" s="28"/>
      <c r="AS4469" s="24"/>
      <c r="AT4469" s="24"/>
      <c r="AU4469" s="24"/>
      <c r="AV4469" s="24"/>
      <c r="AX4469" s="29"/>
    </row>
    <row r="4470" spans="2:50">
      <c r="B4470" s="19"/>
      <c r="K4470" s="21"/>
      <c r="T4470" s="28"/>
      <c r="AS4470" s="24"/>
      <c r="AT4470" s="24"/>
      <c r="AU4470" s="24"/>
      <c r="AV4470" s="24"/>
      <c r="AX4470" s="29"/>
    </row>
    <row r="4471" spans="2:50">
      <c r="B4471" s="19"/>
      <c r="K4471" s="21"/>
      <c r="T4471" s="28"/>
      <c r="AS4471" s="24"/>
      <c r="AT4471" s="24"/>
      <c r="AU4471" s="24"/>
      <c r="AV4471" s="24"/>
      <c r="AX4471" s="29"/>
    </row>
    <row r="4472" spans="2:50">
      <c r="B4472" s="19"/>
      <c r="K4472" s="21"/>
      <c r="T4472" s="28"/>
      <c r="AS4472" s="24"/>
      <c r="AT4472" s="24"/>
      <c r="AU4472" s="24"/>
      <c r="AV4472" s="24"/>
      <c r="AX4472" s="29"/>
    </row>
    <row r="4473" spans="2:50">
      <c r="B4473" s="19"/>
      <c r="K4473" s="21"/>
      <c r="T4473" s="28"/>
      <c r="AS4473" s="24"/>
      <c r="AT4473" s="24"/>
      <c r="AU4473" s="24"/>
      <c r="AV4473" s="24"/>
      <c r="AX4473" s="29"/>
    </row>
    <row r="4474" spans="2:50">
      <c r="B4474" s="19"/>
      <c r="K4474" s="21"/>
      <c r="T4474" s="28"/>
      <c r="AS4474" s="24"/>
      <c r="AT4474" s="24"/>
      <c r="AU4474" s="24"/>
      <c r="AV4474" s="24"/>
      <c r="AX4474" s="29"/>
    </row>
    <row r="4475" spans="2:50">
      <c r="B4475" s="19"/>
      <c r="K4475" s="21"/>
      <c r="T4475" s="28"/>
      <c r="AS4475" s="24"/>
      <c r="AT4475" s="24"/>
      <c r="AU4475" s="24"/>
      <c r="AV4475" s="24"/>
      <c r="AX4475" s="29"/>
    </row>
    <row r="4476" spans="2:50">
      <c r="B4476" s="19"/>
      <c r="K4476" s="21"/>
      <c r="T4476" s="28"/>
      <c r="AS4476" s="24"/>
      <c r="AT4476" s="24"/>
      <c r="AU4476" s="24"/>
      <c r="AV4476" s="24"/>
      <c r="AX4476" s="29"/>
    </row>
    <row r="4477" spans="2:50">
      <c r="B4477" s="19"/>
      <c r="K4477" s="21"/>
      <c r="T4477" s="28"/>
      <c r="AS4477" s="24"/>
      <c r="AT4477" s="24"/>
      <c r="AU4477" s="24"/>
      <c r="AV4477" s="24"/>
      <c r="AX4477" s="29"/>
    </row>
    <row r="4478" spans="2:50">
      <c r="B4478" s="19"/>
      <c r="K4478" s="21"/>
      <c r="T4478" s="28"/>
      <c r="AS4478" s="24"/>
      <c r="AT4478" s="24"/>
      <c r="AU4478" s="24"/>
      <c r="AV4478" s="24"/>
      <c r="AX4478" s="29"/>
    </row>
    <row r="4479" spans="2:50">
      <c r="B4479" s="19"/>
      <c r="K4479" s="21"/>
      <c r="T4479" s="28"/>
      <c r="AS4479" s="24"/>
      <c r="AT4479" s="24"/>
      <c r="AU4479" s="24"/>
      <c r="AV4479" s="24"/>
      <c r="AX4479" s="29"/>
    </row>
    <row r="4480" spans="2:50" ht="12.75" customHeight="1">
      <c r="B4480" s="19"/>
      <c r="K4480" s="21"/>
      <c r="T4480" s="28"/>
      <c r="AS4480" s="24"/>
      <c r="AT4480" s="24"/>
      <c r="AU4480" s="24"/>
      <c r="AV4480" s="24"/>
      <c r="AX4480" s="29"/>
    </row>
    <row r="4481" spans="2:50">
      <c r="B4481" s="19"/>
      <c r="K4481" s="21"/>
      <c r="T4481" s="28"/>
      <c r="AS4481" s="24"/>
      <c r="AT4481" s="24"/>
      <c r="AU4481" s="24"/>
      <c r="AV4481" s="24"/>
      <c r="AX4481" s="29"/>
    </row>
    <row r="4482" spans="2:50">
      <c r="B4482" s="19"/>
      <c r="K4482" s="21"/>
      <c r="T4482" s="28"/>
      <c r="AS4482" s="24"/>
      <c r="AT4482" s="24"/>
      <c r="AU4482" s="24"/>
      <c r="AV4482" s="24"/>
      <c r="AX4482" s="29"/>
    </row>
    <row r="4483" spans="2:50">
      <c r="B4483" s="19"/>
      <c r="K4483" s="21"/>
      <c r="T4483" s="28"/>
      <c r="AS4483" s="24"/>
      <c r="AT4483" s="24"/>
      <c r="AU4483" s="24"/>
      <c r="AV4483" s="24"/>
      <c r="AX4483" s="29"/>
    </row>
    <row r="4484" spans="2:50">
      <c r="B4484" s="19"/>
      <c r="K4484" s="21"/>
      <c r="T4484" s="28"/>
      <c r="AS4484" s="24"/>
      <c r="AT4484" s="24"/>
      <c r="AU4484" s="24"/>
      <c r="AV4484" s="24"/>
      <c r="AX4484" s="29"/>
    </row>
    <row r="4485" spans="2:50">
      <c r="B4485" s="19"/>
      <c r="K4485" s="21"/>
      <c r="T4485" s="28"/>
      <c r="AS4485" s="24"/>
      <c r="AT4485" s="24"/>
      <c r="AU4485" s="24"/>
      <c r="AV4485" s="24"/>
      <c r="AX4485" s="29"/>
    </row>
    <row r="4486" spans="2:50">
      <c r="B4486" s="19"/>
      <c r="K4486" s="21"/>
      <c r="T4486" s="28"/>
      <c r="AS4486" s="24"/>
      <c r="AT4486" s="24"/>
      <c r="AU4486" s="24"/>
      <c r="AV4486" s="24"/>
      <c r="AX4486" s="29"/>
    </row>
    <row r="4487" spans="2:50">
      <c r="B4487" s="19"/>
      <c r="K4487" s="21"/>
      <c r="T4487" s="28"/>
      <c r="AS4487" s="24"/>
      <c r="AT4487" s="24"/>
      <c r="AU4487" s="24"/>
      <c r="AV4487" s="24"/>
      <c r="AX4487" s="29"/>
    </row>
    <row r="4488" spans="2:50">
      <c r="B4488" s="19"/>
      <c r="K4488" s="21"/>
      <c r="T4488" s="28"/>
      <c r="AS4488" s="24"/>
      <c r="AT4488" s="24"/>
      <c r="AU4488" s="24"/>
      <c r="AV4488" s="24"/>
      <c r="AX4488" s="29"/>
    </row>
    <row r="4489" spans="2:50">
      <c r="B4489" s="19"/>
      <c r="K4489" s="21"/>
      <c r="T4489" s="28"/>
      <c r="AS4489" s="24"/>
      <c r="AT4489" s="24"/>
      <c r="AU4489" s="24"/>
      <c r="AV4489" s="24"/>
      <c r="AX4489" s="29"/>
    </row>
    <row r="4490" spans="2:50">
      <c r="B4490" s="19"/>
      <c r="K4490" s="21"/>
      <c r="T4490" s="28"/>
      <c r="AS4490" s="24"/>
      <c r="AT4490" s="24"/>
      <c r="AU4490" s="24"/>
      <c r="AV4490" s="24"/>
      <c r="AX4490" s="29"/>
    </row>
    <row r="4491" spans="2:50">
      <c r="B4491" s="19"/>
      <c r="K4491" s="21"/>
      <c r="T4491" s="28"/>
      <c r="AS4491" s="24"/>
      <c r="AT4491" s="24"/>
      <c r="AU4491" s="24"/>
      <c r="AV4491" s="24"/>
      <c r="AX4491" s="29"/>
    </row>
    <row r="4492" spans="2:50">
      <c r="B4492" s="19"/>
      <c r="K4492" s="21"/>
      <c r="T4492" s="28"/>
      <c r="AS4492" s="24"/>
      <c r="AT4492" s="24"/>
      <c r="AU4492" s="24"/>
      <c r="AV4492" s="24"/>
      <c r="AX4492" s="29"/>
    </row>
    <row r="4493" spans="2:50">
      <c r="B4493" s="19"/>
      <c r="K4493" s="21"/>
      <c r="T4493" s="28"/>
      <c r="AS4493" s="24"/>
      <c r="AT4493" s="24"/>
      <c r="AU4493" s="24"/>
      <c r="AV4493" s="24"/>
      <c r="AX4493" s="29"/>
    </row>
    <row r="4494" spans="2:50">
      <c r="B4494" s="19"/>
      <c r="K4494" s="21"/>
      <c r="T4494" s="28"/>
      <c r="AS4494" s="24"/>
      <c r="AT4494" s="24"/>
      <c r="AU4494" s="24"/>
      <c r="AV4494" s="24"/>
      <c r="AX4494" s="29"/>
    </row>
    <row r="4495" spans="2:50">
      <c r="B4495" s="19"/>
      <c r="K4495" s="21"/>
      <c r="T4495" s="28"/>
      <c r="AS4495" s="24"/>
      <c r="AT4495" s="24"/>
      <c r="AU4495" s="24"/>
      <c r="AV4495" s="24"/>
      <c r="AX4495" s="29"/>
    </row>
    <row r="4496" spans="2:50">
      <c r="B4496" s="19"/>
      <c r="K4496" s="21"/>
      <c r="T4496" s="28"/>
      <c r="AS4496" s="24"/>
      <c r="AT4496" s="24"/>
      <c r="AU4496" s="24"/>
      <c r="AV4496" s="24"/>
      <c r="AX4496" s="29"/>
    </row>
    <row r="4497" spans="2:50">
      <c r="B4497" s="19"/>
      <c r="K4497" s="21"/>
      <c r="T4497" s="28"/>
      <c r="AS4497" s="24"/>
      <c r="AT4497" s="24"/>
      <c r="AU4497" s="24"/>
      <c r="AV4497" s="24"/>
      <c r="AX4497" s="29"/>
    </row>
    <row r="4498" spans="2:50">
      <c r="B4498" s="19"/>
      <c r="K4498" s="21"/>
      <c r="T4498" s="28"/>
      <c r="AS4498" s="24"/>
      <c r="AT4498" s="24"/>
      <c r="AU4498" s="24"/>
      <c r="AV4498" s="24"/>
      <c r="AX4498" s="29"/>
    </row>
    <row r="4499" spans="2:50">
      <c r="B4499" s="19"/>
      <c r="K4499" s="21"/>
      <c r="T4499" s="28"/>
      <c r="AS4499" s="24"/>
      <c r="AT4499" s="24"/>
      <c r="AU4499" s="24"/>
      <c r="AV4499" s="24"/>
      <c r="AX4499" s="29"/>
    </row>
    <row r="4500" spans="2:50">
      <c r="B4500" s="19"/>
      <c r="K4500" s="21"/>
      <c r="T4500" s="28"/>
      <c r="AS4500" s="24"/>
      <c r="AT4500" s="24"/>
      <c r="AU4500" s="24"/>
      <c r="AV4500" s="24"/>
      <c r="AX4500" s="29"/>
    </row>
    <row r="4501" spans="2:50">
      <c r="B4501" s="19"/>
      <c r="K4501" s="21"/>
      <c r="T4501" s="28"/>
      <c r="AS4501" s="24"/>
      <c r="AT4501" s="24"/>
      <c r="AU4501" s="24"/>
      <c r="AV4501" s="24"/>
      <c r="AX4501" s="29"/>
    </row>
    <row r="4502" spans="2:50">
      <c r="B4502" s="19"/>
      <c r="K4502" s="21"/>
      <c r="T4502" s="28"/>
      <c r="AS4502" s="24"/>
      <c r="AT4502" s="24"/>
      <c r="AU4502" s="24"/>
      <c r="AV4502" s="24"/>
      <c r="AX4502" s="29"/>
    </row>
    <row r="4503" spans="2:50">
      <c r="B4503" s="19"/>
      <c r="K4503" s="21"/>
      <c r="T4503" s="28"/>
      <c r="AS4503" s="24"/>
      <c r="AT4503" s="24"/>
      <c r="AU4503" s="24"/>
      <c r="AV4503" s="24"/>
      <c r="AX4503" s="29"/>
    </row>
    <row r="4504" spans="2:50">
      <c r="B4504" s="19"/>
      <c r="K4504" s="21"/>
      <c r="T4504" s="28"/>
      <c r="AS4504" s="24"/>
      <c r="AT4504" s="24"/>
      <c r="AU4504" s="24"/>
      <c r="AV4504" s="24"/>
      <c r="AX4504" s="29"/>
    </row>
    <row r="4505" spans="2:50">
      <c r="B4505" s="19"/>
      <c r="K4505" s="21"/>
      <c r="T4505" s="28"/>
      <c r="AS4505" s="24"/>
      <c r="AT4505" s="24"/>
      <c r="AU4505" s="24"/>
      <c r="AV4505" s="24"/>
      <c r="AX4505" s="29"/>
    </row>
    <row r="4506" spans="2:50">
      <c r="B4506" s="19"/>
      <c r="K4506" s="21"/>
      <c r="T4506" s="28"/>
      <c r="AS4506" s="24"/>
      <c r="AT4506" s="24"/>
      <c r="AU4506" s="24"/>
      <c r="AV4506" s="24"/>
      <c r="AX4506" s="29"/>
    </row>
    <row r="4507" spans="2:50">
      <c r="B4507" s="19"/>
      <c r="K4507" s="21"/>
      <c r="T4507" s="28"/>
      <c r="AS4507" s="24"/>
      <c r="AT4507" s="24"/>
      <c r="AU4507" s="24"/>
      <c r="AV4507" s="24"/>
      <c r="AX4507" s="29"/>
    </row>
    <row r="4508" spans="2:50">
      <c r="B4508" s="19"/>
      <c r="K4508" s="21"/>
      <c r="T4508" s="28"/>
      <c r="AS4508" s="24"/>
      <c r="AT4508" s="24"/>
      <c r="AU4508" s="24"/>
      <c r="AV4508" s="24"/>
      <c r="AX4508" s="29"/>
    </row>
    <row r="4509" spans="2:50">
      <c r="B4509" s="19"/>
      <c r="K4509" s="21"/>
      <c r="T4509" s="28"/>
      <c r="AS4509" s="24"/>
      <c r="AT4509" s="24"/>
      <c r="AU4509" s="24"/>
      <c r="AV4509" s="24"/>
      <c r="AX4509" s="29"/>
    </row>
    <row r="4510" spans="2:50">
      <c r="B4510" s="19"/>
      <c r="K4510" s="21"/>
      <c r="T4510" s="28"/>
      <c r="AS4510" s="24"/>
      <c r="AT4510" s="24"/>
      <c r="AU4510" s="24"/>
      <c r="AV4510" s="24"/>
      <c r="AX4510" s="29"/>
    </row>
    <row r="4511" spans="2:50">
      <c r="B4511" s="19"/>
      <c r="K4511" s="21"/>
      <c r="T4511" s="28"/>
      <c r="AS4511" s="24"/>
      <c r="AT4511" s="24"/>
      <c r="AU4511" s="24"/>
      <c r="AV4511" s="24"/>
      <c r="AX4511" s="29"/>
    </row>
    <row r="4512" spans="2:50">
      <c r="B4512" s="19"/>
      <c r="K4512" s="21"/>
      <c r="T4512" s="28"/>
      <c r="AS4512" s="24"/>
      <c r="AT4512" s="24"/>
      <c r="AU4512" s="24"/>
      <c r="AV4512" s="24"/>
      <c r="AX4512" s="29"/>
    </row>
    <row r="4513" spans="2:50">
      <c r="B4513" s="19"/>
      <c r="K4513" s="21"/>
      <c r="T4513" s="28"/>
      <c r="AS4513" s="24"/>
      <c r="AT4513" s="24"/>
      <c r="AU4513" s="24"/>
      <c r="AV4513" s="24"/>
      <c r="AX4513" s="29"/>
    </row>
    <row r="4514" spans="2:50">
      <c r="B4514" s="19"/>
      <c r="K4514" s="21"/>
      <c r="T4514" s="28"/>
      <c r="AS4514" s="24"/>
      <c r="AT4514" s="24"/>
      <c r="AU4514" s="24"/>
      <c r="AV4514" s="24"/>
      <c r="AX4514" s="29"/>
    </row>
    <row r="4515" spans="2:50">
      <c r="B4515" s="19"/>
      <c r="K4515" s="21"/>
      <c r="T4515" s="28"/>
      <c r="AS4515" s="24"/>
      <c r="AT4515" s="24"/>
      <c r="AU4515" s="24"/>
      <c r="AV4515" s="24"/>
      <c r="AX4515" s="29"/>
    </row>
    <row r="4516" spans="2:50">
      <c r="B4516" s="19"/>
      <c r="K4516" s="21"/>
      <c r="T4516" s="28"/>
      <c r="AS4516" s="24"/>
      <c r="AT4516" s="24"/>
      <c r="AU4516" s="24"/>
      <c r="AV4516" s="24"/>
      <c r="AX4516" s="29"/>
    </row>
    <row r="4517" spans="2:50">
      <c r="B4517" s="19"/>
      <c r="K4517" s="21"/>
      <c r="T4517" s="28"/>
      <c r="AS4517" s="24"/>
      <c r="AT4517" s="24"/>
      <c r="AU4517" s="24"/>
      <c r="AV4517" s="24"/>
      <c r="AX4517" s="29"/>
    </row>
    <row r="4518" spans="2:50">
      <c r="B4518" s="19"/>
      <c r="K4518" s="21"/>
      <c r="T4518" s="28"/>
      <c r="AS4518" s="24"/>
      <c r="AT4518" s="24"/>
      <c r="AU4518" s="24"/>
      <c r="AV4518" s="24"/>
      <c r="AX4518" s="29"/>
    </row>
    <row r="4519" spans="2:50">
      <c r="B4519" s="19"/>
      <c r="K4519" s="21"/>
      <c r="T4519" s="28"/>
      <c r="AS4519" s="24"/>
      <c r="AT4519" s="24"/>
      <c r="AU4519" s="24"/>
      <c r="AV4519" s="24"/>
      <c r="AX4519" s="29"/>
    </row>
    <row r="4520" spans="2:50">
      <c r="B4520" s="19"/>
      <c r="K4520" s="21"/>
      <c r="T4520" s="28"/>
      <c r="AS4520" s="24"/>
      <c r="AT4520" s="24"/>
      <c r="AU4520" s="24"/>
      <c r="AV4520" s="24"/>
      <c r="AX4520" s="29"/>
    </row>
    <row r="4521" spans="2:50">
      <c r="B4521" s="19"/>
      <c r="K4521" s="21"/>
      <c r="T4521" s="28"/>
      <c r="AS4521" s="24"/>
      <c r="AT4521" s="24"/>
      <c r="AU4521" s="24"/>
      <c r="AV4521" s="24"/>
      <c r="AX4521" s="29"/>
    </row>
    <row r="4522" spans="2:50">
      <c r="B4522" s="19"/>
      <c r="K4522" s="21"/>
      <c r="T4522" s="28"/>
      <c r="AS4522" s="24"/>
      <c r="AT4522" s="24"/>
      <c r="AU4522" s="24"/>
      <c r="AV4522" s="24"/>
      <c r="AX4522" s="29"/>
    </row>
    <row r="4523" spans="2:50">
      <c r="B4523" s="19"/>
      <c r="K4523" s="21"/>
      <c r="T4523" s="28"/>
      <c r="AS4523" s="24"/>
      <c r="AT4523" s="24"/>
      <c r="AU4523" s="24"/>
      <c r="AV4523" s="24"/>
      <c r="AX4523" s="29"/>
    </row>
    <row r="4524" spans="2:50">
      <c r="B4524" s="19"/>
      <c r="K4524" s="21"/>
      <c r="T4524" s="28"/>
      <c r="AS4524" s="24"/>
      <c r="AT4524" s="24"/>
      <c r="AU4524" s="24"/>
      <c r="AV4524" s="24"/>
      <c r="AX4524" s="29"/>
    </row>
    <row r="4525" spans="2:50">
      <c r="B4525" s="19"/>
      <c r="K4525" s="21"/>
      <c r="T4525" s="28"/>
      <c r="AS4525" s="24"/>
      <c r="AT4525" s="24"/>
      <c r="AU4525" s="24"/>
      <c r="AV4525" s="24"/>
      <c r="AX4525" s="29"/>
    </row>
    <row r="4526" spans="2:50">
      <c r="B4526" s="19"/>
      <c r="K4526" s="21"/>
      <c r="T4526" s="28"/>
      <c r="AS4526" s="24"/>
      <c r="AT4526" s="24"/>
      <c r="AU4526" s="24"/>
      <c r="AV4526" s="24"/>
      <c r="AX4526" s="29"/>
    </row>
    <row r="4527" spans="2:50">
      <c r="B4527" s="19"/>
      <c r="K4527" s="21"/>
      <c r="T4527" s="28"/>
      <c r="AS4527" s="24"/>
      <c r="AT4527" s="24"/>
      <c r="AU4527" s="24"/>
      <c r="AV4527" s="24"/>
      <c r="AX4527" s="29"/>
    </row>
    <row r="4528" spans="2:50">
      <c r="B4528" s="19"/>
      <c r="K4528" s="21"/>
      <c r="T4528" s="28"/>
      <c r="AS4528" s="24"/>
      <c r="AT4528" s="24"/>
      <c r="AU4528" s="24"/>
      <c r="AV4528" s="24"/>
      <c r="AX4528" s="29"/>
    </row>
    <row r="4529" spans="2:50">
      <c r="B4529" s="19"/>
      <c r="K4529" s="21"/>
      <c r="T4529" s="28"/>
      <c r="AS4529" s="24"/>
      <c r="AT4529" s="24"/>
      <c r="AU4529" s="24"/>
      <c r="AV4529" s="24"/>
      <c r="AX4529" s="29"/>
    </row>
    <row r="4530" spans="2:50">
      <c r="B4530" s="19"/>
      <c r="K4530" s="21"/>
      <c r="T4530" s="28"/>
      <c r="AS4530" s="24"/>
      <c r="AT4530" s="24"/>
      <c r="AU4530" s="24"/>
      <c r="AV4530" s="24"/>
      <c r="AX4530" s="29"/>
    </row>
    <row r="4531" spans="2:50">
      <c r="B4531" s="19"/>
      <c r="K4531" s="21"/>
      <c r="T4531" s="28"/>
      <c r="AS4531" s="24"/>
      <c r="AT4531" s="24"/>
      <c r="AU4531" s="24"/>
      <c r="AV4531" s="24"/>
      <c r="AX4531" s="29"/>
    </row>
    <row r="4532" spans="2:50">
      <c r="B4532" s="19"/>
      <c r="K4532" s="21"/>
      <c r="T4532" s="28"/>
      <c r="AS4532" s="24"/>
      <c r="AT4532" s="24"/>
      <c r="AU4532" s="24"/>
      <c r="AV4532" s="24"/>
      <c r="AX4532" s="29"/>
    </row>
    <row r="4533" spans="2:50">
      <c r="B4533" s="19"/>
      <c r="K4533" s="21"/>
      <c r="T4533" s="28"/>
      <c r="AS4533" s="24"/>
      <c r="AT4533" s="24"/>
      <c r="AU4533" s="24"/>
      <c r="AV4533" s="24"/>
      <c r="AX4533" s="29"/>
    </row>
    <row r="4534" spans="2:50">
      <c r="B4534" s="19"/>
      <c r="K4534" s="21"/>
      <c r="T4534" s="28"/>
      <c r="AS4534" s="24"/>
      <c r="AT4534" s="24"/>
      <c r="AU4534" s="24"/>
      <c r="AV4534" s="24"/>
      <c r="AX4534" s="29"/>
    </row>
    <row r="4535" spans="2:50">
      <c r="B4535" s="19"/>
      <c r="K4535" s="21"/>
      <c r="T4535" s="28"/>
      <c r="AS4535" s="24"/>
      <c r="AT4535" s="24"/>
      <c r="AU4535" s="24"/>
      <c r="AV4535" s="24"/>
      <c r="AX4535" s="29"/>
    </row>
    <row r="4536" spans="2:50">
      <c r="B4536" s="19"/>
      <c r="K4536" s="21"/>
      <c r="T4536" s="28"/>
      <c r="AS4536" s="24"/>
      <c r="AT4536" s="24"/>
      <c r="AU4536" s="24"/>
      <c r="AV4536" s="24"/>
      <c r="AX4536" s="29"/>
    </row>
    <row r="4537" spans="2:50">
      <c r="B4537" s="19"/>
      <c r="K4537" s="21"/>
      <c r="T4537" s="28"/>
      <c r="AS4537" s="24"/>
      <c r="AT4537" s="24"/>
      <c r="AU4537" s="24"/>
      <c r="AV4537" s="24"/>
      <c r="AX4537" s="29"/>
    </row>
    <row r="4538" spans="2:50" ht="10.5" customHeight="1">
      <c r="B4538" s="19"/>
      <c r="K4538" s="21"/>
      <c r="T4538" s="28"/>
      <c r="AS4538" s="24"/>
      <c r="AT4538" s="24"/>
      <c r="AU4538" s="24"/>
      <c r="AV4538" s="24"/>
      <c r="AX4538" s="29"/>
    </row>
    <row r="4539" spans="2:50">
      <c r="B4539" s="19"/>
      <c r="K4539" s="21"/>
      <c r="T4539" s="28"/>
      <c r="AS4539" s="24"/>
      <c r="AT4539" s="24"/>
      <c r="AU4539" s="24"/>
      <c r="AV4539" s="24"/>
      <c r="AX4539" s="29"/>
    </row>
    <row r="4540" spans="2:50">
      <c r="B4540" s="19"/>
      <c r="K4540" s="21"/>
      <c r="T4540" s="28"/>
      <c r="AS4540" s="24"/>
      <c r="AT4540" s="24"/>
      <c r="AU4540" s="24"/>
      <c r="AV4540" s="24"/>
      <c r="AX4540" s="29"/>
    </row>
    <row r="4541" spans="2:50">
      <c r="B4541" s="19"/>
      <c r="K4541" s="21"/>
      <c r="T4541" s="28"/>
      <c r="AS4541" s="24"/>
      <c r="AT4541" s="24"/>
      <c r="AU4541" s="24"/>
      <c r="AV4541" s="24"/>
      <c r="AX4541" s="29"/>
    </row>
    <row r="4542" spans="2:50">
      <c r="B4542" s="19"/>
      <c r="K4542" s="21"/>
      <c r="T4542" s="28"/>
      <c r="AS4542" s="24"/>
      <c r="AT4542" s="24"/>
      <c r="AU4542" s="24"/>
      <c r="AV4542" s="24"/>
      <c r="AX4542" s="29"/>
    </row>
    <row r="4543" spans="2:50">
      <c r="B4543" s="19"/>
      <c r="K4543" s="21"/>
      <c r="T4543" s="28"/>
      <c r="AS4543" s="24"/>
      <c r="AT4543" s="24"/>
      <c r="AU4543" s="24"/>
      <c r="AV4543" s="24"/>
      <c r="AX4543" s="29"/>
    </row>
    <row r="4544" spans="2:50">
      <c r="B4544" s="19"/>
      <c r="K4544" s="21"/>
      <c r="T4544" s="28"/>
      <c r="AS4544" s="24"/>
      <c r="AT4544" s="24"/>
      <c r="AU4544" s="24"/>
      <c r="AV4544" s="24"/>
      <c r="AX4544" s="29"/>
    </row>
    <row r="4545" spans="2:50">
      <c r="B4545" s="19"/>
      <c r="K4545" s="21"/>
      <c r="T4545" s="28"/>
      <c r="AS4545" s="24"/>
      <c r="AT4545" s="24"/>
      <c r="AU4545" s="24"/>
      <c r="AV4545" s="24"/>
      <c r="AX4545" s="29"/>
    </row>
    <row r="4546" spans="2:50">
      <c r="B4546" s="19"/>
      <c r="K4546" s="21"/>
      <c r="T4546" s="28"/>
      <c r="AS4546" s="24"/>
      <c r="AT4546" s="24"/>
      <c r="AU4546" s="24"/>
      <c r="AV4546" s="24"/>
      <c r="AX4546" s="29"/>
    </row>
    <row r="4547" spans="2:50">
      <c r="B4547" s="19"/>
      <c r="K4547" s="21"/>
      <c r="T4547" s="28"/>
      <c r="AS4547" s="24"/>
      <c r="AT4547" s="24"/>
      <c r="AU4547" s="24"/>
      <c r="AV4547" s="24"/>
      <c r="AX4547" s="29"/>
    </row>
    <row r="4548" spans="2:50">
      <c r="B4548" s="19"/>
      <c r="K4548" s="21"/>
      <c r="T4548" s="28"/>
      <c r="AS4548" s="24"/>
      <c r="AT4548" s="24"/>
      <c r="AU4548" s="24"/>
      <c r="AV4548" s="24"/>
      <c r="AX4548" s="29"/>
    </row>
    <row r="4549" spans="2:50">
      <c r="B4549" s="19"/>
      <c r="K4549" s="21"/>
      <c r="T4549" s="28"/>
      <c r="AS4549" s="24"/>
      <c r="AT4549" s="24"/>
      <c r="AU4549" s="24"/>
      <c r="AV4549" s="24"/>
      <c r="AX4549" s="29"/>
    </row>
    <row r="4550" spans="2:50">
      <c r="B4550" s="19"/>
      <c r="K4550" s="21"/>
      <c r="T4550" s="28"/>
      <c r="AS4550" s="24"/>
      <c r="AT4550" s="24"/>
      <c r="AU4550" s="24"/>
      <c r="AV4550" s="24"/>
      <c r="AX4550" s="29"/>
    </row>
    <row r="4551" spans="2:50">
      <c r="B4551" s="19"/>
      <c r="K4551" s="21"/>
      <c r="T4551" s="28"/>
      <c r="AS4551" s="24"/>
      <c r="AT4551" s="24"/>
      <c r="AU4551" s="24"/>
      <c r="AV4551" s="24"/>
      <c r="AX4551" s="29"/>
    </row>
    <row r="4552" spans="2:50">
      <c r="B4552" s="19"/>
      <c r="K4552" s="21"/>
      <c r="T4552" s="28"/>
      <c r="AS4552" s="24"/>
      <c r="AT4552" s="24"/>
      <c r="AU4552" s="24"/>
      <c r="AV4552" s="24"/>
      <c r="AX4552" s="29"/>
    </row>
    <row r="4553" spans="2:50">
      <c r="B4553" s="19"/>
      <c r="K4553" s="21"/>
      <c r="T4553" s="28"/>
      <c r="AS4553" s="24"/>
      <c r="AT4553" s="24"/>
      <c r="AU4553" s="24"/>
      <c r="AV4553" s="24"/>
      <c r="AX4553" s="29"/>
    </row>
    <row r="4554" spans="2:50">
      <c r="B4554" s="19"/>
      <c r="K4554" s="21"/>
      <c r="T4554" s="28"/>
      <c r="AS4554" s="24"/>
      <c r="AT4554" s="24"/>
      <c r="AU4554" s="24"/>
      <c r="AV4554" s="24"/>
      <c r="AX4554" s="29"/>
    </row>
    <row r="4555" spans="2:50">
      <c r="B4555" s="19"/>
      <c r="K4555" s="21"/>
      <c r="T4555" s="28"/>
      <c r="AS4555" s="24"/>
      <c r="AT4555" s="24"/>
      <c r="AU4555" s="24"/>
      <c r="AV4555" s="24"/>
      <c r="AX4555" s="29"/>
    </row>
    <row r="4556" spans="2:50">
      <c r="B4556" s="19"/>
      <c r="K4556" s="21"/>
      <c r="T4556" s="28"/>
      <c r="AS4556" s="24"/>
      <c r="AT4556" s="24"/>
      <c r="AU4556" s="24"/>
      <c r="AV4556" s="24"/>
      <c r="AX4556" s="29"/>
    </row>
    <row r="4557" spans="2:50">
      <c r="B4557" s="19"/>
      <c r="K4557" s="21"/>
      <c r="T4557" s="28"/>
      <c r="AS4557" s="24"/>
      <c r="AT4557" s="24"/>
      <c r="AU4557" s="24"/>
      <c r="AV4557" s="24"/>
      <c r="AX4557" s="29"/>
    </row>
    <row r="4558" spans="2:50">
      <c r="B4558" s="19"/>
      <c r="K4558" s="21"/>
      <c r="T4558" s="28"/>
      <c r="AS4558" s="24"/>
      <c r="AT4558" s="24"/>
      <c r="AU4558" s="24"/>
      <c r="AV4558" s="24"/>
      <c r="AX4558" s="29"/>
    </row>
    <row r="4559" spans="2:50">
      <c r="B4559" s="19"/>
      <c r="K4559" s="21"/>
      <c r="T4559" s="28"/>
      <c r="AS4559" s="24"/>
      <c r="AT4559" s="24"/>
      <c r="AU4559" s="24"/>
      <c r="AV4559" s="24"/>
      <c r="AX4559" s="29"/>
    </row>
    <row r="4560" spans="2:50">
      <c r="B4560" s="19"/>
      <c r="K4560" s="21"/>
      <c r="T4560" s="28"/>
      <c r="AS4560" s="24"/>
      <c r="AT4560" s="24"/>
      <c r="AU4560" s="24"/>
      <c r="AV4560" s="24"/>
      <c r="AX4560" s="29"/>
    </row>
    <row r="4561" spans="2:50">
      <c r="B4561" s="19"/>
      <c r="K4561" s="21"/>
      <c r="T4561" s="28"/>
      <c r="AS4561" s="24"/>
      <c r="AT4561" s="24"/>
      <c r="AU4561" s="24"/>
      <c r="AV4561" s="24"/>
      <c r="AX4561" s="29"/>
    </row>
    <row r="4562" spans="2:50">
      <c r="B4562" s="19"/>
      <c r="K4562" s="21"/>
      <c r="T4562" s="28"/>
      <c r="AS4562" s="24"/>
      <c r="AT4562" s="24"/>
      <c r="AU4562" s="24"/>
      <c r="AV4562" s="24"/>
      <c r="AX4562" s="29"/>
    </row>
    <row r="4563" spans="2:50">
      <c r="B4563" s="19"/>
      <c r="K4563" s="21"/>
      <c r="T4563" s="28"/>
      <c r="AS4563" s="24"/>
      <c r="AT4563" s="24"/>
      <c r="AU4563" s="24"/>
      <c r="AV4563" s="24"/>
      <c r="AX4563" s="29"/>
    </row>
    <row r="4564" spans="2:50">
      <c r="B4564" s="19"/>
      <c r="K4564" s="21"/>
      <c r="T4564" s="28"/>
      <c r="AS4564" s="24"/>
      <c r="AT4564" s="24"/>
      <c r="AU4564" s="24"/>
      <c r="AV4564" s="24"/>
      <c r="AX4564" s="29"/>
    </row>
    <row r="4565" spans="2:50">
      <c r="B4565" s="19"/>
      <c r="K4565" s="21"/>
      <c r="T4565" s="28"/>
      <c r="AS4565" s="24"/>
      <c r="AT4565" s="24"/>
      <c r="AU4565" s="24"/>
      <c r="AV4565" s="24"/>
      <c r="AX4565" s="29"/>
    </row>
    <row r="4566" spans="2:50">
      <c r="B4566" s="19"/>
      <c r="K4566" s="21"/>
      <c r="T4566" s="28"/>
      <c r="AS4566" s="24"/>
      <c r="AT4566" s="24"/>
      <c r="AU4566" s="24"/>
      <c r="AV4566" s="24"/>
      <c r="AX4566" s="29"/>
    </row>
    <row r="4567" spans="2:50">
      <c r="B4567" s="19"/>
      <c r="K4567" s="21"/>
      <c r="T4567" s="28"/>
      <c r="AS4567" s="24"/>
      <c r="AT4567" s="24"/>
      <c r="AU4567" s="24"/>
      <c r="AV4567" s="24"/>
      <c r="AX4567" s="29"/>
    </row>
    <row r="4568" spans="2:50">
      <c r="B4568" s="19"/>
      <c r="K4568" s="21"/>
      <c r="T4568" s="28"/>
      <c r="AS4568" s="24"/>
      <c r="AT4568" s="24"/>
      <c r="AU4568" s="24"/>
      <c r="AV4568" s="24"/>
      <c r="AX4568" s="29"/>
    </row>
    <row r="4569" spans="2:50">
      <c r="B4569" s="19"/>
      <c r="K4569" s="21"/>
      <c r="T4569" s="28"/>
      <c r="AS4569" s="24"/>
      <c r="AT4569" s="24"/>
      <c r="AU4569" s="24"/>
      <c r="AV4569" s="24"/>
      <c r="AX4569" s="29"/>
    </row>
    <row r="4570" spans="2:50">
      <c r="B4570" s="19"/>
      <c r="K4570" s="21"/>
      <c r="T4570" s="28"/>
      <c r="AS4570" s="24"/>
      <c r="AT4570" s="24"/>
      <c r="AU4570" s="24"/>
      <c r="AV4570" s="24"/>
      <c r="AX4570" s="29"/>
    </row>
    <row r="4571" spans="2:50">
      <c r="B4571" s="19"/>
      <c r="K4571" s="21"/>
      <c r="T4571" s="28"/>
      <c r="AS4571" s="24"/>
      <c r="AT4571" s="24"/>
      <c r="AU4571" s="24"/>
      <c r="AV4571" s="24"/>
      <c r="AX4571" s="29"/>
    </row>
    <row r="4572" spans="2:50">
      <c r="B4572" s="19"/>
      <c r="K4572" s="21"/>
      <c r="T4572" s="28"/>
      <c r="AS4572" s="24"/>
      <c r="AT4572" s="24"/>
      <c r="AU4572" s="24"/>
      <c r="AV4572" s="24"/>
      <c r="AX4572" s="29"/>
    </row>
    <row r="4573" spans="2:50">
      <c r="B4573" s="19"/>
      <c r="K4573" s="21"/>
      <c r="T4573" s="28"/>
      <c r="AS4573" s="24"/>
      <c r="AT4573" s="24"/>
      <c r="AU4573" s="24"/>
      <c r="AV4573" s="24"/>
      <c r="AX4573" s="29"/>
    </row>
    <row r="4574" spans="2:50">
      <c r="B4574" s="19"/>
      <c r="K4574" s="21"/>
      <c r="T4574" s="28"/>
      <c r="AS4574" s="24"/>
      <c r="AT4574" s="24"/>
      <c r="AU4574" s="24"/>
      <c r="AV4574" s="24"/>
      <c r="AX4574" s="29"/>
    </row>
    <row r="4575" spans="2:50">
      <c r="B4575" s="19"/>
      <c r="K4575" s="21"/>
      <c r="T4575" s="28"/>
      <c r="AS4575" s="24"/>
      <c r="AT4575" s="24"/>
      <c r="AU4575" s="24"/>
      <c r="AV4575" s="24"/>
      <c r="AX4575" s="29"/>
    </row>
    <row r="4576" spans="2:50">
      <c r="B4576" s="19"/>
      <c r="K4576" s="21"/>
      <c r="T4576" s="28"/>
      <c r="AS4576" s="24"/>
      <c r="AT4576" s="24"/>
      <c r="AU4576" s="24"/>
      <c r="AV4576" s="24"/>
      <c r="AX4576" s="29"/>
    </row>
    <row r="4577" spans="2:50">
      <c r="B4577" s="19"/>
      <c r="K4577" s="21"/>
      <c r="T4577" s="28"/>
      <c r="AS4577" s="24"/>
      <c r="AT4577" s="24"/>
      <c r="AU4577" s="24"/>
      <c r="AV4577" s="24"/>
      <c r="AX4577" s="29"/>
    </row>
    <row r="4578" spans="2:50">
      <c r="B4578" s="19"/>
      <c r="K4578" s="21"/>
      <c r="T4578" s="28"/>
      <c r="AS4578" s="24"/>
      <c r="AT4578" s="24"/>
      <c r="AU4578" s="24"/>
      <c r="AV4578" s="24"/>
      <c r="AX4578" s="29"/>
    </row>
    <row r="4579" spans="2:50">
      <c r="B4579" s="19"/>
      <c r="K4579" s="21"/>
      <c r="T4579" s="28"/>
      <c r="AS4579" s="24"/>
      <c r="AT4579" s="24"/>
      <c r="AU4579" s="24"/>
      <c r="AV4579" s="24"/>
      <c r="AX4579" s="29"/>
    </row>
    <row r="4580" spans="2:50">
      <c r="B4580" s="19"/>
      <c r="K4580" s="21"/>
      <c r="T4580" s="28"/>
      <c r="AS4580" s="24"/>
      <c r="AT4580" s="24"/>
      <c r="AU4580" s="24"/>
      <c r="AV4580" s="24"/>
      <c r="AX4580" s="29"/>
    </row>
    <row r="4581" spans="2:50">
      <c r="B4581" s="19"/>
      <c r="K4581" s="21"/>
      <c r="T4581" s="28"/>
      <c r="AS4581" s="24"/>
      <c r="AT4581" s="24"/>
      <c r="AU4581" s="24"/>
      <c r="AV4581" s="24"/>
      <c r="AX4581" s="29"/>
    </row>
    <row r="4582" spans="2:50">
      <c r="B4582" s="19"/>
      <c r="K4582" s="21"/>
      <c r="T4582" s="28"/>
      <c r="AS4582" s="24"/>
      <c r="AT4582" s="24"/>
      <c r="AU4582" s="24"/>
      <c r="AV4582" s="24"/>
      <c r="AX4582" s="29"/>
    </row>
    <row r="4583" spans="2:50">
      <c r="B4583" s="19"/>
      <c r="K4583" s="21"/>
      <c r="T4583" s="28"/>
      <c r="AS4583" s="24"/>
      <c r="AT4583" s="24"/>
      <c r="AU4583" s="24"/>
      <c r="AV4583" s="24"/>
      <c r="AX4583" s="29"/>
    </row>
    <row r="4584" spans="2:50">
      <c r="B4584" s="19"/>
      <c r="K4584" s="21"/>
      <c r="T4584" s="28"/>
      <c r="AS4584" s="24"/>
      <c r="AT4584" s="24"/>
      <c r="AU4584" s="24"/>
      <c r="AV4584" s="24"/>
      <c r="AX4584" s="29"/>
    </row>
    <row r="4585" spans="2:50">
      <c r="B4585" s="19"/>
      <c r="K4585" s="21"/>
      <c r="T4585" s="28"/>
      <c r="AS4585" s="24"/>
      <c r="AT4585" s="24"/>
      <c r="AU4585" s="24"/>
      <c r="AV4585" s="24"/>
      <c r="AX4585" s="29"/>
    </row>
    <row r="4586" spans="2:50">
      <c r="B4586" s="19"/>
      <c r="K4586" s="21"/>
      <c r="T4586" s="28"/>
      <c r="AS4586" s="24"/>
      <c r="AT4586" s="24"/>
      <c r="AU4586" s="24"/>
      <c r="AV4586" s="24"/>
      <c r="AX4586" s="29"/>
    </row>
    <row r="4587" spans="2:50">
      <c r="B4587" s="19"/>
      <c r="K4587" s="21"/>
      <c r="T4587" s="28"/>
      <c r="AS4587" s="24"/>
      <c r="AT4587" s="24"/>
      <c r="AU4587" s="24"/>
      <c r="AV4587" s="24"/>
      <c r="AX4587" s="29"/>
    </row>
    <row r="4588" spans="2:50">
      <c r="B4588" s="19"/>
      <c r="K4588" s="21"/>
      <c r="T4588" s="28"/>
      <c r="AS4588" s="24"/>
      <c r="AT4588" s="24"/>
      <c r="AU4588" s="24"/>
      <c r="AV4588" s="24"/>
      <c r="AX4588" s="29"/>
    </row>
    <row r="4589" spans="2:50">
      <c r="B4589" s="19"/>
      <c r="K4589" s="21"/>
      <c r="T4589" s="28"/>
      <c r="AS4589" s="24"/>
      <c r="AT4589" s="24"/>
      <c r="AU4589" s="24"/>
      <c r="AV4589" s="24"/>
      <c r="AX4589" s="29"/>
    </row>
    <row r="4590" spans="2:50">
      <c r="B4590" s="19"/>
      <c r="K4590" s="21"/>
      <c r="T4590" s="28"/>
      <c r="AS4590" s="24"/>
      <c r="AT4590" s="24"/>
      <c r="AU4590" s="24"/>
      <c r="AV4590" s="24"/>
      <c r="AX4590" s="29"/>
    </row>
    <row r="4591" spans="2:50">
      <c r="B4591" s="19"/>
      <c r="K4591" s="21"/>
      <c r="T4591" s="28"/>
      <c r="AS4591" s="24"/>
      <c r="AT4591" s="24"/>
      <c r="AU4591" s="24"/>
      <c r="AV4591" s="24"/>
      <c r="AX4591" s="29"/>
    </row>
    <row r="4592" spans="2:50">
      <c r="B4592" s="19"/>
      <c r="K4592" s="21"/>
      <c r="T4592" s="28"/>
      <c r="AS4592" s="24"/>
      <c r="AT4592" s="24"/>
      <c r="AU4592" s="24"/>
      <c r="AV4592" s="24"/>
      <c r="AX4592" s="29"/>
    </row>
    <row r="4593" spans="2:50">
      <c r="B4593" s="19"/>
      <c r="K4593" s="21"/>
      <c r="T4593" s="28"/>
      <c r="AS4593" s="24"/>
      <c r="AT4593" s="24"/>
      <c r="AU4593" s="24"/>
      <c r="AV4593" s="24"/>
      <c r="AX4593" s="29"/>
    </row>
    <row r="4594" spans="2:50">
      <c r="B4594" s="19"/>
      <c r="K4594" s="21"/>
      <c r="T4594" s="28"/>
      <c r="AS4594" s="24"/>
      <c r="AT4594" s="24"/>
      <c r="AU4594" s="24"/>
      <c r="AV4594" s="24"/>
      <c r="AX4594" s="29"/>
    </row>
    <row r="4595" spans="2:50">
      <c r="B4595" s="19"/>
      <c r="K4595" s="21"/>
      <c r="T4595" s="28"/>
      <c r="AS4595" s="24"/>
      <c r="AT4595" s="24"/>
      <c r="AU4595" s="24"/>
      <c r="AV4595" s="24"/>
      <c r="AX4595" s="29"/>
    </row>
    <row r="4596" spans="2:50">
      <c r="B4596" s="19"/>
      <c r="K4596" s="21"/>
      <c r="T4596" s="28"/>
      <c r="AS4596" s="24"/>
      <c r="AT4596" s="24"/>
      <c r="AU4596" s="24"/>
      <c r="AV4596" s="24"/>
      <c r="AX4596" s="29"/>
    </row>
    <row r="4597" spans="2:50">
      <c r="B4597" s="19"/>
      <c r="K4597" s="21"/>
      <c r="T4597" s="28"/>
      <c r="AS4597" s="24"/>
      <c r="AT4597" s="24"/>
      <c r="AU4597" s="24"/>
      <c r="AV4597" s="24"/>
      <c r="AX4597" s="29"/>
    </row>
    <row r="4598" spans="2:50">
      <c r="B4598" s="19"/>
      <c r="K4598" s="21"/>
      <c r="T4598" s="28"/>
      <c r="AS4598" s="24"/>
      <c r="AT4598" s="24"/>
      <c r="AU4598" s="24"/>
      <c r="AV4598" s="24"/>
      <c r="AX4598" s="29"/>
    </row>
    <row r="4599" spans="2:50">
      <c r="B4599" s="19"/>
      <c r="K4599" s="21"/>
      <c r="T4599" s="28"/>
      <c r="AS4599" s="24"/>
      <c r="AT4599" s="24"/>
      <c r="AU4599" s="24"/>
      <c r="AV4599" s="24"/>
      <c r="AX4599" s="29"/>
    </row>
    <row r="4600" spans="2:50">
      <c r="B4600" s="19"/>
      <c r="K4600" s="21"/>
      <c r="T4600" s="28"/>
      <c r="AS4600" s="24"/>
      <c r="AT4600" s="24"/>
      <c r="AU4600" s="24"/>
      <c r="AV4600" s="24"/>
      <c r="AX4600" s="29"/>
    </row>
    <row r="4601" spans="2:50">
      <c r="B4601" s="19"/>
      <c r="K4601" s="21"/>
      <c r="T4601" s="28"/>
      <c r="AS4601" s="24"/>
      <c r="AT4601" s="24"/>
      <c r="AU4601" s="24"/>
      <c r="AV4601" s="24"/>
      <c r="AX4601" s="29"/>
    </row>
    <row r="4602" spans="2:50">
      <c r="B4602" s="19"/>
      <c r="K4602" s="21"/>
      <c r="T4602" s="28"/>
      <c r="AS4602" s="24"/>
      <c r="AT4602" s="24"/>
      <c r="AU4602" s="24"/>
      <c r="AV4602" s="24"/>
      <c r="AX4602" s="29"/>
    </row>
    <row r="4603" spans="2:50">
      <c r="B4603" s="19"/>
      <c r="K4603" s="21"/>
      <c r="T4603" s="28"/>
      <c r="AS4603" s="24"/>
      <c r="AT4603" s="24"/>
      <c r="AU4603" s="24"/>
      <c r="AV4603" s="24"/>
      <c r="AX4603" s="29"/>
    </row>
    <row r="4604" spans="2:50">
      <c r="B4604" s="19"/>
      <c r="K4604" s="21"/>
      <c r="T4604" s="28"/>
      <c r="AS4604" s="24"/>
      <c r="AT4604" s="24"/>
      <c r="AU4604" s="24"/>
      <c r="AV4604" s="24"/>
      <c r="AX4604" s="29"/>
    </row>
    <row r="4605" spans="2:50">
      <c r="B4605" s="19"/>
      <c r="K4605" s="21"/>
      <c r="T4605" s="28"/>
      <c r="AS4605" s="24"/>
      <c r="AT4605" s="24"/>
      <c r="AU4605" s="24"/>
      <c r="AV4605" s="24"/>
      <c r="AX4605" s="29"/>
    </row>
    <row r="4606" spans="2:50">
      <c r="B4606" s="19"/>
      <c r="K4606" s="21"/>
      <c r="T4606" s="28"/>
      <c r="AS4606" s="24"/>
      <c r="AT4606" s="24"/>
      <c r="AU4606" s="24"/>
      <c r="AV4606" s="24"/>
      <c r="AX4606" s="29"/>
    </row>
    <row r="4607" spans="2:50">
      <c r="B4607" s="19"/>
      <c r="K4607" s="21"/>
      <c r="T4607" s="28"/>
      <c r="AS4607" s="24"/>
      <c r="AT4607" s="24"/>
      <c r="AU4607" s="24"/>
      <c r="AV4607" s="24"/>
      <c r="AX4607" s="29"/>
    </row>
    <row r="4608" spans="2:50">
      <c r="B4608" s="19"/>
      <c r="K4608" s="21"/>
      <c r="T4608" s="28"/>
      <c r="AS4608" s="24"/>
      <c r="AT4608" s="24"/>
      <c r="AU4608" s="24"/>
      <c r="AV4608" s="24"/>
      <c r="AX4608" s="29"/>
    </row>
    <row r="4609" spans="2:50">
      <c r="B4609" s="19"/>
      <c r="K4609" s="21"/>
      <c r="T4609" s="28"/>
      <c r="AS4609" s="24"/>
      <c r="AT4609" s="24"/>
      <c r="AU4609" s="24"/>
      <c r="AV4609" s="24"/>
      <c r="AX4609" s="29"/>
    </row>
    <row r="4610" spans="2:50">
      <c r="B4610" s="19"/>
      <c r="K4610" s="21"/>
      <c r="T4610" s="28"/>
      <c r="AS4610" s="24"/>
      <c r="AT4610" s="24"/>
      <c r="AU4610" s="24"/>
      <c r="AV4610" s="24"/>
      <c r="AX4610" s="29"/>
    </row>
    <row r="4611" spans="2:50">
      <c r="B4611" s="19"/>
      <c r="K4611" s="21"/>
      <c r="T4611" s="28"/>
      <c r="AS4611" s="24"/>
      <c r="AT4611" s="24"/>
      <c r="AU4611" s="24"/>
      <c r="AV4611" s="24"/>
      <c r="AX4611" s="29"/>
    </row>
    <row r="4612" spans="2:50">
      <c r="B4612" s="19"/>
      <c r="T4612" s="28"/>
      <c r="AS4612" s="24"/>
      <c r="AT4612" s="24"/>
      <c r="AU4612" s="24"/>
      <c r="AV4612" s="24"/>
      <c r="AX4612" s="29"/>
    </row>
    <row r="4613" spans="2:50">
      <c r="B4613" s="19"/>
      <c r="K4613" s="21"/>
      <c r="T4613" s="28"/>
      <c r="AS4613" s="24"/>
      <c r="AT4613" s="24"/>
      <c r="AU4613" s="24"/>
      <c r="AV4613" s="24"/>
      <c r="AX4613" s="29"/>
    </row>
    <row r="4614" spans="2:50">
      <c r="B4614" s="19"/>
      <c r="K4614" s="21"/>
      <c r="T4614" s="28"/>
      <c r="AS4614" s="24"/>
      <c r="AT4614" s="24"/>
      <c r="AU4614" s="24"/>
      <c r="AV4614" s="24"/>
      <c r="AX4614" s="29"/>
    </row>
    <row r="4615" spans="2:50">
      <c r="B4615" s="19"/>
      <c r="K4615" s="21"/>
      <c r="T4615" s="28"/>
      <c r="AS4615" s="24"/>
      <c r="AT4615" s="24"/>
      <c r="AU4615" s="24"/>
      <c r="AV4615" s="24"/>
      <c r="AX4615" s="29"/>
    </row>
    <row r="4616" spans="2:50">
      <c r="B4616" s="19"/>
      <c r="K4616" s="21"/>
      <c r="T4616" s="28"/>
      <c r="AS4616" s="24"/>
      <c r="AT4616" s="24"/>
      <c r="AU4616" s="24"/>
      <c r="AV4616" s="24"/>
      <c r="AX4616" s="29"/>
    </row>
    <row r="4617" spans="2:50">
      <c r="B4617" s="19"/>
      <c r="K4617" s="21"/>
      <c r="T4617" s="28"/>
      <c r="AS4617" s="24"/>
      <c r="AT4617" s="24"/>
      <c r="AU4617" s="24"/>
      <c r="AV4617" s="24"/>
      <c r="AX4617" s="29"/>
    </row>
    <row r="4618" spans="2:50">
      <c r="B4618" s="19"/>
      <c r="K4618" s="21"/>
      <c r="T4618" s="28"/>
      <c r="AS4618" s="24"/>
      <c r="AT4618" s="24"/>
      <c r="AU4618" s="24"/>
      <c r="AV4618" s="24"/>
      <c r="AX4618" s="29"/>
    </row>
    <row r="4619" spans="2:50">
      <c r="B4619" s="19"/>
      <c r="K4619" s="21"/>
      <c r="T4619" s="28"/>
      <c r="AS4619" s="24"/>
      <c r="AT4619" s="24"/>
      <c r="AU4619" s="24"/>
      <c r="AV4619" s="24"/>
      <c r="AX4619" s="29"/>
    </row>
    <row r="4620" spans="2:50">
      <c r="B4620" s="19"/>
      <c r="K4620" s="21"/>
      <c r="T4620" s="28"/>
      <c r="AS4620" s="24"/>
      <c r="AT4620" s="24"/>
      <c r="AU4620" s="24"/>
      <c r="AV4620" s="24"/>
      <c r="AX4620" s="29"/>
    </row>
    <row r="4621" spans="2:50">
      <c r="B4621" s="19"/>
      <c r="K4621" s="21"/>
      <c r="T4621" s="28"/>
      <c r="AS4621" s="24"/>
      <c r="AT4621" s="24"/>
      <c r="AU4621" s="24"/>
      <c r="AV4621" s="24"/>
      <c r="AX4621" s="29"/>
    </row>
    <row r="4622" spans="2:50">
      <c r="B4622" s="19"/>
      <c r="K4622" s="21"/>
      <c r="T4622" s="28"/>
      <c r="AS4622" s="24"/>
      <c r="AT4622" s="24"/>
      <c r="AU4622" s="24"/>
      <c r="AV4622" s="24"/>
      <c r="AX4622" s="29"/>
    </row>
    <row r="4623" spans="2:50">
      <c r="B4623" s="19"/>
      <c r="K4623" s="21"/>
      <c r="T4623" s="28"/>
      <c r="AS4623" s="24"/>
      <c r="AT4623" s="24"/>
      <c r="AU4623" s="24"/>
      <c r="AV4623" s="24"/>
      <c r="AX4623" s="29"/>
    </row>
    <row r="4624" spans="2:50">
      <c r="B4624" s="19"/>
      <c r="K4624" s="21"/>
      <c r="T4624" s="28"/>
      <c r="AS4624" s="24"/>
      <c r="AT4624" s="24"/>
      <c r="AU4624" s="24"/>
      <c r="AV4624" s="24"/>
      <c r="AX4624" s="29"/>
    </row>
    <row r="4625" spans="2:50">
      <c r="B4625" s="19"/>
      <c r="K4625" s="21"/>
      <c r="T4625" s="28"/>
      <c r="AS4625" s="24"/>
      <c r="AT4625" s="24"/>
      <c r="AU4625" s="24"/>
      <c r="AV4625" s="24"/>
      <c r="AX4625" s="29"/>
    </row>
    <row r="4626" spans="2:50">
      <c r="B4626" s="19"/>
      <c r="K4626" s="21"/>
      <c r="T4626" s="28"/>
      <c r="AS4626" s="24"/>
      <c r="AT4626" s="24"/>
      <c r="AU4626" s="24"/>
      <c r="AV4626" s="24"/>
      <c r="AX4626" s="29"/>
    </row>
    <row r="4627" spans="2:50">
      <c r="B4627" s="19"/>
      <c r="K4627" s="21"/>
      <c r="T4627" s="28"/>
      <c r="AS4627" s="24"/>
      <c r="AT4627" s="24"/>
      <c r="AU4627" s="24"/>
      <c r="AV4627" s="24"/>
      <c r="AX4627" s="29"/>
    </row>
    <row r="4628" spans="2:50">
      <c r="B4628" s="19"/>
      <c r="K4628" s="21"/>
      <c r="T4628" s="28"/>
      <c r="AS4628" s="24"/>
      <c r="AT4628" s="24"/>
      <c r="AU4628" s="24"/>
      <c r="AV4628" s="24"/>
      <c r="AX4628" s="29"/>
    </row>
    <row r="4629" spans="2:50">
      <c r="B4629" s="19"/>
      <c r="K4629" s="21"/>
      <c r="T4629" s="28"/>
      <c r="AS4629" s="24"/>
      <c r="AT4629" s="24"/>
      <c r="AU4629" s="24"/>
      <c r="AV4629" s="24"/>
      <c r="AX4629" s="29"/>
    </row>
    <row r="4630" spans="2:50">
      <c r="B4630" s="19"/>
      <c r="K4630" s="21"/>
      <c r="T4630" s="28"/>
      <c r="AS4630" s="24"/>
      <c r="AT4630" s="24"/>
      <c r="AU4630" s="24"/>
      <c r="AV4630" s="24"/>
      <c r="AX4630" s="29"/>
    </row>
    <row r="4631" spans="2:50">
      <c r="B4631" s="19"/>
      <c r="K4631" s="21"/>
      <c r="T4631" s="28"/>
      <c r="AS4631" s="24"/>
      <c r="AT4631" s="24"/>
      <c r="AU4631" s="24"/>
      <c r="AV4631" s="24"/>
      <c r="AX4631" s="29"/>
    </row>
    <row r="4632" spans="2:50">
      <c r="B4632" s="19"/>
      <c r="K4632" s="21"/>
      <c r="T4632" s="28"/>
      <c r="AS4632" s="24"/>
      <c r="AT4632" s="24"/>
      <c r="AU4632" s="24"/>
      <c r="AV4632" s="24"/>
      <c r="AX4632" s="29"/>
    </row>
    <row r="4633" spans="2:50">
      <c r="B4633" s="19"/>
      <c r="K4633" s="21"/>
      <c r="T4633" s="28"/>
      <c r="AS4633" s="24"/>
      <c r="AT4633" s="24"/>
      <c r="AU4633" s="24"/>
      <c r="AV4633" s="24"/>
      <c r="AX4633" s="29"/>
    </row>
    <row r="4634" spans="2:50">
      <c r="B4634" s="19"/>
      <c r="K4634" s="21"/>
      <c r="T4634" s="28"/>
      <c r="AS4634" s="24"/>
      <c r="AT4634" s="24"/>
      <c r="AU4634" s="24"/>
      <c r="AV4634" s="24"/>
      <c r="AX4634" s="29"/>
    </row>
    <row r="4635" spans="2:50">
      <c r="B4635" s="19"/>
      <c r="K4635" s="21"/>
      <c r="T4635" s="28"/>
      <c r="AS4635" s="24"/>
      <c r="AT4635" s="24"/>
      <c r="AU4635" s="24"/>
      <c r="AV4635" s="24"/>
      <c r="AX4635" s="29"/>
    </row>
    <row r="4636" spans="2:50">
      <c r="B4636" s="19"/>
      <c r="K4636" s="21"/>
      <c r="T4636" s="28"/>
      <c r="AS4636" s="24"/>
      <c r="AT4636" s="24"/>
      <c r="AU4636" s="24"/>
      <c r="AV4636" s="24"/>
      <c r="AX4636" s="29"/>
    </row>
    <row r="4637" spans="2:50">
      <c r="B4637" s="19"/>
      <c r="K4637" s="21"/>
      <c r="T4637" s="28"/>
      <c r="AS4637" s="24"/>
      <c r="AT4637" s="24"/>
      <c r="AU4637" s="24"/>
      <c r="AV4637" s="24"/>
      <c r="AX4637" s="29"/>
    </row>
    <row r="4638" spans="2:50">
      <c r="B4638" s="19"/>
      <c r="K4638" s="21"/>
      <c r="T4638" s="28"/>
      <c r="AS4638" s="24"/>
      <c r="AT4638" s="24"/>
      <c r="AU4638" s="24"/>
      <c r="AV4638" s="24"/>
      <c r="AX4638" s="29"/>
    </row>
    <row r="4639" spans="2:50">
      <c r="B4639" s="19"/>
      <c r="K4639" s="21"/>
      <c r="T4639" s="28"/>
      <c r="AS4639" s="24"/>
      <c r="AT4639" s="24"/>
      <c r="AU4639" s="24"/>
      <c r="AV4639" s="24"/>
      <c r="AX4639" s="29"/>
    </row>
    <row r="4640" spans="2:50">
      <c r="B4640" s="19"/>
      <c r="K4640" s="21"/>
      <c r="T4640" s="28"/>
      <c r="AS4640" s="24"/>
      <c r="AT4640" s="24"/>
      <c r="AU4640" s="24"/>
      <c r="AV4640" s="24"/>
      <c r="AX4640" s="29"/>
    </row>
    <row r="4641" spans="2:50">
      <c r="B4641" s="19"/>
      <c r="K4641" s="21"/>
      <c r="T4641" s="28"/>
      <c r="AS4641" s="24"/>
      <c r="AT4641" s="24"/>
      <c r="AU4641" s="24"/>
      <c r="AV4641" s="24"/>
      <c r="AX4641" s="29"/>
    </row>
    <row r="4642" spans="2:50">
      <c r="B4642" s="19"/>
      <c r="K4642" s="21"/>
      <c r="T4642" s="28"/>
      <c r="AS4642" s="24"/>
      <c r="AT4642" s="24"/>
      <c r="AU4642" s="24"/>
      <c r="AV4642" s="24"/>
      <c r="AX4642" s="29"/>
    </row>
    <row r="4643" spans="2:50">
      <c r="B4643" s="19"/>
      <c r="K4643" s="21"/>
      <c r="T4643" s="28"/>
      <c r="AS4643" s="24"/>
      <c r="AT4643" s="24"/>
      <c r="AU4643" s="24"/>
      <c r="AV4643" s="24"/>
      <c r="AX4643" s="29"/>
    </row>
    <row r="4644" spans="2:50">
      <c r="B4644" s="19"/>
      <c r="K4644" s="21"/>
      <c r="T4644" s="28"/>
      <c r="AS4644" s="24"/>
      <c r="AT4644" s="24"/>
      <c r="AU4644" s="24"/>
      <c r="AV4644" s="24"/>
      <c r="AX4644" s="29"/>
    </row>
    <row r="4645" spans="2:50">
      <c r="B4645" s="19"/>
      <c r="K4645" s="21"/>
      <c r="T4645" s="28"/>
      <c r="AS4645" s="24"/>
      <c r="AT4645" s="24"/>
      <c r="AU4645" s="24"/>
      <c r="AV4645" s="24"/>
      <c r="AX4645" s="29"/>
    </row>
    <row r="4646" spans="2:50">
      <c r="B4646" s="19"/>
      <c r="K4646" s="21"/>
      <c r="T4646" s="28"/>
      <c r="AS4646" s="24"/>
      <c r="AT4646" s="24"/>
      <c r="AU4646" s="24"/>
      <c r="AV4646" s="24"/>
      <c r="AX4646" s="29"/>
    </row>
    <row r="4647" spans="2:50">
      <c r="B4647" s="19"/>
      <c r="K4647" s="21"/>
      <c r="T4647" s="28"/>
      <c r="AS4647" s="24"/>
      <c r="AT4647" s="24"/>
      <c r="AU4647" s="24"/>
      <c r="AV4647" s="24"/>
      <c r="AX4647" s="29"/>
    </row>
    <row r="4648" spans="2:50">
      <c r="B4648" s="19"/>
      <c r="K4648" s="21"/>
      <c r="T4648" s="28"/>
      <c r="AS4648" s="24"/>
      <c r="AT4648" s="24"/>
      <c r="AU4648" s="24"/>
      <c r="AV4648" s="24"/>
      <c r="AX4648" s="29"/>
    </row>
    <row r="4649" spans="2:50">
      <c r="B4649" s="19"/>
      <c r="K4649" s="21"/>
      <c r="T4649" s="28"/>
      <c r="AS4649" s="24"/>
      <c r="AT4649" s="24"/>
      <c r="AU4649" s="24"/>
      <c r="AV4649" s="24"/>
      <c r="AX4649" s="29"/>
    </row>
    <row r="4650" spans="2:50">
      <c r="B4650" s="19"/>
      <c r="K4650" s="21"/>
      <c r="T4650" s="28"/>
      <c r="AS4650" s="24"/>
      <c r="AT4650" s="24"/>
      <c r="AU4650" s="24"/>
      <c r="AV4650" s="24"/>
      <c r="AX4650" s="29"/>
    </row>
    <row r="4651" spans="2:50">
      <c r="B4651" s="19"/>
      <c r="K4651" s="21"/>
      <c r="T4651" s="28"/>
      <c r="AS4651" s="24"/>
      <c r="AT4651" s="24"/>
      <c r="AU4651" s="24"/>
      <c r="AV4651" s="24"/>
      <c r="AX4651" s="29"/>
    </row>
    <row r="4652" spans="2:50">
      <c r="B4652" s="19"/>
      <c r="K4652" s="21"/>
      <c r="T4652" s="28"/>
      <c r="AS4652" s="24"/>
      <c r="AT4652" s="24"/>
      <c r="AU4652" s="24"/>
      <c r="AV4652" s="24"/>
      <c r="AX4652" s="29"/>
    </row>
    <row r="4653" spans="2:50">
      <c r="B4653" s="19"/>
      <c r="K4653" s="21"/>
      <c r="T4653" s="28"/>
      <c r="AS4653" s="24"/>
      <c r="AT4653" s="24"/>
      <c r="AU4653" s="24"/>
      <c r="AV4653" s="24"/>
      <c r="AX4653" s="29"/>
    </row>
    <row r="4654" spans="2:50">
      <c r="B4654" s="19"/>
      <c r="K4654" s="21"/>
      <c r="T4654" s="28"/>
      <c r="AS4654" s="24"/>
      <c r="AT4654" s="24"/>
      <c r="AU4654" s="24"/>
      <c r="AV4654" s="24"/>
      <c r="AX4654" s="29"/>
    </row>
    <row r="4655" spans="2:50">
      <c r="B4655" s="19"/>
      <c r="K4655" s="21"/>
      <c r="T4655" s="28"/>
      <c r="AS4655" s="24"/>
      <c r="AT4655" s="24"/>
      <c r="AU4655" s="24"/>
      <c r="AV4655" s="24"/>
      <c r="AX4655" s="29"/>
    </row>
    <row r="4656" spans="2:50">
      <c r="B4656" s="19"/>
      <c r="K4656" s="21"/>
      <c r="T4656" s="28"/>
      <c r="AS4656" s="24"/>
      <c r="AT4656" s="24"/>
      <c r="AU4656" s="24"/>
      <c r="AV4656" s="24"/>
      <c r="AX4656" s="29"/>
    </row>
    <row r="4657" spans="2:50">
      <c r="B4657" s="19"/>
      <c r="K4657" s="21"/>
      <c r="T4657" s="28"/>
      <c r="AS4657" s="24"/>
      <c r="AT4657" s="24"/>
      <c r="AU4657" s="24"/>
      <c r="AV4657" s="24"/>
      <c r="AX4657" s="29"/>
    </row>
    <row r="4658" spans="2:50">
      <c r="B4658" s="19"/>
      <c r="K4658" s="21"/>
      <c r="T4658" s="28"/>
      <c r="AS4658" s="24"/>
      <c r="AT4658" s="24"/>
      <c r="AU4658" s="24"/>
      <c r="AV4658" s="24"/>
      <c r="AX4658" s="29"/>
    </row>
    <row r="4659" spans="2:50">
      <c r="B4659" s="19"/>
      <c r="K4659" s="21"/>
      <c r="T4659" s="28"/>
      <c r="AS4659" s="24"/>
      <c r="AT4659" s="24"/>
      <c r="AU4659" s="24"/>
      <c r="AV4659" s="24"/>
      <c r="AX4659" s="29"/>
    </row>
    <row r="4660" spans="2:50">
      <c r="B4660" s="19"/>
      <c r="K4660" s="21"/>
      <c r="T4660" s="28"/>
      <c r="AS4660" s="24"/>
      <c r="AT4660" s="24"/>
      <c r="AU4660" s="24"/>
      <c r="AV4660" s="24"/>
      <c r="AX4660" s="29"/>
    </row>
    <row r="4661" spans="2:50">
      <c r="B4661" s="19"/>
      <c r="K4661" s="21"/>
      <c r="T4661" s="28"/>
      <c r="AS4661" s="24"/>
      <c r="AT4661" s="24"/>
      <c r="AU4661" s="24"/>
      <c r="AV4661" s="24"/>
      <c r="AX4661" s="29"/>
    </row>
    <row r="4662" spans="2:50">
      <c r="B4662" s="19"/>
      <c r="K4662" s="21"/>
      <c r="T4662" s="28"/>
      <c r="AS4662" s="24"/>
      <c r="AT4662" s="24"/>
      <c r="AU4662" s="24"/>
      <c r="AV4662" s="24"/>
      <c r="AX4662" s="29"/>
    </row>
    <row r="4663" spans="2:50">
      <c r="B4663" s="19"/>
      <c r="K4663" s="21"/>
      <c r="T4663" s="28"/>
      <c r="AS4663" s="24"/>
      <c r="AT4663" s="24"/>
      <c r="AU4663" s="24"/>
      <c r="AV4663" s="24"/>
      <c r="AX4663" s="29"/>
    </row>
    <row r="4664" spans="2:50">
      <c r="B4664" s="19"/>
      <c r="K4664" s="21"/>
      <c r="T4664" s="28"/>
      <c r="AS4664" s="24"/>
      <c r="AT4664" s="24"/>
      <c r="AU4664" s="24"/>
      <c r="AV4664" s="24"/>
      <c r="AX4664" s="29"/>
    </row>
    <row r="4665" spans="2:50">
      <c r="B4665" s="19"/>
      <c r="K4665" s="21"/>
      <c r="T4665" s="28"/>
      <c r="AS4665" s="24"/>
      <c r="AT4665" s="24"/>
      <c r="AU4665" s="24"/>
      <c r="AV4665" s="24"/>
      <c r="AX4665" s="29"/>
    </row>
    <row r="4666" spans="2:50">
      <c r="B4666" s="19"/>
      <c r="K4666" s="21"/>
      <c r="T4666" s="28"/>
      <c r="AS4666" s="24"/>
      <c r="AT4666" s="24"/>
      <c r="AU4666" s="24"/>
      <c r="AV4666" s="24"/>
      <c r="AX4666" s="29"/>
    </row>
    <row r="4667" spans="2:50">
      <c r="B4667" s="19"/>
      <c r="K4667" s="21"/>
      <c r="T4667" s="28"/>
      <c r="AS4667" s="24"/>
      <c r="AT4667" s="24"/>
      <c r="AU4667" s="24"/>
      <c r="AV4667" s="24"/>
      <c r="AX4667" s="29"/>
    </row>
    <row r="4668" spans="2:50">
      <c r="B4668" s="19"/>
      <c r="K4668" s="21"/>
      <c r="T4668" s="28"/>
      <c r="AS4668" s="24"/>
      <c r="AT4668" s="24"/>
      <c r="AU4668" s="24"/>
      <c r="AV4668" s="24"/>
      <c r="AX4668" s="29"/>
    </row>
    <row r="4669" spans="2:50">
      <c r="B4669" s="19"/>
      <c r="K4669" s="21"/>
      <c r="T4669" s="28"/>
      <c r="AS4669" s="24"/>
      <c r="AT4669" s="24"/>
      <c r="AU4669" s="24"/>
      <c r="AV4669" s="24"/>
      <c r="AX4669" s="29"/>
    </row>
    <row r="4670" spans="2:50">
      <c r="B4670" s="19"/>
      <c r="K4670" s="21"/>
      <c r="T4670" s="28"/>
      <c r="AS4670" s="24"/>
      <c r="AT4670" s="24"/>
      <c r="AU4670" s="24"/>
      <c r="AV4670" s="24"/>
      <c r="AX4670" s="29"/>
    </row>
    <row r="4671" spans="2:50">
      <c r="B4671" s="19"/>
      <c r="K4671" s="21"/>
      <c r="T4671" s="28"/>
      <c r="AS4671" s="24"/>
      <c r="AT4671" s="24"/>
      <c r="AU4671" s="24"/>
      <c r="AV4671" s="24"/>
      <c r="AX4671" s="29"/>
    </row>
    <row r="4672" spans="2:50">
      <c r="B4672" s="19"/>
      <c r="K4672" s="21"/>
      <c r="T4672" s="28"/>
      <c r="AS4672" s="24"/>
      <c r="AT4672" s="24"/>
      <c r="AU4672" s="24"/>
      <c r="AV4672" s="24"/>
      <c r="AX4672" s="29"/>
    </row>
    <row r="4673" spans="2:50">
      <c r="B4673" s="19"/>
      <c r="K4673" s="21"/>
      <c r="T4673" s="28"/>
      <c r="AS4673" s="24"/>
      <c r="AT4673" s="24"/>
      <c r="AU4673" s="24"/>
      <c r="AV4673" s="24"/>
      <c r="AX4673" s="29"/>
    </row>
    <row r="4674" spans="2:50">
      <c r="B4674" s="19"/>
      <c r="K4674" s="21"/>
      <c r="T4674" s="28"/>
      <c r="AS4674" s="24"/>
      <c r="AT4674" s="24"/>
      <c r="AU4674" s="24"/>
      <c r="AV4674" s="24"/>
      <c r="AX4674" s="29"/>
    </row>
    <row r="4675" spans="2:50">
      <c r="B4675" s="19"/>
      <c r="K4675" s="21"/>
      <c r="T4675" s="28"/>
      <c r="AS4675" s="24"/>
      <c r="AT4675" s="24"/>
      <c r="AU4675" s="24"/>
      <c r="AV4675" s="24"/>
      <c r="AX4675" s="29"/>
    </row>
    <row r="4676" spans="2:50">
      <c r="B4676" s="19"/>
      <c r="K4676" s="21"/>
      <c r="T4676" s="28"/>
      <c r="AS4676" s="24"/>
      <c r="AT4676" s="24"/>
      <c r="AU4676" s="24"/>
      <c r="AV4676" s="24"/>
      <c r="AX4676" s="29"/>
    </row>
    <row r="4677" spans="2:50">
      <c r="B4677" s="19"/>
      <c r="K4677" s="21"/>
      <c r="T4677" s="28"/>
      <c r="AS4677" s="24"/>
      <c r="AT4677" s="24"/>
      <c r="AU4677" s="24"/>
      <c r="AV4677" s="24"/>
      <c r="AX4677" s="29"/>
    </row>
    <row r="4678" spans="2:50">
      <c r="B4678" s="19"/>
      <c r="K4678" s="21"/>
      <c r="T4678" s="28"/>
      <c r="AS4678" s="24"/>
      <c r="AT4678" s="24"/>
      <c r="AU4678" s="24"/>
      <c r="AV4678" s="24"/>
      <c r="AX4678" s="29"/>
    </row>
    <row r="4679" spans="2:50">
      <c r="B4679" s="19"/>
      <c r="K4679" s="21"/>
      <c r="T4679" s="28"/>
      <c r="AS4679" s="24"/>
      <c r="AT4679" s="24"/>
      <c r="AU4679" s="24"/>
      <c r="AV4679" s="24"/>
      <c r="AX4679" s="29"/>
    </row>
    <row r="4680" spans="2:50">
      <c r="B4680" s="19"/>
      <c r="K4680" s="21"/>
      <c r="T4680" s="28"/>
      <c r="AS4680" s="24"/>
      <c r="AT4680" s="24"/>
      <c r="AU4680" s="24"/>
      <c r="AV4680" s="24"/>
      <c r="AX4680" s="29"/>
    </row>
    <row r="4681" spans="2:50">
      <c r="B4681" s="19"/>
      <c r="K4681" s="21"/>
      <c r="T4681" s="28"/>
      <c r="AS4681" s="24"/>
      <c r="AT4681" s="24"/>
      <c r="AU4681" s="24"/>
      <c r="AV4681" s="24"/>
      <c r="AX4681" s="29"/>
    </row>
    <row r="4682" spans="2:50">
      <c r="B4682" s="19"/>
      <c r="K4682" s="21"/>
      <c r="T4682" s="28"/>
      <c r="AS4682" s="24"/>
      <c r="AT4682" s="24"/>
      <c r="AU4682" s="24"/>
      <c r="AV4682" s="24"/>
      <c r="AX4682" s="29"/>
    </row>
    <row r="4683" spans="2:50">
      <c r="B4683" s="19"/>
      <c r="K4683" s="21"/>
      <c r="T4683" s="28"/>
      <c r="AS4683" s="24"/>
      <c r="AT4683" s="24"/>
      <c r="AU4683" s="24"/>
      <c r="AV4683" s="24"/>
      <c r="AX4683" s="29"/>
    </row>
    <row r="4684" spans="2:50">
      <c r="B4684" s="19"/>
      <c r="K4684" s="21"/>
      <c r="T4684" s="28"/>
      <c r="AS4684" s="24"/>
      <c r="AT4684" s="24"/>
      <c r="AU4684" s="24"/>
      <c r="AV4684" s="24"/>
      <c r="AX4684" s="29"/>
    </row>
    <row r="4685" spans="2:50">
      <c r="B4685" s="19"/>
      <c r="K4685" s="21"/>
      <c r="T4685" s="28"/>
      <c r="AS4685" s="24"/>
      <c r="AT4685" s="24"/>
      <c r="AU4685" s="24"/>
      <c r="AV4685" s="24"/>
      <c r="AX4685" s="29"/>
    </row>
    <row r="4686" spans="2:50">
      <c r="B4686" s="19"/>
      <c r="K4686" s="21"/>
      <c r="T4686" s="28"/>
      <c r="AS4686" s="24"/>
      <c r="AT4686" s="24"/>
      <c r="AU4686" s="24"/>
      <c r="AV4686" s="24"/>
      <c r="AX4686" s="29"/>
    </row>
    <row r="4687" spans="2:50">
      <c r="B4687" s="19"/>
      <c r="K4687" s="21"/>
      <c r="T4687" s="28"/>
      <c r="AS4687" s="24"/>
      <c r="AT4687" s="24"/>
      <c r="AU4687" s="24"/>
      <c r="AV4687" s="24"/>
      <c r="AX4687" s="29"/>
    </row>
    <row r="4688" spans="2:50">
      <c r="B4688" s="19"/>
      <c r="K4688" s="21"/>
      <c r="T4688" s="28"/>
      <c r="AS4688" s="24"/>
      <c r="AT4688" s="24"/>
      <c r="AU4688" s="24"/>
      <c r="AV4688" s="24"/>
      <c r="AX4688" s="29"/>
    </row>
    <row r="4689" spans="2:50">
      <c r="B4689" s="19"/>
      <c r="K4689" s="21"/>
      <c r="T4689" s="28"/>
      <c r="AS4689" s="24"/>
      <c r="AT4689" s="24"/>
      <c r="AU4689" s="24"/>
      <c r="AV4689" s="24"/>
      <c r="AX4689" s="29"/>
    </row>
    <row r="4690" spans="2:50">
      <c r="B4690" s="19"/>
      <c r="K4690" s="21"/>
      <c r="T4690" s="28"/>
      <c r="AS4690" s="24"/>
      <c r="AT4690" s="24"/>
      <c r="AU4690" s="24"/>
      <c r="AV4690" s="24"/>
      <c r="AX4690" s="29"/>
    </row>
    <row r="4691" spans="2:50">
      <c r="B4691" s="19"/>
      <c r="K4691" s="21"/>
      <c r="T4691" s="28"/>
      <c r="AS4691" s="24"/>
      <c r="AT4691" s="24"/>
      <c r="AU4691" s="24"/>
      <c r="AV4691" s="24"/>
      <c r="AX4691" s="29"/>
    </row>
    <row r="4692" spans="2:50">
      <c r="B4692" s="19"/>
      <c r="K4692" s="21"/>
      <c r="T4692" s="28"/>
      <c r="AS4692" s="24"/>
      <c r="AT4692" s="24"/>
      <c r="AU4692" s="24"/>
      <c r="AV4692" s="24"/>
      <c r="AX4692" s="29"/>
    </row>
    <row r="4693" spans="2:50">
      <c r="B4693" s="19"/>
      <c r="K4693" s="21"/>
      <c r="T4693" s="28"/>
      <c r="AS4693" s="24"/>
      <c r="AT4693" s="24"/>
      <c r="AU4693" s="24"/>
      <c r="AV4693" s="24"/>
      <c r="AX4693" s="29"/>
    </row>
    <row r="4694" spans="2:50">
      <c r="B4694" s="19"/>
      <c r="K4694" s="21"/>
      <c r="T4694" s="28"/>
      <c r="AS4694" s="24"/>
      <c r="AT4694" s="24"/>
      <c r="AU4694" s="24"/>
      <c r="AV4694" s="24"/>
      <c r="AX4694" s="29"/>
    </row>
    <row r="4695" spans="2:50">
      <c r="B4695" s="19"/>
      <c r="K4695" s="21"/>
      <c r="T4695" s="28"/>
      <c r="AS4695" s="24"/>
      <c r="AT4695" s="24"/>
      <c r="AU4695" s="24"/>
      <c r="AV4695" s="24"/>
      <c r="AX4695" s="29"/>
    </row>
    <row r="4696" spans="2:50">
      <c r="B4696" s="19"/>
      <c r="K4696" s="21"/>
      <c r="T4696" s="28"/>
      <c r="AS4696" s="24"/>
      <c r="AT4696" s="24"/>
      <c r="AU4696" s="24"/>
      <c r="AV4696" s="24"/>
      <c r="AX4696" s="29"/>
    </row>
    <row r="4697" spans="2:50">
      <c r="B4697" s="19"/>
      <c r="K4697" s="21"/>
      <c r="T4697" s="28"/>
      <c r="AS4697" s="24"/>
      <c r="AT4697" s="24"/>
      <c r="AU4697" s="24"/>
      <c r="AV4697" s="24"/>
      <c r="AX4697" s="29"/>
    </row>
    <row r="4698" spans="2:50">
      <c r="B4698" s="19"/>
      <c r="K4698" s="21"/>
      <c r="T4698" s="28"/>
      <c r="AS4698" s="24"/>
      <c r="AT4698" s="24"/>
      <c r="AU4698" s="24"/>
      <c r="AV4698" s="24"/>
      <c r="AX4698" s="29"/>
    </row>
    <row r="4699" spans="2:50">
      <c r="B4699" s="19"/>
      <c r="K4699" s="21"/>
      <c r="T4699" s="28"/>
      <c r="AS4699" s="24"/>
      <c r="AT4699" s="24"/>
      <c r="AU4699" s="24"/>
      <c r="AV4699" s="24"/>
      <c r="AX4699" s="29"/>
    </row>
    <row r="4700" spans="2:50">
      <c r="B4700" s="19"/>
      <c r="K4700" s="21"/>
      <c r="T4700" s="28"/>
      <c r="AS4700" s="24"/>
      <c r="AT4700" s="24"/>
      <c r="AU4700" s="24"/>
      <c r="AV4700" s="24"/>
      <c r="AX4700" s="29"/>
    </row>
    <row r="4701" spans="2:50">
      <c r="B4701" s="19"/>
      <c r="K4701" s="21"/>
      <c r="T4701" s="28"/>
      <c r="AS4701" s="24"/>
      <c r="AT4701" s="24"/>
      <c r="AU4701" s="24"/>
      <c r="AV4701" s="24"/>
      <c r="AX4701" s="29"/>
    </row>
    <row r="4702" spans="2:50">
      <c r="B4702" s="19"/>
      <c r="K4702" s="21"/>
      <c r="AS4702" s="24"/>
      <c r="AT4702" s="24"/>
      <c r="AU4702" s="24"/>
      <c r="AV4702" s="24"/>
      <c r="AX4702" s="29"/>
    </row>
    <row r="4703" spans="2:50">
      <c r="B4703" s="19"/>
      <c r="K4703" s="21"/>
      <c r="T4703" s="28"/>
      <c r="AS4703" s="24"/>
      <c r="AT4703" s="24"/>
      <c r="AU4703" s="24"/>
      <c r="AV4703" s="24"/>
      <c r="AX4703" s="29"/>
    </row>
    <row r="4704" spans="2:50">
      <c r="B4704" s="19"/>
      <c r="K4704" s="21"/>
      <c r="T4704" s="28"/>
      <c r="AS4704" s="24"/>
      <c r="AT4704" s="24"/>
      <c r="AU4704" s="24"/>
      <c r="AV4704" s="24"/>
      <c r="AX4704" s="29"/>
    </row>
    <row r="4705" spans="2:50">
      <c r="B4705" s="19"/>
      <c r="K4705" s="21"/>
      <c r="T4705" s="28"/>
      <c r="AS4705" s="24"/>
      <c r="AT4705" s="24"/>
      <c r="AU4705" s="24"/>
      <c r="AV4705" s="24"/>
      <c r="AX4705" s="29"/>
    </row>
    <row r="4706" spans="2:50">
      <c r="B4706" s="19"/>
      <c r="K4706" s="21"/>
      <c r="T4706" s="28"/>
      <c r="AS4706" s="24"/>
      <c r="AT4706" s="24"/>
      <c r="AU4706" s="24"/>
      <c r="AV4706" s="24"/>
      <c r="AX4706" s="29"/>
    </row>
    <row r="4707" spans="2:50">
      <c r="B4707" s="19"/>
      <c r="K4707" s="21"/>
      <c r="T4707" s="28"/>
      <c r="AS4707" s="24"/>
      <c r="AT4707" s="24"/>
      <c r="AU4707" s="24"/>
      <c r="AV4707" s="24"/>
      <c r="AX4707" s="29"/>
    </row>
    <row r="4708" spans="2:50">
      <c r="B4708" s="19"/>
      <c r="K4708" s="21"/>
      <c r="T4708" s="28"/>
      <c r="AS4708" s="24"/>
      <c r="AT4708" s="24"/>
      <c r="AU4708" s="24"/>
      <c r="AV4708" s="24"/>
      <c r="AX4708" s="29"/>
    </row>
    <row r="4709" spans="2:50">
      <c r="B4709" s="19"/>
      <c r="K4709" s="21"/>
      <c r="T4709" s="28"/>
      <c r="AS4709" s="24"/>
      <c r="AT4709" s="24"/>
      <c r="AU4709" s="24"/>
      <c r="AV4709" s="24"/>
      <c r="AX4709" s="29"/>
    </row>
    <row r="4710" spans="2:50">
      <c r="B4710" s="19"/>
      <c r="K4710" s="21"/>
      <c r="T4710" s="28"/>
      <c r="AS4710" s="24"/>
      <c r="AT4710" s="24"/>
      <c r="AU4710" s="24"/>
      <c r="AV4710" s="24"/>
      <c r="AX4710" s="29"/>
    </row>
    <row r="4711" spans="2:50">
      <c r="B4711" s="19"/>
      <c r="K4711" s="21"/>
      <c r="T4711" s="28"/>
      <c r="AS4711" s="24"/>
      <c r="AT4711" s="24"/>
      <c r="AU4711" s="24"/>
      <c r="AV4711" s="24"/>
      <c r="AX4711" s="29"/>
    </row>
    <row r="4712" spans="2:50">
      <c r="B4712" s="19"/>
      <c r="K4712" s="21"/>
      <c r="T4712" s="28"/>
      <c r="AS4712" s="24"/>
      <c r="AT4712" s="24"/>
      <c r="AU4712" s="24"/>
      <c r="AV4712" s="24"/>
      <c r="AX4712" s="29"/>
    </row>
    <row r="4713" spans="2:50">
      <c r="B4713" s="19"/>
      <c r="K4713" s="21"/>
      <c r="T4713" s="28"/>
      <c r="AS4713" s="24"/>
      <c r="AT4713" s="24"/>
      <c r="AU4713" s="24"/>
      <c r="AV4713" s="24"/>
      <c r="AX4713" s="29"/>
    </row>
    <row r="4714" spans="2:50">
      <c r="B4714" s="19"/>
      <c r="K4714" s="21"/>
      <c r="T4714" s="28"/>
      <c r="AS4714" s="24"/>
      <c r="AT4714" s="24"/>
      <c r="AU4714" s="24"/>
      <c r="AV4714" s="24"/>
      <c r="AX4714" s="29"/>
    </row>
    <row r="4715" spans="2:50">
      <c r="B4715" s="19"/>
      <c r="K4715" s="21"/>
      <c r="T4715" s="28"/>
      <c r="AS4715" s="24"/>
      <c r="AT4715" s="24"/>
      <c r="AU4715" s="24"/>
      <c r="AV4715" s="24"/>
      <c r="AX4715" s="29"/>
    </row>
    <row r="4716" spans="2:50">
      <c r="B4716" s="19"/>
      <c r="K4716" s="21"/>
      <c r="T4716" s="28"/>
      <c r="AS4716" s="24"/>
      <c r="AT4716" s="24"/>
      <c r="AU4716" s="24"/>
      <c r="AV4716" s="24"/>
      <c r="AX4716" s="29"/>
    </row>
    <row r="4717" spans="2:50">
      <c r="B4717" s="19"/>
      <c r="K4717" s="21"/>
      <c r="T4717" s="28"/>
      <c r="AS4717" s="24"/>
      <c r="AT4717" s="24"/>
      <c r="AU4717" s="24"/>
      <c r="AV4717" s="24"/>
      <c r="AX4717" s="29"/>
    </row>
    <row r="4718" spans="2:50">
      <c r="B4718" s="19"/>
      <c r="K4718" s="21"/>
      <c r="T4718" s="28"/>
      <c r="AS4718" s="24"/>
      <c r="AT4718" s="24"/>
      <c r="AU4718" s="24"/>
      <c r="AV4718" s="24"/>
      <c r="AX4718" s="29"/>
    </row>
    <row r="4719" spans="2:50">
      <c r="B4719" s="19"/>
      <c r="K4719" s="21"/>
      <c r="T4719" s="28"/>
      <c r="AS4719" s="24"/>
      <c r="AT4719" s="24"/>
      <c r="AU4719" s="24"/>
      <c r="AV4719" s="24"/>
      <c r="AX4719" s="29"/>
    </row>
    <row r="4720" spans="2:50">
      <c r="B4720" s="19"/>
      <c r="K4720" s="21"/>
      <c r="T4720" s="28"/>
      <c r="AS4720" s="24"/>
      <c r="AT4720" s="24"/>
      <c r="AU4720" s="24"/>
      <c r="AV4720" s="24"/>
      <c r="AX4720" s="29"/>
    </row>
    <row r="4721" spans="2:50">
      <c r="B4721" s="19"/>
      <c r="K4721" s="21"/>
      <c r="AS4721" s="24"/>
      <c r="AT4721" s="24"/>
      <c r="AU4721" s="24"/>
      <c r="AV4721" s="24"/>
      <c r="AX4721" s="29"/>
    </row>
    <row r="4722" spans="2:50">
      <c r="B4722" s="19"/>
      <c r="K4722" s="21"/>
      <c r="AS4722" s="24"/>
      <c r="AT4722" s="24"/>
      <c r="AU4722" s="24"/>
      <c r="AV4722" s="24"/>
      <c r="AX4722" s="29"/>
    </row>
    <row r="4723" spans="2:50">
      <c r="B4723" s="19"/>
      <c r="K4723" s="21"/>
      <c r="AS4723" s="24"/>
      <c r="AT4723" s="24"/>
      <c r="AU4723" s="24"/>
      <c r="AV4723" s="24"/>
      <c r="AX4723" s="29"/>
    </row>
    <row r="4724" spans="2:50">
      <c r="B4724" s="19"/>
      <c r="K4724" s="21"/>
      <c r="AS4724" s="24"/>
      <c r="AT4724" s="24"/>
      <c r="AU4724" s="24"/>
      <c r="AV4724" s="24"/>
      <c r="AX4724" s="29"/>
    </row>
    <row r="4725" spans="2:50">
      <c r="B4725" s="19"/>
      <c r="K4725" s="21"/>
      <c r="AS4725" s="24"/>
      <c r="AT4725" s="24"/>
      <c r="AU4725" s="24"/>
      <c r="AV4725" s="24"/>
      <c r="AX4725" s="29"/>
    </row>
    <row r="4726" spans="2:50">
      <c r="B4726" s="19"/>
      <c r="K4726" s="21"/>
      <c r="AS4726" s="24"/>
      <c r="AT4726" s="24"/>
      <c r="AU4726" s="24"/>
      <c r="AV4726" s="24"/>
      <c r="AX4726" s="29"/>
    </row>
    <row r="4727" spans="2:50">
      <c r="B4727" s="19"/>
      <c r="K4727" s="21"/>
      <c r="AS4727" s="24"/>
      <c r="AT4727" s="24"/>
      <c r="AU4727" s="24"/>
      <c r="AV4727" s="24"/>
      <c r="AX4727" s="29"/>
    </row>
    <row r="4728" spans="2:50">
      <c r="B4728" s="19"/>
      <c r="K4728" s="21"/>
      <c r="AS4728" s="24"/>
      <c r="AT4728" s="24"/>
      <c r="AU4728" s="24"/>
      <c r="AV4728" s="24"/>
      <c r="AX4728" s="29"/>
    </row>
    <row r="4729" spans="2:50">
      <c r="B4729" s="19"/>
      <c r="K4729" s="21"/>
      <c r="AS4729" s="24"/>
      <c r="AT4729" s="24"/>
      <c r="AU4729" s="24"/>
      <c r="AV4729" s="24"/>
      <c r="AX4729" s="29"/>
    </row>
    <row r="4730" spans="2:50">
      <c r="B4730" s="19"/>
      <c r="K4730" s="21"/>
      <c r="AS4730" s="24"/>
      <c r="AT4730" s="24"/>
      <c r="AU4730" s="24"/>
      <c r="AV4730" s="24"/>
      <c r="AX4730" s="29"/>
    </row>
    <row r="4731" spans="2:50">
      <c r="B4731" s="19"/>
      <c r="K4731" s="21"/>
      <c r="AS4731" s="24"/>
      <c r="AT4731" s="24"/>
      <c r="AU4731" s="24"/>
      <c r="AV4731" s="24"/>
      <c r="AX4731" s="29"/>
    </row>
    <row r="4732" spans="2:50">
      <c r="B4732" s="19"/>
      <c r="K4732" s="21"/>
      <c r="AS4732" s="24"/>
      <c r="AT4732" s="24"/>
      <c r="AU4732" s="24"/>
      <c r="AV4732" s="24"/>
      <c r="AX4732" s="29"/>
    </row>
    <row r="4733" spans="2:50">
      <c r="B4733" s="19"/>
      <c r="K4733" s="21"/>
      <c r="AS4733" s="24"/>
      <c r="AT4733" s="24"/>
      <c r="AU4733" s="24"/>
      <c r="AV4733" s="24"/>
      <c r="AX4733" s="29"/>
    </row>
    <row r="4734" spans="2:50">
      <c r="B4734" s="19"/>
      <c r="K4734" s="21"/>
      <c r="AS4734" s="24"/>
      <c r="AT4734" s="24"/>
      <c r="AU4734" s="24"/>
      <c r="AV4734" s="24"/>
      <c r="AX4734" s="29"/>
    </row>
    <row r="4735" spans="2:50">
      <c r="B4735" s="19"/>
      <c r="K4735" s="21"/>
      <c r="AS4735" s="24"/>
      <c r="AT4735" s="24"/>
      <c r="AU4735" s="24"/>
      <c r="AV4735" s="24"/>
      <c r="AX4735" s="29"/>
    </row>
    <row r="4736" spans="2:50">
      <c r="B4736" s="19"/>
      <c r="K4736" s="21"/>
      <c r="AS4736" s="24"/>
      <c r="AT4736" s="24"/>
      <c r="AU4736" s="24"/>
      <c r="AV4736" s="24"/>
      <c r="AX4736" s="29"/>
    </row>
    <row r="4737" spans="2:50">
      <c r="B4737" s="19"/>
      <c r="K4737" s="21"/>
      <c r="AS4737" s="24"/>
      <c r="AT4737" s="24"/>
      <c r="AU4737" s="24"/>
      <c r="AV4737" s="24"/>
      <c r="AX4737" s="29"/>
    </row>
    <row r="4738" spans="2:50">
      <c r="B4738" s="19"/>
      <c r="K4738" s="21"/>
      <c r="AS4738" s="24"/>
      <c r="AT4738" s="24"/>
      <c r="AU4738" s="24"/>
      <c r="AV4738" s="24"/>
      <c r="AX4738" s="29"/>
    </row>
    <row r="4739" spans="2:50">
      <c r="B4739" s="19"/>
      <c r="K4739" s="21"/>
      <c r="AS4739" s="24"/>
      <c r="AT4739" s="24"/>
      <c r="AU4739" s="24"/>
      <c r="AV4739" s="24"/>
      <c r="AX4739" s="29"/>
    </row>
    <row r="4740" spans="2:50">
      <c r="B4740" s="19"/>
      <c r="K4740" s="21"/>
      <c r="AS4740" s="24"/>
      <c r="AT4740" s="24"/>
      <c r="AU4740" s="24"/>
      <c r="AV4740" s="24"/>
      <c r="AX4740" s="29"/>
    </row>
    <row r="4741" spans="2:50">
      <c r="B4741" s="19"/>
      <c r="K4741" s="21"/>
      <c r="AS4741" s="24"/>
      <c r="AT4741" s="24"/>
      <c r="AU4741" s="24"/>
      <c r="AV4741" s="24"/>
      <c r="AX4741" s="29"/>
    </row>
    <row r="4742" spans="2:50">
      <c r="B4742" s="19"/>
      <c r="K4742" s="21"/>
      <c r="AS4742" s="24"/>
      <c r="AT4742" s="24"/>
      <c r="AU4742" s="24"/>
      <c r="AV4742" s="24"/>
      <c r="AX4742" s="29"/>
    </row>
    <row r="4743" spans="2:50">
      <c r="B4743" s="19"/>
      <c r="K4743" s="21"/>
      <c r="AS4743" s="24"/>
      <c r="AT4743" s="24"/>
      <c r="AU4743" s="24"/>
      <c r="AV4743" s="24"/>
      <c r="AX4743" s="29"/>
    </row>
    <row r="4744" spans="2:50">
      <c r="B4744" s="19"/>
      <c r="K4744" s="21"/>
      <c r="T4744" s="28"/>
      <c r="AS4744" s="24"/>
      <c r="AT4744" s="24"/>
      <c r="AU4744" s="24"/>
      <c r="AV4744" s="24"/>
      <c r="AX4744" s="29"/>
    </row>
    <row r="4745" spans="2:50">
      <c r="B4745" s="19"/>
      <c r="K4745" s="21"/>
      <c r="T4745" s="28"/>
      <c r="AS4745" s="24"/>
      <c r="AT4745" s="24"/>
      <c r="AU4745" s="24"/>
      <c r="AV4745" s="24"/>
      <c r="AX4745" s="29"/>
    </row>
    <row r="4746" spans="2:50">
      <c r="B4746" s="19"/>
      <c r="K4746" s="21"/>
      <c r="T4746" s="28"/>
      <c r="AS4746" s="24"/>
      <c r="AT4746" s="24"/>
      <c r="AU4746" s="24"/>
      <c r="AV4746" s="24"/>
      <c r="AX4746" s="29"/>
    </row>
    <row r="4747" spans="2:50">
      <c r="B4747" s="19"/>
      <c r="K4747" s="21"/>
      <c r="T4747" s="28"/>
      <c r="AS4747" s="24"/>
      <c r="AT4747" s="24"/>
      <c r="AU4747" s="24"/>
      <c r="AV4747" s="24"/>
      <c r="AX4747" s="29"/>
    </row>
    <row r="4748" spans="2:50">
      <c r="B4748" s="19"/>
      <c r="K4748" s="21"/>
      <c r="T4748" s="28"/>
      <c r="AS4748" s="24"/>
      <c r="AT4748" s="24"/>
      <c r="AU4748" s="24"/>
      <c r="AV4748" s="24"/>
      <c r="AX4748" s="29"/>
    </row>
    <row r="4749" spans="2:50">
      <c r="B4749" s="19"/>
      <c r="K4749" s="21"/>
      <c r="T4749" s="28"/>
      <c r="AS4749" s="24"/>
      <c r="AT4749" s="24"/>
      <c r="AU4749" s="24"/>
      <c r="AV4749" s="24"/>
      <c r="AX4749" s="29"/>
    </row>
    <row r="4750" spans="2:50">
      <c r="B4750" s="19"/>
      <c r="K4750" s="21"/>
      <c r="T4750" s="28"/>
      <c r="AS4750" s="24"/>
      <c r="AT4750" s="24"/>
      <c r="AU4750" s="24"/>
      <c r="AV4750" s="24"/>
      <c r="AX4750" s="29"/>
    </row>
    <row r="4751" spans="2:50">
      <c r="B4751" s="19"/>
      <c r="K4751" s="21"/>
      <c r="T4751" s="28"/>
      <c r="AS4751" s="24"/>
      <c r="AT4751" s="24"/>
      <c r="AU4751" s="24"/>
      <c r="AV4751" s="24"/>
      <c r="AX4751" s="29"/>
    </row>
    <row r="4752" spans="2:50">
      <c r="B4752" s="19"/>
      <c r="K4752" s="21"/>
      <c r="T4752" s="28"/>
      <c r="AS4752" s="24"/>
      <c r="AT4752" s="24"/>
      <c r="AU4752" s="24"/>
      <c r="AV4752" s="24"/>
      <c r="AX4752" s="29"/>
    </row>
    <row r="4753" spans="2:50">
      <c r="B4753" s="19"/>
      <c r="K4753" s="21"/>
      <c r="T4753" s="28"/>
      <c r="AS4753" s="24"/>
      <c r="AT4753" s="24"/>
      <c r="AU4753" s="24"/>
      <c r="AV4753" s="24"/>
      <c r="AX4753" s="29"/>
    </row>
    <row r="4754" spans="2:50">
      <c r="B4754" s="19"/>
      <c r="K4754" s="21"/>
      <c r="T4754" s="28"/>
      <c r="AS4754" s="24"/>
      <c r="AT4754" s="24"/>
      <c r="AU4754" s="24"/>
      <c r="AV4754" s="24"/>
      <c r="AX4754" s="29"/>
    </row>
    <row r="4755" spans="2:50">
      <c r="B4755" s="19"/>
      <c r="K4755" s="21"/>
      <c r="T4755" s="28"/>
      <c r="AS4755" s="24"/>
      <c r="AT4755" s="24"/>
      <c r="AU4755" s="24"/>
      <c r="AV4755" s="24"/>
      <c r="AX4755" s="29"/>
    </row>
    <row r="4756" spans="2:50">
      <c r="B4756" s="19"/>
      <c r="K4756" s="21"/>
      <c r="T4756" s="28"/>
      <c r="AS4756" s="24"/>
      <c r="AT4756" s="24"/>
      <c r="AU4756" s="24"/>
      <c r="AV4756" s="24"/>
      <c r="AX4756" s="29"/>
    </row>
    <row r="4757" spans="2:50">
      <c r="B4757" s="19"/>
      <c r="K4757" s="21"/>
      <c r="T4757" s="28"/>
      <c r="AS4757" s="24"/>
      <c r="AT4757" s="24"/>
      <c r="AU4757" s="24"/>
      <c r="AV4757" s="24"/>
      <c r="AX4757" s="29"/>
    </row>
    <row r="4758" spans="2:50">
      <c r="B4758" s="19"/>
      <c r="K4758" s="21"/>
      <c r="T4758" s="28"/>
      <c r="AS4758" s="24"/>
      <c r="AT4758" s="24"/>
      <c r="AU4758" s="24"/>
      <c r="AV4758" s="24"/>
      <c r="AX4758" s="29"/>
    </row>
    <row r="4759" spans="2:50">
      <c r="B4759" s="19"/>
      <c r="K4759" s="21"/>
      <c r="T4759" s="28"/>
      <c r="AS4759" s="24"/>
      <c r="AT4759" s="24"/>
      <c r="AU4759" s="24"/>
      <c r="AV4759" s="24"/>
      <c r="AX4759" s="29"/>
    </row>
    <row r="4760" spans="2:50">
      <c r="B4760" s="19"/>
      <c r="K4760" s="21"/>
      <c r="T4760" s="28"/>
      <c r="AS4760" s="24"/>
      <c r="AT4760" s="24"/>
      <c r="AU4760" s="24"/>
      <c r="AV4760" s="24"/>
      <c r="AX4760" s="29"/>
    </row>
    <row r="4761" spans="2:50">
      <c r="B4761" s="19"/>
      <c r="K4761" s="21"/>
      <c r="T4761" s="28"/>
      <c r="AS4761" s="24"/>
      <c r="AT4761" s="24"/>
      <c r="AU4761" s="24"/>
      <c r="AV4761" s="24"/>
      <c r="AX4761" s="29"/>
    </row>
    <row r="4762" spans="2:50">
      <c r="B4762" s="19"/>
      <c r="K4762" s="21"/>
      <c r="T4762" s="28"/>
      <c r="AS4762" s="24"/>
      <c r="AT4762" s="24"/>
      <c r="AU4762" s="24"/>
      <c r="AV4762" s="24"/>
      <c r="AX4762" s="29"/>
    </row>
    <row r="4763" spans="2:50">
      <c r="B4763" s="19"/>
      <c r="K4763" s="21"/>
      <c r="T4763" s="28"/>
      <c r="AS4763" s="24"/>
      <c r="AT4763" s="24"/>
      <c r="AU4763" s="24"/>
      <c r="AV4763" s="24"/>
      <c r="AX4763" s="29"/>
    </row>
    <row r="4764" spans="2:50">
      <c r="B4764" s="19"/>
      <c r="K4764" s="21"/>
      <c r="T4764" s="28"/>
      <c r="AS4764" s="24"/>
      <c r="AT4764" s="24"/>
      <c r="AU4764" s="24"/>
      <c r="AV4764" s="24"/>
      <c r="AX4764" s="29"/>
    </row>
    <row r="4765" spans="2:50">
      <c r="B4765" s="19"/>
      <c r="K4765" s="21"/>
      <c r="T4765" s="28"/>
      <c r="AS4765" s="24"/>
      <c r="AT4765" s="24"/>
      <c r="AU4765" s="24"/>
      <c r="AV4765" s="24"/>
      <c r="AX4765" s="29"/>
    </row>
    <row r="4766" spans="2:50">
      <c r="B4766" s="19"/>
      <c r="K4766" s="21"/>
      <c r="T4766" s="28"/>
      <c r="AS4766" s="24"/>
      <c r="AT4766" s="24"/>
      <c r="AU4766" s="24"/>
      <c r="AV4766" s="24"/>
      <c r="AX4766" s="29"/>
    </row>
    <row r="4767" spans="2:50">
      <c r="B4767" s="19"/>
      <c r="K4767" s="21"/>
      <c r="T4767" s="28"/>
      <c r="AS4767" s="24"/>
      <c r="AT4767" s="24"/>
      <c r="AU4767" s="24"/>
      <c r="AV4767" s="24"/>
      <c r="AX4767" s="29"/>
    </row>
    <row r="4768" spans="2:50">
      <c r="B4768" s="19"/>
      <c r="K4768" s="21"/>
      <c r="T4768" s="28"/>
      <c r="AS4768" s="24"/>
      <c r="AT4768" s="24"/>
      <c r="AU4768" s="24"/>
      <c r="AV4768" s="24"/>
      <c r="AX4768" s="29"/>
    </row>
    <row r="4769" spans="2:50">
      <c r="B4769" s="19"/>
      <c r="K4769" s="21"/>
      <c r="T4769" s="28"/>
      <c r="AS4769" s="24"/>
      <c r="AT4769" s="24"/>
      <c r="AU4769" s="24"/>
      <c r="AV4769" s="24"/>
      <c r="AX4769" s="29"/>
    </row>
    <row r="4770" spans="2:50">
      <c r="B4770" s="19"/>
      <c r="K4770" s="21"/>
      <c r="T4770" s="28"/>
      <c r="AS4770" s="24"/>
      <c r="AT4770" s="24"/>
      <c r="AU4770" s="24"/>
      <c r="AV4770" s="24"/>
      <c r="AX4770" s="29"/>
    </row>
    <row r="4771" spans="2:50">
      <c r="B4771" s="19"/>
      <c r="K4771" s="21"/>
      <c r="T4771" s="28"/>
      <c r="AS4771" s="24"/>
      <c r="AT4771" s="24"/>
      <c r="AU4771" s="24"/>
      <c r="AV4771" s="24"/>
      <c r="AX4771" s="29"/>
    </row>
    <row r="4772" spans="2:50">
      <c r="B4772" s="19"/>
      <c r="K4772" s="21"/>
      <c r="T4772" s="28"/>
      <c r="AS4772" s="24"/>
      <c r="AT4772" s="24"/>
      <c r="AU4772" s="24"/>
      <c r="AV4772" s="24"/>
      <c r="AX4772" s="29"/>
    </row>
    <row r="4773" spans="2:50">
      <c r="B4773" s="19"/>
      <c r="K4773" s="21"/>
      <c r="T4773" s="28"/>
      <c r="AS4773" s="24"/>
      <c r="AT4773" s="24"/>
      <c r="AU4773" s="24"/>
      <c r="AV4773" s="24"/>
      <c r="AX4773" s="29"/>
    </row>
    <row r="4774" spans="2:50">
      <c r="B4774" s="19"/>
      <c r="K4774" s="21"/>
      <c r="T4774" s="28"/>
      <c r="AS4774" s="24"/>
      <c r="AT4774" s="24"/>
      <c r="AU4774" s="24"/>
      <c r="AV4774" s="24"/>
      <c r="AX4774" s="29"/>
    </row>
    <row r="4775" spans="2:50">
      <c r="B4775" s="19"/>
      <c r="K4775" s="21"/>
      <c r="T4775" s="28"/>
      <c r="AS4775" s="24"/>
      <c r="AT4775" s="24"/>
      <c r="AU4775" s="24"/>
      <c r="AV4775" s="24"/>
      <c r="AX4775" s="29"/>
    </row>
    <row r="4776" spans="2:50">
      <c r="B4776" s="19"/>
      <c r="K4776" s="21"/>
      <c r="T4776" s="28"/>
      <c r="AS4776" s="24"/>
      <c r="AT4776" s="24"/>
      <c r="AU4776" s="24"/>
      <c r="AV4776" s="24"/>
      <c r="AX4776" s="29"/>
    </row>
    <row r="4777" spans="2:50">
      <c r="B4777" s="19"/>
      <c r="K4777" s="21"/>
      <c r="T4777" s="28"/>
      <c r="AS4777" s="24"/>
      <c r="AT4777" s="24"/>
      <c r="AU4777" s="24"/>
      <c r="AV4777" s="24"/>
      <c r="AX4777" s="29"/>
    </row>
    <row r="4778" spans="2:50">
      <c r="B4778" s="19"/>
      <c r="K4778" s="21"/>
      <c r="T4778" s="28"/>
      <c r="AS4778" s="24"/>
      <c r="AT4778" s="24"/>
      <c r="AU4778" s="24"/>
      <c r="AV4778" s="24"/>
      <c r="AX4778" s="29"/>
    </row>
    <row r="4779" spans="2:50">
      <c r="B4779" s="19"/>
      <c r="K4779" s="21"/>
      <c r="T4779" s="28"/>
      <c r="AS4779" s="24"/>
      <c r="AT4779" s="24"/>
      <c r="AU4779" s="24"/>
      <c r="AV4779" s="24"/>
      <c r="AX4779" s="29"/>
    </row>
    <row r="4780" spans="2:50">
      <c r="B4780" s="19"/>
      <c r="K4780" s="21"/>
      <c r="T4780" s="28"/>
      <c r="AS4780" s="24"/>
      <c r="AT4780" s="24"/>
      <c r="AU4780" s="24"/>
      <c r="AV4780" s="24"/>
      <c r="AX4780" s="29"/>
    </row>
    <row r="4781" spans="2:50">
      <c r="B4781" s="19"/>
      <c r="K4781" s="21"/>
      <c r="T4781" s="28"/>
      <c r="AS4781" s="24"/>
      <c r="AT4781" s="24"/>
      <c r="AU4781" s="24"/>
      <c r="AV4781" s="24"/>
      <c r="AX4781" s="29"/>
    </row>
    <row r="4782" spans="2:50">
      <c r="B4782" s="19"/>
      <c r="K4782" s="21"/>
      <c r="T4782" s="28"/>
      <c r="AS4782" s="24"/>
      <c r="AT4782" s="24"/>
      <c r="AU4782" s="24"/>
      <c r="AV4782" s="24"/>
      <c r="AX4782" s="29"/>
    </row>
    <row r="4783" spans="2:50">
      <c r="B4783" s="19"/>
      <c r="K4783" s="21"/>
      <c r="T4783" s="28"/>
      <c r="AS4783" s="24"/>
      <c r="AT4783" s="24"/>
      <c r="AU4783" s="24"/>
      <c r="AV4783" s="24"/>
      <c r="AX4783" s="29"/>
    </row>
    <row r="4784" spans="2:50">
      <c r="B4784" s="19"/>
      <c r="K4784" s="21"/>
      <c r="T4784" s="28"/>
      <c r="AS4784" s="24"/>
      <c r="AT4784" s="24"/>
      <c r="AU4784" s="24"/>
      <c r="AV4784" s="24"/>
      <c r="AX4784" s="29"/>
    </row>
    <row r="4785" spans="2:50">
      <c r="B4785" s="19"/>
      <c r="K4785" s="21"/>
      <c r="T4785" s="28"/>
      <c r="AS4785" s="24"/>
      <c r="AT4785" s="24"/>
      <c r="AU4785" s="24"/>
      <c r="AV4785" s="24"/>
      <c r="AX4785" s="29"/>
    </row>
    <row r="4786" spans="2:50">
      <c r="B4786" s="19"/>
      <c r="K4786" s="21"/>
      <c r="T4786" s="28"/>
      <c r="AS4786" s="24"/>
      <c r="AT4786" s="24"/>
      <c r="AU4786" s="24"/>
      <c r="AV4786" s="24"/>
      <c r="AX4786" s="29"/>
    </row>
    <row r="4787" spans="2:50">
      <c r="B4787" s="19"/>
      <c r="K4787" s="21"/>
      <c r="T4787" s="28"/>
      <c r="AS4787" s="24"/>
      <c r="AT4787" s="24"/>
      <c r="AU4787" s="24"/>
      <c r="AV4787" s="24"/>
      <c r="AX4787" s="29"/>
    </row>
    <row r="4788" spans="2:50">
      <c r="B4788" s="19"/>
      <c r="K4788" s="21"/>
      <c r="T4788" s="28"/>
      <c r="AS4788" s="24"/>
      <c r="AT4788" s="24"/>
      <c r="AU4788" s="24"/>
      <c r="AV4788" s="24"/>
      <c r="AX4788" s="29"/>
    </row>
    <row r="4789" spans="2:50">
      <c r="B4789" s="19"/>
      <c r="K4789" s="21"/>
      <c r="T4789" s="28"/>
      <c r="AS4789" s="24"/>
      <c r="AT4789" s="24"/>
      <c r="AU4789" s="24"/>
      <c r="AV4789" s="24"/>
      <c r="AX4789" s="29"/>
    </row>
    <row r="4790" spans="2:50">
      <c r="B4790" s="19"/>
      <c r="K4790" s="21"/>
      <c r="T4790" s="28"/>
      <c r="AS4790" s="24"/>
      <c r="AT4790" s="24"/>
      <c r="AU4790" s="24"/>
      <c r="AV4790" s="24"/>
      <c r="AX4790" s="29"/>
    </row>
    <row r="4791" spans="2:50">
      <c r="B4791" s="19"/>
      <c r="K4791" s="21"/>
      <c r="T4791" s="28"/>
      <c r="AS4791" s="24"/>
      <c r="AT4791" s="24"/>
      <c r="AU4791" s="24"/>
      <c r="AV4791" s="24"/>
      <c r="AX4791" s="29"/>
    </row>
    <row r="4792" spans="2:50">
      <c r="B4792" s="19"/>
      <c r="K4792" s="21"/>
      <c r="T4792" s="28"/>
      <c r="AS4792" s="24"/>
      <c r="AT4792" s="24"/>
      <c r="AU4792" s="24"/>
      <c r="AV4792" s="24"/>
      <c r="AX4792" s="29"/>
    </row>
    <row r="4793" spans="2:50">
      <c r="B4793" s="19"/>
      <c r="K4793" s="21"/>
      <c r="T4793" s="28"/>
      <c r="AS4793" s="24"/>
      <c r="AT4793" s="24"/>
      <c r="AU4793" s="24"/>
      <c r="AV4793" s="24"/>
      <c r="AX4793" s="29"/>
    </row>
    <row r="4794" spans="2:50">
      <c r="B4794" s="19"/>
      <c r="K4794" s="21"/>
      <c r="T4794" s="28"/>
      <c r="AS4794" s="24"/>
      <c r="AT4794" s="24"/>
      <c r="AU4794" s="24"/>
      <c r="AV4794" s="24"/>
      <c r="AX4794" s="29"/>
    </row>
    <row r="4795" spans="2:50">
      <c r="B4795" s="33"/>
      <c r="K4795" s="21"/>
      <c r="T4795" s="28"/>
      <c r="AS4795" s="24"/>
      <c r="AT4795" s="24"/>
      <c r="AU4795" s="24"/>
      <c r="AV4795" s="24"/>
      <c r="AX4795" s="29"/>
    </row>
    <row r="4796" spans="2:50">
      <c r="B4796" s="19"/>
      <c r="K4796" s="21"/>
      <c r="T4796" s="28"/>
      <c r="AS4796" s="24"/>
      <c r="AT4796" s="24"/>
      <c r="AU4796" s="24"/>
      <c r="AV4796" s="24"/>
      <c r="AX4796" s="29"/>
    </row>
    <row r="4797" spans="2:50">
      <c r="B4797" s="19"/>
      <c r="K4797" s="21"/>
      <c r="T4797" s="28"/>
      <c r="AS4797" s="24"/>
      <c r="AT4797" s="24"/>
      <c r="AU4797" s="24"/>
      <c r="AV4797" s="24"/>
      <c r="AX4797" s="29"/>
    </row>
    <row r="4798" spans="2:50">
      <c r="B4798" s="19"/>
      <c r="K4798" s="21"/>
      <c r="T4798" s="28"/>
      <c r="AS4798" s="24"/>
      <c r="AT4798" s="24"/>
      <c r="AU4798" s="24"/>
      <c r="AV4798" s="24"/>
      <c r="AX4798" s="29"/>
    </row>
    <row r="4799" spans="2:50">
      <c r="B4799" s="19"/>
      <c r="K4799" s="21"/>
      <c r="T4799" s="28"/>
      <c r="AS4799" s="24"/>
      <c r="AT4799" s="24"/>
      <c r="AU4799" s="24"/>
      <c r="AV4799" s="24"/>
      <c r="AX4799" s="29"/>
    </row>
    <row r="4800" spans="2:50">
      <c r="B4800" s="19"/>
      <c r="K4800" s="21"/>
      <c r="T4800" s="28"/>
      <c r="AS4800" s="24"/>
      <c r="AT4800" s="24"/>
      <c r="AU4800" s="24"/>
      <c r="AV4800" s="24"/>
      <c r="AX4800" s="29"/>
    </row>
    <row r="4801" spans="2:50">
      <c r="B4801" s="19"/>
      <c r="K4801" s="21"/>
      <c r="T4801" s="28"/>
      <c r="AS4801" s="24"/>
      <c r="AT4801" s="24"/>
      <c r="AU4801" s="24"/>
      <c r="AV4801" s="24"/>
      <c r="AX4801" s="29"/>
    </row>
    <row r="4802" spans="2:50">
      <c r="B4802" s="19"/>
      <c r="K4802" s="21"/>
      <c r="T4802" s="28"/>
      <c r="AS4802" s="24"/>
      <c r="AT4802" s="24"/>
      <c r="AU4802" s="24"/>
      <c r="AV4802" s="24"/>
      <c r="AX4802" s="29"/>
    </row>
    <row r="4803" spans="2:50">
      <c r="B4803" s="19"/>
      <c r="K4803" s="21"/>
      <c r="T4803" s="28"/>
      <c r="AS4803" s="24"/>
      <c r="AT4803" s="24"/>
      <c r="AU4803" s="24"/>
      <c r="AV4803" s="24"/>
      <c r="AX4803" s="29"/>
    </row>
    <row r="4804" spans="2:50">
      <c r="B4804" s="19"/>
      <c r="K4804" s="21"/>
      <c r="T4804" s="28"/>
      <c r="AS4804" s="24"/>
      <c r="AT4804" s="24"/>
      <c r="AU4804" s="24"/>
      <c r="AV4804" s="24"/>
      <c r="AX4804" s="29"/>
    </row>
    <row r="4805" spans="2:50">
      <c r="B4805" s="19"/>
      <c r="K4805" s="21"/>
      <c r="T4805" s="28"/>
      <c r="AS4805" s="24"/>
      <c r="AT4805" s="24"/>
      <c r="AU4805" s="24"/>
      <c r="AV4805" s="24"/>
      <c r="AX4805" s="29"/>
    </row>
    <row r="4806" spans="2:50">
      <c r="B4806" s="19"/>
      <c r="K4806" s="21"/>
      <c r="T4806" s="28"/>
      <c r="AS4806" s="24"/>
      <c r="AT4806" s="24"/>
      <c r="AU4806" s="24"/>
      <c r="AV4806" s="24"/>
      <c r="AX4806" s="29"/>
    </row>
    <row r="4807" spans="2:50">
      <c r="B4807" s="19"/>
      <c r="K4807" s="21"/>
      <c r="T4807" s="28"/>
      <c r="AS4807" s="24"/>
      <c r="AT4807" s="24"/>
      <c r="AU4807" s="24"/>
      <c r="AV4807" s="24"/>
      <c r="AX4807" s="29"/>
    </row>
    <row r="4808" spans="2:50">
      <c r="B4808" s="19"/>
      <c r="K4808" s="21"/>
      <c r="T4808" s="28"/>
      <c r="AS4808" s="24"/>
      <c r="AT4808" s="24"/>
      <c r="AU4808" s="24"/>
      <c r="AV4808" s="24"/>
      <c r="AX4808" s="29"/>
    </row>
    <row r="4809" spans="2:50">
      <c r="B4809" s="19"/>
      <c r="K4809" s="21"/>
      <c r="T4809" s="28"/>
      <c r="AS4809" s="24"/>
      <c r="AT4809" s="24"/>
      <c r="AU4809" s="24"/>
      <c r="AV4809" s="24"/>
      <c r="AX4809" s="29"/>
    </row>
    <row r="4810" spans="2:50">
      <c r="B4810" s="19"/>
      <c r="K4810" s="21"/>
      <c r="T4810" s="28"/>
      <c r="AS4810" s="24"/>
      <c r="AT4810" s="24"/>
      <c r="AU4810" s="24"/>
      <c r="AV4810" s="24"/>
      <c r="AX4810" s="29"/>
    </row>
    <row r="4811" spans="2:50">
      <c r="B4811" s="19"/>
      <c r="K4811" s="21"/>
      <c r="T4811" s="28"/>
      <c r="AS4811" s="24"/>
      <c r="AT4811" s="24"/>
      <c r="AU4811" s="24"/>
      <c r="AV4811" s="24"/>
      <c r="AX4811" s="29"/>
    </row>
    <row r="4812" spans="2:50">
      <c r="B4812" s="19"/>
      <c r="K4812" s="21"/>
      <c r="T4812" s="28"/>
      <c r="AS4812" s="24"/>
      <c r="AT4812" s="24"/>
      <c r="AU4812" s="24"/>
      <c r="AV4812" s="24"/>
      <c r="AX4812" s="29"/>
    </row>
    <row r="4813" spans="2:50">
      <c r="B4813" s="19"/>
      <c r="K4813" s="21"/>
      <c r="T4813" s="28"/>
      <c r="AS4813" s="24"/>
      <c r="AT4813" s="24"/>
      <c r="AU4813" s="24"/>
      <c r="AV4813" s="24"/>
      <c r="AX4813" s="29"/>
    </row>
    <row r="4814" spans="2:50">
      <c r="B4814" s="19"/>
      <c r="K4814" s="21"/>
      <c r="T4814" s="28"/>
      <c r="AS4814" s="24"/>
      <c r="AT4814" s="24"/>
      <c r="AU4814" s="24"/>
      <c r="AV4814" s="24"/>
      <c r="AX4814" s="29"/>
    </row>
    <row r="4815" spans="2:50">
      <c r="B4815" s="19"/>
      <c r="K4815" s="21"/>
      <c r="T4815" s="28"/>
      <c r="AS4815" s="24"/>
      <c r="AT4815" s="24"/>
      <c r="AU4815" s="24"/>
      <c r="AV4815" s="24"/>
      <c r="AX4815" s="29"/>
    </row>
    <row r="4816" spans="2:50">
      <c r="B4816" s="19"/>
      <c r="K4816" s="21"/>
      <c r="T4816" s="28"/>
      <c r="AS4816" s="24"/>
      <c r="AT4816" s="24"/>
      <c r="AU4816" s="24"/>
      <c r="AV4816" s="24"/>
      <c r="AX4816" s="29"/>
    </row>
    <row r="4817" spans="2:50">
      <c r="B4817" s="19"/>
      <c r="K4817" s="21"/>
      <c r="T4817" s="28"/>
      <c r="AS4817" s="24"/>
      <c r="AT4817" s="24"/>
      <c r="AU4817" s="24"/>
      <c r="AV4817" s="24"/>
      <c r="AX4817" s="29"/>
    </row>
    <row r="4818" spans="2:50">
      <c r="B4818" s="19"/>
      <c r="K4818" s="21"/>
      <c r="T4818" s="28"/>
      <c r="AS4818" s="24"/>
      <c r="AT4818" s="24"/>
      <c r="AU4818" s="24"/>
      <c r="AV4818" s="24"/>
      <c r="AX4818" s="29"/>
    </row>
    <row r="4819" spans="2:50">
      <c r="B4819" s="19"/>
      <c r="K4819" s="21"/>
      <c r="T4819" s="28"/>
      <c r="AS4819" s="24"/>
      <c r="AT4819" s="24"/>
      <c r="AU4819" s="24"/>
      <c r="AV4819" s="24"/>
      <c r="AX4819" s="29"/>
    </row>
    <row r="4820" spans="2:50">
      <c r="B4820" s="19"/>
      <c r="K4820" s="21"/>
      <c r="T4820" s="28"/>
      <c r="AS4820" s="24"/>
      <c r="AT4820" s="24"/>
      <c r="AU4820" s="24"/>
      <c r="AV4820" s="24"/>
      <c r="AX4820" s="29"/>
    </row>
    <row r="4821" spans="2:50">
      <c r="B4821" s="19"/>
      <c r="K4821" s="21"/>
      <c r="T4821" s="28"/>
      <c r="AS4821" s="24"/>
      <c r="AT4821" s="24"/>
      <c r="AU4821" s="24"/>
      <c r="AV4821" s="24"/>
      <c r="AX4821" s="29"/>
    </row>
    <row r="4822" spans="2:50">
      <c r="B4822" s="19"/>
      <c r="K4822" s="21"/>
      <c r="T4822" s="28"/>
      <c r="AS4822" s="24"/>
      <c r="AT4822" s="24"/>
      <c r="AU4822" s="24"/>
      <c r="AV4822" s="24"/>
      <c r="AX4822" s="29"/>
    </row>
    <row r="4823" spans="2:50">
      <c r="B4823" s="19"/>
      <c r="K4823" s="21"/>
      <c r="T4823" s="28"/>
      <c r="AS4823" s="24"/>
      <c r="AT4823" s="24"/>
      <c r="AU4823" s="24"/>
      <c r="AV4823" s="24"/>
      <c r="AX4823" s="29"/>
    </row>
    <row r="4824" spans="2:50">
      <c r="B4824" s="19"/>
      <c r="K4824" s="21"/>
      <c r="T4824" s="28"/>
      <c r="AS4824" s="24"/>
      <c r="AT4824" s="24"/>
      <c r="AU4824" s="24"/>
      <c r="AV4824" s="24"/>
      <c r="AX4824" s="29"/>
    </row>
    <row r="4825" spans="2:50">
      <c r="B4825" s="19"/>
      <c r="K4825" s="21"/>
      <c r="T4825" s="28"/>
      <c r="AS4825" s="24"/>
      <c r="AT4825" s="24"/>
      <c r="AU4825" s="24"/>
      <c r="AV4825" s="24"/>
      <c r="AX4825" s="29"/>
    </row>
    <row r="4826" spans="2:50">
      <c r="B4826" s="19"/>
      <c r="K4826" s="21"/>
      <c r="T4826" s="28"/>
      <c r="AS4826" s="24"/>
      <c r="AT4826" s="24"/>
      <c r="AU4826" s="24"/>
      <c r="AV4826" s="24"/>
      <c r="AX4826" s="29"/>
    </row>
    <row r="4827" spans="2:50">
      <c r="B4827" s="19"/>
      <c r="K4827" s="21"/>
      <c r="T4827" s="28"/>
      <c r="AS4827" s="24"/>
      <c r="AT4827" s="24"/>
      <c r="AU4827" s="24"/>
      <c r="AV4827" s="24"/>
      <c r="AX4827" s="29"/>
    </row>
    <row r="4828" spans="2:50">
      <c r="B4828" s="19"/>
      <c r="K4828" s="21"/>
      <c r="T4828" s="28"/>
      <c r="AS4828" s="24"/>
      <c r="AT4828" s="24"/>
      <c r="AU4828" s="24"/>
      <c r="AV4828" s="24"/>
      <c r="AX4828" s="29"/>
    </row>
    <row r="4829" spans="2:50">
      <c r="B4829" s="19"/>
      <c r="K4829" s="21"/>
      <c r="T4829" s="28"/>
      <c r="AS4829" s="24"/>
      <c r="AT4829" s="24"/>
      <c r="AU4829" s="24"/>
      <c r="AV4829" s="24"/>
      <c r="AX4829" s="29"/>
    </row>
    <row r="4830" spans="2:50">
      <c r="B4830" s="19"/>
      <c r="K4830" s="21"/>
      <c r="T4830" s="28"/>
      <c r="AS4830" s="24"/>
      <c r="AT4830" s="24"/>
      <c r="AU4830" s="24"/>
      <c r="AV4830" s="24"/>
      <c r="AX4830" s="29"/>
    </row>
    <row r="4831" spans="2:50">
      <c r="B4831" s="19"/>
      <c r="K4831" s="21"/>
      <c r="T4831" s="28"/>
      <c r="AS4831" s="24"/>
      <c r="AT4831" s="24"/>
      <c r="AU4831" s="24"/>
      <c r="AV4831" s="24"/>
      <c r="AX4831" s="29"/>
    </row>
    <row r="4832" spans="2:50">
      <c r="B4832" s="19"/>
      <c r="K4832" s="21"/>
      <c r="T4832" s="28"/>
      <c r="AS4832" s="24"/>
      <c r="AT4832" s="24"/>
      <c r="AU4832" s="24"/>
      <c r="AV4832" s="24"/>
      <c r="AX4832" s="29"/>
    </row>
    <row r="4833" spans="2:50">
      <c r="B4833" s="19"/>
      <c r="K4833" s="21"/>
      <c r="T4833" s="28"/>
      <c r="AS4833" s="24"/>
      <c r="AT4833" s="24"/>
      <c r="AU4833" s="24"/>
      <c r="AV4833" s="24"/>
      <c r="AX4833" s="29"/>
    </row>
    <row r="4834" spans="2:50">
      <c r="B4834" s="19"/>
      <c r="K4834" s="21"/>
      <c r="T4834" s="28"/>
      <c r="AS4834" s="24"/>
      <c r="AT4834" s="24"/>
      <c r="AU4834" s="24"/>
      <c r="AV4834" s="24"/>
      <c r="AX4834" s="29"/>
    </row>
    <row r="4835" spans="2:50">
      <c r="B4835" s="19"/>
      <c r="K4835" s="21"/>
      <c r="T4835" s="28"/>
      <c r="AS4835" s="24"/>
      <c r="AT4835" s="24"/>
      <c r="AU4835" s="24"/>
      <c r="AV4835" s="24"/>
      <c r="AX4835" s="29"/>
    </row>
    <row r="4836" spans="2:50">
      <c r="B4836" s="19"/>
      <c r="K4836" s="21"/>
      <c r="T4836" s="28"/>
      <c r="AS4836" s="24"/>
      <c r="AT4836" s="24"/>
      <c r="AU4836" s="24"/>
      <c r="AV4836" s="24"/>
      <c r="AX4836" s="29"/>
    </row>
    <row r="4837" spans="2:50">
      <c r="B4837" s="19"/>
      <c r="K4837" s="21"/>
      <c r="T4837" s="28"/>
      <c r="AS4837" s="24"/>
      <c r="AT4837" s="24"/>
      <c r="AU4837" s="24"/>
      <c r="AV4837" s="24"/>
      <c r="AX4837" s="29"/>
    </row>
    <row r="4838" spans="2:50">
      <c r="B4838" s="19"/>
      <c r="K4838" s="21"/>
      <c r="T4838" s="28"/>
      <c r="AS4838" s="24"/>
      <c r="AT4838" s="24"/>
      <c r="AU4838" s="24"/>
      <c r="AV4838" s="24"/>
      <c r="AX4838" s="29"/>
    </row>
    <row r="4839" spans="2:50">
      <c r="B4839" s="19"/>
      <c r="K4839" s="21"/>
      <c r="T4839" s="28"/>
      <c r="AS4839" s="24"/>
      <c r="AT4839" s="24"/>
      <c r="AU4839" s="24"/>
      <c r="AV4839" s="24"/>
      <c r="AX4839" s="29"/>
    </row>
    <row r="4840" spans="2:50">
      <c r="B4840" s="19"/>
      <c r="K4840" s="21"/>
      <c r="T4840" s="28"/>
      <c r="AS4840" s="24"/>
      <c r="AT4840" s="24"/>
      <c r="AU4840" s="24"/>
      <c r="AV4840" s="24"/>
      <c r="AX4840" s="29"/>
    </row>
    <row r="4841" spans="2:50">
      <c r="B4841" s="19"/>
      <c r="K4841" s="21"/>
      <c r="T4841" s="28"/>
      <c r="AS4841" s="24"/>
      <c r="AT4841" s="24"/>
      <c r="AU4841" s="24"/>
      <c r="AV4841" s="24"/>
      <c r="AX4841" s="29"/>
    </row>
    <row r="4842" spans="2:50">
      <c r="B4842" s="19"/>
      <c r="K4842" s="21"/>
      <c r="T4842" s="28"/>
      <c r="AS4842" s="24"/>
      <c r="AT4842" s="24"/>
      <c r="AU4842" s="24"/>
      <c r="AV4842" s="24"/>
      <c r="AX4842" s="29"/>
    </row>
    <row r="4843" spans="2:50">
      <c r="B4843" s="19"/>
      <c r="K4843" s="21"/>
      <c r="T4843" s="28"/>
      <c r="AS4843" s="24"/>
      <c r="AT4843" s="24"/>
      <c r="AU4843" s="24"/>
      <c r="AV4843" s="24"/>
      <c r="AX4843" s="29"/>
    </row>
    <row r="4844" spans="2:50">
      <c r="B4844" s="19"/>
      <c r="K4844" s="21"/>
      <c r="T4844" s="28"/>
      <c r="AS4844" s="24"/>
      <c r="AT4844" s="24"/>
      <c r="AU4844" s="24"/>
      <c r="AV4844" s="24"/>
      <c r="AX4844" s="29"/>
    </row>
    <row r="4845" spans="2:50">
      <c r="B4845" s="19"/>
      <c r="K4845" s="21"/>
      <c r="T4845" s="28"/>
      <c r="AS4845" s="24"/>
      <c r="AT4845" s="24"/>
      <c r="AU4845" s="24"/>
      <c r="AV4845" s="24"/>
      <c r="AX4845" s="29"/>
    </row>
    <row r="4846" spans="2:50">
      <c r="B4846" s="19"/>
      <c r="K4846" s="21"/>
      <c r="T4846" s="28"/>
      <c r="AS4846" s="24"/>
      <c r="AT4846" s="24"/>
      <c r="AU4846" s="24"/>
      <c r="AV4846" s="24"/>
      <c r="AX4846" s="29"/>
    </row>
    <row r="4847" spans="2:50">
      <c r="B4847" s="19"/>
      <c r="K4847" s="21"/>
      <c r="T4847" s="28"/>
      <c r="AS4847" s="24"/>
      <c r="AT4847" s="24"/>
      <c r="AU4847" s="24"/>
      <c r="AV4847" s="24"/>
      <c r="AX4847" s="29"/>
    </row>
    <row r="4848" spans="2:50">
      <c r="B4848" s="19"/>
      <c r="K4848" s="21"/>
      <c r="T4848" s="28"/>
      <c r="AS4848" s="24"/>
      <c r="AT4848" s="24"/>
      <c r="AU4848" s="24"/>
      <c r="AV4848" s="24"/>
      <c r="AX4848" s="29"/>
    </row>
    <row r="4849" spans="2:50">
      <c r="B4849" s="19"/>
      <c r="K4849" s="21"/>
      <c r="T4849" s="28"/>
      <c r="AS4849" s="24"/>
      <c r="AT4849" s="24"/>
      <c r="AU4849" s="24"/>
      <c r="AV4849" s="24"/>
      <c r="AX4849" s="29"/>
    </row>
    <row r="4850" spans="2:50">
      <c r="B4850" s="19"/>
      <c r="K4850" s="21"/>
      <c r="T4850" s="28"/>
      <c r="AS4850" s="24"/>
      <c r="AT4850" s="24"/>
      <c r="AU4850" s="24"/>
      <c r="AV4850" s="24"/>
      <c r="AX4850" s="29"/>
    </row>
    <row r="4851" spans="2:50">
      <c r="B4851" s="19"/>
      <c r="K4851" s="21"/>
      <c r="T4851" s="28"/>
      <c r="AS4851" s="24"/>
      <c r="AT4851" s="24"/>
      <c r="AU4851" s="24"/>
      <c r="AV4851" s="24"/>
      <c r="AX4851" s="29"/>
    </row>
    <row r="4852" spans="2:50">
      <c r="B4852" s="19"/>
      <c r="K4852" s="21"/>
      <c r="T4852" s="28"/>
      <c r="AS4852" s="24"/>
      <c r="AT4852" s="24"/>
      <c r="AU4852" s="24"/>
      <c r="AV4852" s="24"/>
      <c r="AX4852" s="29"/>
    </row>
    <row r="4853" spans="2:50">
      <c r="B4853" s="19"/>
      <c r="K4853" s="21"/>
      <c r="T4853" s="28"/>
      <c r="AS4853" s="24"/>
      <c r="AT4853" s="24"/>
      <c r="AU4853" s="24"/>
      <c r="AV4853" s="24"/>
      <c r="AX4853" s="29"/>
    </row>
    <row r="4854" spans="2:50">
      <c r="B4854" s="19"/>
      <c r="K4854" s="21"/>
      <c r="T4854" s="28"/>
      <c r="AS4854" s="24"/>
      <c r="AT4854" s="24"/>
      <c r="AU4854" s="24"/>
      <c r="AV4854" s="24"/>
      <c r="AX4854" s="29"/>
    </row>
    <row r="4855" spans="2:50">
      <c r="B4855" s="19"/>
      <c r="K4855" s="21"/>
      <c r="T4855" s="28"/>
      <c r="AS4855" s="24"/>
      <c r="AT4855" s="24"/>
      <c r="AU4855" s="24"/>
      <c r="AV4855" s="24"/>
      <c r="AX4855" s="29"/>
    </row>
    <row r="4856" spans="2:50">
      <c r="B4856" s="19"/>
      <c r="K4856" s="21"/>
      <c r="T4856" s="28"/>
      <c r="AS4856" s="24"/>
      <c r="AT4856" s="24"/>
      <c r="AU4856" s="24"/>
      <c r="AV4856" s="24"/>
      <c r="AX4856" s="29"/>
    </row>
    <row r="4857" spans="2:50">
      <c r="B4857" s="19"/>
      <c r="K4857" s="21"/>
      <c r="T4857" s="28"/>
      <c r="AS4857" s="24"/>
      <c r="AT4857" s="24"/>
      <c r="AU4857" s="24"/>
      <c r="AV4857" s="24"/>
      <c r="AX4857" s="29"/>
    </row>
    <row r="4858" spans="2:50">
      <c r="B4858" s="19"/>
      <c r="K4858" s="21"/>
      <c r="T4858" s="28"/>
      <c r="AS4858" s="24"/>
      <c r="AT4858" s="24"/>
      <c r="AU4858" s="24"/>
      <c r="AV4858" s="24"/>
      <c r="AX4858" s="29"/>
    </row>
    <row r="4859" spans="2:50">
      <c r="B4859" s="19"/>
      <c r="K4859" s="21"/>
      <c r="T4859" s="28"/>
      <c r="AS4859" s="24"/>
      <c r="AT4859" s="24"/>
      <c r="AU4859" s="24"/>
      <c r="AV4859" s="24"/>
      <c r="AX4859" s="29"/>
    </row>
    <row r="4860" spans="2:50">
      <c r="B4860" s="19"/>
      <c r="K4860" s="21"/>
      <c r="T4860" s="28"/>
      <c r="AS4860" s="24"/>
      <c r="AT4860" s="24"/>
      <c r="AU4860" s="24"/>
      <c r="AV4860" s="24"/>
      <c r="AX4860" s="29"/>
    </row>
    <row r="4861" spans="2:50">
      <c r="B4861" s="19"/>
      <c r="K4861" s="21"/>
      <c r="T4861" s="28"/>
      <c r="AS4861" s="24"/>
      <c r="AT4861" s="24"/>
      <c r="AU4861" s="24"/>
      <c r="AV4861" s="24"/>
      <c r="AX4861" s="29"/>
    </row>
    <row r="4862" spans="2:50">
      <c r="B4862" s="19"/>
      <c r="K4862" s="21"/>
      <c r="T4862" s="28"/>
      <c r="AS4862" s="24"/>
      <c r="AT4862" s="24"/>
      <c r="AU4862" s="24"/>
      <c r="AV4862" s="24"/>
      <c r="AX4862" s="29"/>
    </row>
    <row r="4863" spans="2:50">
      <c r="B4863" s="19"/>
      <c r="K4863" s="21"/>
      <c r="T4863" s="28"/>
      <c r="AS4863" s="24"/>
      <c r="AT4863" s="24"/>
      <c r="AU4863" s="24"/>
      <c r="AV4863" s="24"/>
      <c r="AX4863" s="29"/>
    </row>
    <row r="4864" spans="2:50">
      <c r="B4864" s="19"/>
      <c r="K4864" s="21"/>
      <c r="T4864" s="28"/>
      <c r="AS4864" s="24"/>
      <c r="AT4864" s="24"/>
      <c r="AU4864" s="24"/>
      <c r="AV4864" s="24"/>
      <c r="AX4864" s="29"/>
    </row>
    <row r="4865" spans="2:50">
      <c r="B4865" s="19"/>
      <c r="K4865" s="21"/>
      <c r="T4865" s="28"/>
      <c r="AS4865" s="24"/>
      <c r="AT4865" s="24"/>
      <c r="AU4865" s="24"/>
      <c r="AV4865" s="24"/>
      <c r="AX4865" s="29"/>
    </row>
    <row r="4866" spans="2:50">
      <c r="B4866" s="19"/>
      <c r="K4866" s="21"/>
      <c r="T4866" s="28"/>
      <c r="AS4866" s="24"/>
      <c r="AT4866" s="24"/>
      <c r="AU4866" s="24"/>
      <c r="AV4866" s="24"/>
      <c r="AX4866" s="29"/>
    </row>
    <row r="4867" spans="2:50">
      <c r="B4867" s="19"/>
      <c r="K4867" s="21"/>
      <c r="T4867" s="28"/>
      <c r="AS4867" s="24"/>
      <c r="AT4867" s="24"/>
      <c r="AU4867" s="24"/>
      <c r="AV4867" s="24"/>
      <c r="AX4867" s="29"/>
    </row>
    <row r="4868" spans="2:50">
      <c r="B4868" s="19"/>
      <c r="K4868" s="21"/>
      <c r="T4868" s="28"/>
      <c r="AS4868" s="24"/>
      <c r="AT4868" s="24"/>
      <c r="AU4868" s="24"/>
      <c r="AV4868" s="24"/>
      <c r="AX4868" s="29"/>
    </row>
    <row r="4869" spans="2:50">
      <c r="B4869" s="19"/>
      <c r="K4869" s="21"/>
      <c r="T4869" s="28"/>
      <c r="AS4869" s="24"/>
      <c r="AT4869" s="24"/>
      <c r="AU4869" s="24"/>
      <c r="AV4869" s="24"/>
      <c r="AX4869" s="29"/>
    </row>
    <row r="4870" spans="2:50">
      <c r="B4870" s="19"/>
      <c r="K4870" s="21"/>
      <c r="T4870" s="28"/>
      <c r="AS4870" s="24"/>
      <c r="AT4870" s="24"/>
      <c r="AU4870" s="24"/>
      <c r="AV4870" s="24"/>
      <c r="AX4870" s="29"/>
    </row>
    <row r="4871" spans="2:50">
      <c r="B4871" s="19"/>
      <c r="K4871" s="21"/>
      <c r="T4871" s="28"/>
      <c r="AS4871" s="24"/>
      <c r="AT4871" s="24"/>
      <c r="AU4871" s="24"/>
      <c r="AV4871" s="24"/>
      <c r="AX4871" s="29"/>
    </row>
    <row r="4872" spans="2:50">
      <c r="B4872" s="19"/>
      <c r="K4872" s="21"/>
      <c r="T4872" s="28"/>
      <c r="AS4872" s="24"/>
      <c r="AT4872" s="24"/>
      <c r="AU4872" s="24"/>
      <c r="AV4872" s="24"/>
      <c r="AX4872" s="29"/>
    </row>
    <row r="4873" spans="2:50">
      <c r="B4873" s="19"/>
      <c r="K4873" s="21"/>
      <c r="T4873" s="28"/>
      <c r="AS4873" s="24"/>
      <c r="AT4873" s="24"/>
      <c r="AU4873" s="24"/>
      <c r="AV4873" s="24"/>
      <c r="AX4873" s="29"/>
    </row>
    <row r="4874" spans="2:50">
      <c r="B4874" s="19"/>
      <c r="K4874" s="21"/>
      <c r="T4874" s="28"/>
      <c r="AS4874" s="24"/>
      <c r="AT4874" s="24"/>
      <c r="AU4874" s="24"/>
      <c r="AV4874" s="24"/>
      <c r="AX4874" s="29"/>
    </row>
    <row r="4875" spans="2:50">
      <c r="B4875" s="19"/>
      <c r="K4875" s="21"/>
      <c r="T4875" s="28"/>
      <c r="AS4875" s="24"/>
      <c r="AT4875" s="24"/>
      <c r="AU4875" s="24"/>
      <c r="AV4875" s="24"/>
      <c r="AX4875" s="29"/>
    </row>
    <row r="4876" spans="2:50">
      <c r="B4876" s="19"/>
      <c r="K4876" s="21"/>
      <c r="T4876" s="28"/>
      <c r="AS4876" s="24"/>
      <c r="AT4876" s="24"/>
      <c r="AU4876" s="24"/>
      <c r="AV4876" s="24"/>
      <c r="AX4876" s="29"/>
    </row>
    <row r="4877" spans="2:50">
      <c r="B4877" s="19"/>
      <c r="K4877" s="21"/>
      <c r="T4877" s="28"/>
      <c r="AS4877" s="24"/>
      <c r="AT4877" s="24"/>
      <c r="AU4877" s="24"/>
      <c r="AV4877" s="24"/>
      <c r="AX4877" s="29"/>
    </row>
    <row r="4878" spans="2:50">
      <c r="B4878" s="19"/>
      <c r="K4878" s="21"/>
      <c r="T4878" s="28"/>
      <c r="AS4878" s="24"/>
      <c r="AT4878" s="24"/>
      <c r="AU4878" s="24"/>
      <c r="AV4878" s="24"/>
      <c r="AX4878" s="29"/>
    </row>
    <row r="4879" spans="2:50">
      <c r="B4879" s="19"/>
      <c r="K4879" s="21"/>
      <c r="T4879" s="28"/>
      <c r="AS4879" s="24"/>
      <c r="AT4879" s="24"/>
      <c r="AU4879" s="24"/>
      <c r="AV4879" s="24"/>
      <c r="AX4879" s="29"/>
    </row>
    <row r="4880" spans="2:50">
      <c r="B4880" s="19"/>
      <c r="K4880" s="21"/>
      <c r="T4880" s="28"/>
      <c r="AS4880" s="24"/>
      <c r="AT4880" s="24"/>
      <c r="AU4880" s="24"/>
      <c r="AV4880" s="24"/>
      <c r="AX4880" s="29"/>
    </row>
    <row r="4881" spans="2:50">
      <c r="B4881" s="19"/>
      <c r="K4881" s="21"/>
      <c r="T4881" s="28"/>
      <c r="AS4881" s="24"/>
      <c r="AT4881" s="24"/>
      <c r="AU4881" s="24"/>
      <c r="AV4881" s="24"/>
      <c r="AX4881" s="29"/>
    </row>
    <row r="4882" spans="2:50">
      <c r="B4882" s="19"/>
      <c r="K4882" s="21"/>
      <c r="T4882" s="28"/>
      <c r="AS4882" s="24"/>
      <c r="AT4882" s="24"/>
      <c r="AU4882" s="24"/>
      <c r="AV4882" s="24"/>
      <c r="AX4882" s="29"/>
    </row>
    <row r="4883" spans="2:50">
      <c r="B4883" s="19"/>
      <c r="K4883" s="21"/>
      <c r="T4883" s="28"/>
      <c r="AS4883" s="24"/>
      <c r="AT4883" s="24"/>
      <c r="AU4883" s="24"/>
      <c r="AV4883" s="24"/>
      <c r="AX4883" s="29"/>
    </row>
    <row r="4884" spans="2:50">
      <c r="B4884" s="19"/>
      <c r="K4884" s="21"/>
      <c r="T4884" s="28"/>
      <c r="AS4884" s="24"/>
      <c r="AT4884" s="24"/>
      <c r="AU4884" s="24"/>
      <c r="AV4884" s="24"/>
      <c r="AX4884" s="29"/>
    </row>
    <row r="4885" spans="2:50">
      <c r="B4885" s="19"/>
      <c r="K4885" s="21"/>
      <c r="T4885" s="28"/>
      <c r="AS4885" s="24"/>
      <c r="AT4885" s="24"/>
      <c r="AU4885" s="24"/>
      <c r="AV4885" s="24"/>
      <c r="AX4885" s="29"/>
    </row>
    <row r="4886" spans="2:50">
      <c r="B4886" s="19"/>
      <c r="K4886" s="21"/>
      <c r="T4886" s="28"/>
      <c r="AS4886" s="24"/>
      <c r="AT4886" s="24"/>
      <c r="AU4886" s="24"/>
      <c r="AV4886" s="24"/>
      <c r="AX4886" s="29"/>
    </row>
    <row r="4887" spans="2:50">
      <c r="B4887" s="19"/>
      <c r="K4887" s="21"/>
      <c r="T4887" s="28"/>
      <c r="AS4887" s="24"/>
      <c r="AT4887" s="24"/>
      <c r="AU4887" s="24"/>
      <c r="AV4887" s="24"/>
      <c r="AX4887" s="29"/>
    </row>
    <row r="4888" spans="2:50">
      <c r="B4888" s="19"/>
      <c r="K4888" s="21"/>
      <c r="T4888" s="28"/>
      <c r="AS4888" s="24"/>
      <c r="AT4888" s="24"/>
      <c r="AU4888" s="24"/>
      <c r="AV4888" s="24"/>
      <c r="AX4888" s="29"/>
    </row>
    <row r="4889" spans="2:50">
      <c r="B4889" s="19"/>
      <c r="K4889" s="21"/>
      <c r="T4889" s="28"/>
      <c r="AS4889" s="24"/>
      <c r="AT4889" s="24"/>
      <c r="AU4889" s="24"/>
      <c r="AV4889" s="24"/>
      <c r="AX4889" s="29"/>
    </row>
    <row r="4890" spans="2:50">
      <c r="B4890" s="19"/>
      <c r="K4890" s="21"/>
      <c r="T4890" s="28"/>
      <c r="AS4890" s="24"/>
      <c r="AT4890" s="24"/>
      <c r="AU4890" s="24"/>
      <c r="AV4890" s="24"/>
      <c r="AX4890" s="29"/>
    </row>
    <row r="4891" spans="2:50">
      <c r="B4891" s="19"/>
      <c r="K4891" s="21"/>
      <c r="T4891" s="28"/>
      <c r="AS4891" s="24"/>
      <c r="AT4891" s="24"/>
      <c r="AU4891" s="24"/>
      <c r="AV4891" s="24"/>
      <c r="AX4891" s="29"/>
    </row>
    <row r="4892" spans="2:50">
      <c r="B4892" s="19"/>
      <c r="K4892" s="21"/>
      <c r="T4892" s="28"/>
      <c r="AS4892" s="24"/>
      <c r="AT4892" s="24"/>
      <c r="AU4892" s="24"/>
      <c r="AV4892" s="24"/>
      <c r="AX4892" s="29"/>
    </row>
    <row r="4893" spans="2:50">
      <c r="B4893" s="19"/>
      <c r="K4893" s="21"/>
      <c r="T4893" s="28"/>
      <c r="AS4893" s="24"/>
      <c r="AT4893" s="24"/>
      <c r="AU4893" s="24"/>
      <c r="AV4893" s="24"/>
      <c r="AX4893" s="29"/>
    </row>
    <row r="4894" spans="2:50">
      <c r="B4894" s="19"/>
      <c r="K4894" s="21"/>
      <c r="T4894" s="28"/>
      <c r="AS4894" s="24"/>
      <c r="AT4894" s="24"/>
      <c r="AU4894" s="24"/>
      <c r="AV4894" s="24"/>
      <c r="AX4894" s="29"/>
    </row>
    <row r="4895" spans="2:50">
      <c r="B4895" s="19"/>
      <c r="K4895" s="21"/>
      <c r="T4895" s="28"/>
      <c r="AS4895" s="24"/>
      <c r="AT4895" s="24"/>
      <c r="AU4895" s="24"/>
      <c r="AV4895" s="24"/>
      <c r="AX4895" s="29"/>
    </row>
    <row r="4896" spans="2:50">
      <c r="B4896" s="19"/>
      <c r="K4896" s="21"/>
      <c r="T4896" s="28"/>
      <c r="AS4896" s="24"/>
      <c r="AT4896" s="24"/>
      <c r="AU4896" s="24"/>
      <c r="AV4896" s="24"/>
      <c r="AX4896" s="29"/>
    </row>
    <row r="4897" spans="2:50">
      <c r="B4897" s="33"/>
      <c r="K4897" s="21"/>
      <c r="T4897" s="28"/>
      <c r="AS4897" s="24"/>
      <c r="AT4897" s="24"/>
      <c r="AU4897" s="24"/>
      <c r="AV4897" s="24"/>
      <c r="AX4897" s="29"/>
    </row>
    <row r="4898" spans="2:50">
      <c r="B4898" s="19"/>
      <c r="K4898" s="21"/>
      <c r="T4898" s="28"/>
      <c r="AS4898" s="24"/>
      <c r="AT4898" s="24"/>
      <c r="AU4898" s="24"/>
      <c r="AV4898" s="24"/>
      <c r="AX4898" s="29"/>
    </row>
    <row r="4899" spans="2:50">
      <c r="B4899" s="19"/>
      <c r="K4899" s="21"/>
      <c r="T4899" s="28"/>
      <c r="AS4899" s="24"/>
      <c r="AT4899" s="24"/>
      <c r="AU4899" s="24"/>
      <c r="AV4899" s="24"/>
      <c r="AX4899" s="29"/>
    </row>
    <row r="4900" spans="2:50">
      <c r="B4900" s="19"/>
      <c r="K4900" s="21"/>
      <c r="T4900" s="28"/>
      <c r="AS4900" s="24"/>
      <c r="AT4900" s="24"/>
      <c r="AU4900" s="24"/>
      <c r="AV4900" s="24"/>
      <c r="AX4900" s="29"/>
    </row>
    <row r="4901" spans="2:50">
      <c r="B4901" s="19"/>
      <c r="K4901" s="21"/>
      <c r="T4901" s="28"/>
      <c r="AS4901" s="24"/>
      <c r="AT4901" s="24"/>
      <c r="AU4901" s="24"/>
      <c r="AV4901" s="24"/>
      <c r="AX4901" s="29"/>
    </row>
    <row r="4902" spans="2:50">
      <c r="B4902" s="19"/>
      <c r="K4902" s="21"/>
      <c r="T4902" s="28"/>
      <c r="AS4902" s="24"/>
      <c r="AT4902" s="24"/>
      <c r="AU4902" s="24"/>
      <c r="AV4902" s="24"/>
      <c r="AX4902" s="29"/>
    </row>
    <row r="4903" spans="2:50">
      <c r="B4903" s="19"/>
      <c r="K4903" s="21"/>
      <c r="T4903" s="28"/>
      <c r="AS4903" s="24"/>
      <c r="AT4903" s="24"/>
      <c r="AU4903" s="24"/>
      <c r="AV4903" s="24"/>
      <c r="AX4903" s="29"/>
    </row>
    <row r="4904" spans="2:50">
      <c r="B4904" s="19"/>
      <c r="K4904" s="21"/>
      <c r="T4904" s="28"/>
      <c r="AS4904" s="24"/>
      <c r="AT4904" s="24"/>
      <c r="AU4904" s="24"/>
      <c r="AV4904" s="24"/>
      <c r="AX4904" s="29"/>
    </row>
    <row r="4905" spans="2:50">
      <c r="B4905" s="19"/>
      <c r="K4905" s="21"/>
      <c r="T4905" s="28"/>
      <c r="AS4905" s="24"/>
      <c r="AT4905" s="24"/>
      <c r="AU4905" s="24"/>
      <c r="AV4905" s="24"/>
      <c r="AX4905" s="29"/>
    </row>
    <row r="4906" spans="2:50">
      <c r="B4906" s="19"/>
      <c r="K4906" s="21"/>
      <c r="T4906" s="28"/>
      <c r="AS4906" s="24"/>
      <c r="AT4906" s="24"/>
      <c r="AU4906" s="24"/>
      <c r="AV4906" s="24"/>
      <c r="AX4906" s="29"/>
    </row>
    <row r="4907" spans="2:50">
      <c r="B4907" s="19"/>
      <c r="K4907" s="21"/>
      <c r="T4907" s="28"/>
      <c r="AS4907" s="24"/>
      <c r="AT4907" s="24"/>
      <c r="AU4907" s="24"/>
      <c r="AV4907" s="24"/>
      <c r="AX4907" s="29"/>
    </row>
    <row r="4908" spans="2:50">
      <c r="B4908" s="19"/>
      <c r="K4908" s="21"/>
      <c r="T4908" s="28"/>
      <c r="AS4908" s="24"/>
      <c r="AT4908" s="24"/>
      <c r="AU4908" s="24"/>
      <c r="AV4908" s="24"/>
      <c r="AX4908" s="29"/>
    </row>
    <row r="4909" spans="2:50">
      <c r="B4909" s="19"/>
      <c r="K4909" s="21"/>
      <c r="T4909" s="28"/>
      <c r="AS4909" s="24"/>
      <c r="AT4909" s="24"/>
      <c r="AU4909" s="24"/>
      <c r="AV4909" s="24"/>
      <c r="AX4909" s="29"/>
    </row>
    <row r="4910" spans="2:50">
      <c r="B4910" s="19"/>
      <c r="K4910" s="21"/>
      <c r="T4910" s="28"/>
      <c r="AS4910" s="24"/>
      <c r="AT4910" s="24"/>
      <c r="AU4910" s="24"/>
      <c r="AV4910" s="24"/>
      <c r="AX4910" s="29"/>
    </row>
    <row r="4911" spans="2:50">
      <c r="B4911" s="19"/>
      <c r="K4911" s="21"/>
      <c r="T4911" s="28"/>
      <c r="AS4911" s="24"/>
      <c r="AT4911" s="24"/>
      <c r="AU4911" s="24"/>
      <c r="AV4911" s="24"/>
      <c r="AX4911" s="29"/>
    </row>
    <row r="4912" spans="2:50">
      <c r="B4912" s="19"/>
      <c r="K4912" s="21"/>
      <c r="T4912" s="28"/>
      <c r="AS4912" s="24"/>
      <c r="AT4912" s="24"/>
      <c r="AU4912" s="24"/>
      <c r="AV4912" s="24"/>
      <c r="AX4912" s="29"/>
    </row>
    <row r="4913" spans="2:50">
      <c r="B4913" s="19"/>
      <c r="K4913" s="21"/>
      <c r="T4913" s="28"/>
      <c r="AS4913" s="24"/>
      <c r="AT4913" s="24"/>
      <c r="AU4913" s="24"/>
      <c r="AV4913" s="24"/>
      <c r="AX4913" s="29"/>
    </row>
    <row r="4914" spans="2:50">
      <c r="B4914" s="19"/>
      <c r="K4914" s="21"/>
      <c r="T4914" s="28"/>
      <c r="AS4914" s="24"/>
      <c r="AT4914" s="24"/>
      <c r="AU4914" s="24"/>
      <c r="AV4914" s="24"/>
      <c r="AX4914" s="29"/>
    </row>
    <row r="4915" spans="2:50">
      <c r="B4915" s="19"/>
      <c r="K4915" s="21"/>
      <c r="T4915" s="28"/>
      <c r="AS4915" s="24"/>
      <c r="AT4915" s="24"/>
      <c r="AU4915" s="24"/>
      <c r="AV4915" s="24"/>
      <c r="AX4915" s="29"/>
    </row>
    <row r="4916" spans="2:50">
      <c r="B4916" s="19"/>
      <c r="K4916" s="21"/>
      <c r="T4916" s="28"/>
      <c r="AS4916" s="24"/>
      <c r="AT4916" s="24"/>
      <c r="AU4916" s="24"/>
      <c r="AV4916" s="24"/>
      <c r="AX4916" s="29"/>
    </row>
    <row r="4917" spans="2:50">
      <c r="B4917" s="19"/>
      <c r="K4917" s="21"/>
      <c r="T4917" s="28"/>
      <c r="AS4917" s="24"/>
      <c r="AT4917" s="24"/>
      <c r="AU4917" s="24"/>
      <c r="AV4917" s="24"/>
      <c r="AX4917" s="29"/>
    </row>
    <row r="4918" spans="2:50">
      <c r="B4918" s="19"/>
      <c r="K4918" s="21"/>
      <c r="T4918" s="28"/>
      <c r="AS4918" s="24"/>
      <c r="AT4918" s="24"/>
      <c r="AU4918" s="24"/>
      <c r="AV4918" s="24"/>
      <c r="AX4918" s="29"/>
    </row>
    <row r="4919" spans="2:50">
      <c r="B4919" s="19"/>
      <c r="K4919" s="21"/>
      <c r="T4919" s="28"/>
      <c r="AS4919" s="24"/>
      <c r="AT4919" s="24"/>
      <c r="AU4919" s="24"/>
      <c r="AV4919" s="24"/>
      <c r="AX4919" s="29"/>
    </row>
    <row r="4920" spans="2:50">
      <c r="B4920" s="19"/>
      <c r="K4920" s="21"/>
      <c r="T4920" s="28"/>
      <c r="AS4920" s="24"/>
      <c r="AT4920" s="24"/>
      <c r="AU4920" s="24"/>
      <c r="AV4920" s="24"/>
      <c r="AX4920" s="29"/>
    </row>
    <row r="4921" spans="2:50">
      <c r="B4921" s="19"/>
      <c r="K4921" s="21"/>
      <c r="T4921" s="28"/>
      <c r="AS4921" s="24"/>
      <c r="AT4921" s="24"/>
      <c r="AU4921" s="24"/>
      <c r="AV4921" s="24"/>
      <c r="AX4921" s="29"/>
    </row>
    <row r="4922" spans="2:50">
      <c r="B4922" s="19"/>
      <c r="K4922" s="21"/>
      <c r="T4922" s="28"/>
      <c r="AS4922" s="24"/>
      <c r="AT4922" s="24"/>
      <c r="AU4922" s="24"/>
      <c r="AV4922" s="24"/>
      <c r="AX4922" s="29"/>
    </row>
    <row r="4923" spans="2:50">
      <c r="B4923" s="19"/>
      <c r="K4923" s="21"/>
      <c r="T4923" s="28"/>
      <c r="AS4923" s="24"/>
      <c r="AT4923" s="24"/>
      <c r="AU4923" s="24"/>
      <c r="AV4923" s="24"/>
      <c r="AX4923" s="29"/>
    </row>
    <row r="4924" spans="2:50">
      <c r="B4924" s="19"/>
      <c r="K4924" s="21"/>
      <c r="T4924" s="28"/>
      <c r="AS4924" s="24"/>
      <c r="AT4924" s="24"/>
      <c r="AU4924" s="24"/>
      <c r="AV4924" s="24"/>
      <c r="AX4924" s="29"/>
    </row>
    <row r="4925" spans="2:50">
      <c r="B4925" s="19"/>
      <c r="K4925" s="21"/>
      <c r="T4925" s="28"/>
      <c r="AS4925" s="24"/>
      <c r="AT4925" s="24"/>
      <c r="AU4925" s="24"/>
      <c r="AV4925" s="24"/>
      <c r="AX4925" s="29"/>
    </row>
    <row r="4926" spans="2:50">
      <c r="B4926" s="19"/>
      <c r="K4926" s="21"/>
      <c r="T4926" s="28"/>
      <c r="AS4926" s="24"/>
      <c r="AT4926" s="24"/>
      <c r="AU4926" s="24"/>
      <c r="AV4926" s="24"/>
      <c r="AX4926" s="29"/>
    </row>
    <row r="4927" spans="2:50">
      <c r="B4927" s="19"/>
      <c r="K4927" s="21"/>
      <c r="T4927" s="28"/>
      <c r="AS4927" s="24"/>
      <c r="AT4927" s="24"/>
      <c r="AU4927" s="24"/>
      <c r="AV4927" s="24"/>
      <c r="AX4927" s="29"/>
    </row>
    <row r="4928" spans="2:50">
      <c r="B4928" s="19"/>
      <c r="K4928" s="21"/>
      <c r="T4928" s="28"/>
      <c r="AS4928" s="24"/>
      <c r="AT4928" s="24"/>
      <c r="AU4928" s="24"/>
      <c r="AV4928" s="24"/>
      <c r="AX4928" s="29"/>
    </row>
    <row r="4929" spans="2:50">
      <c r="B4929" s="19"/>
      <c r="K4929" s="21"/>
      <c r="T4929" s="28"/>
      <c r="AS4929" s="24"/>
      <c r="AT4929" s="24"/>
      <c r="AU4929" s="24"/>
      <c r="AV4929" s="24"/>
      <c r="AX4929" s="29"/>
    </row>
    <row r="4930" spans="2:50">
      <c r="B4930" s="19"/>
      <c r="K4930" s="21"/>
      <c r="T4930" s="28"/>
      <c r="AS4930" s="24"/>
      <c r="AT4930" s="24"/>
      <c r="AU4930" s="24"/>
      <c r="AV4930" s="24"/>
      <c r="AX4930" s="29"/>
    </row>
    <row r="4931" spans="2:50">
      <c r="B4931" s="19"/>
      <c r="K4931" s="21"/>
      <c r="T4931" s="28"/>
      <c r="AS4931" s="24"/>
      <c r="AT4931" s="24"/>
      <c r="AU4931" s="24"/>
      <c r="AV4931" s="24"/>
      <c r="AX4931" s="29"/>
    </row>
    <row r="4932" spans="2:50">
      <c r="B4932" s="19"/>
      <c r="K4932" s="21"/>
      <c r="T4932" s="28"/>
      <c r="AS4932" s="24"/>
      <c r="AT4932" s="24"/>
      <c r="AU4932" s="24"/>
      <c r="AV4932" s="24"/>
      <c r="AX4932" s="29"/>
    </row>
    <row r="4933" spans="2:50">
      <c r="B4933" s="19"/>
      <c r="K4933" s="21"/>
      <c r="T4933" s="28"/>
      <c r="AS4933" s="24"/>
      <c r="AT4933" s="24"/>
      <c r="AU4933" s="24"/>
      <c r="AV4933" s="24"/>
      <c r="AX4933" s="29"/>
    </row>
    <row r="4934" spans="2:50">
      <c r="B4934" s="19"/>
      <c r="K4934" s="21"/>
      <c r="T4934" s="28"/>
      <c r="AS4934" s="24"/>
      <c r="AT4934" s="24"/>
      <c r="AU4934" s="24"/>
      <c r="AV4934" s="24"/>
      <c r="AX4934" s="29"/>
    </row>
    <row r="4935" spans="2:50">
      <c r="B4935" s="19"/>
      <c r="K4935" s="21"/>
      <c r="T4935" s="28"/>
      <c r="AS4935" s="24"/>
      <c r="AT4935" s="24"/>
      <c r="AU4935" s="24"/>
      <c r="AV4935" s="24"/>
      <c r="AX4935" s="29"/>
    </row>
    <row r="4936" spans="2:50">
      <c r="B4936" s="19"/>
      <c r="K4936" s="21"/>
      <c r="T4936" s="28"/>
      <c r="AS4936" s="24"/>
      <c r="AT4936" s="24"/>
      <c r="AU4936" s="24"/>
      <c r="AV4936" s="24"/>
      <c r="AX4936" s="29"/>
    </row>
    <row r="4937" spans="2:50">
      <c r="B4937" s="19"/>
      <c r="K4937" s="21"/>
      <c r="T4937" s="28"/>
      <c r="AS4937" s="24"/>
      <c r="AT4937" s="24"/>
      <c r="AU4937" s="24"/>
      <c r="AV4937" s="24"/>
      <c r="AX4937" s="29"/>
    </row>
    <row r="4938" spans="2:50">
      <c r="B4938" s="19"/>
      <c r="K4938" s="21"/>
      <c r="T4938" s="28"/>
      <c r="AS4938" s="24"/>
      <c r="AT4938" s="24"/>
      <c r="AU4938" s="24"/>
      <c r="AV4938" s="24"/>
      <c r="AX4938" s="29"/>
    </row>
    <row r="4939" spans="2:50">
      <c r="B4939" s="19"/>
      <c r="K4939" s="21"/>
      <c r="T4939" s="28"/>
      <c r="AS4939" s="24"/>
      <c r="AT4939" s="24"/>
      <c r="AU4939" s="24"/>
      <c r="AV4939" s="24"/>
      <c r="AX4939" s="29"/>
    </row>
    <row r="4940" spans="2:50">
      <c r="B4940" s="19"/>
      <c r="K4940" s="21"/>
      <c r="T4940" s="28"/>
      <c r="AS4940" s="24"/>
      <c r="AT4940" s="24"/>
      <c r="AU4940" s="24"/>
      <c r="AV4940" s="24"/>
      <c r="AX4940" s="29"/>
    </row>
    <row r="4941" spans="2:50">
      <c r="B4941" s="19"/>
      <c r="K4941" s="21"/>
      <c r="T4941" s="28"/>
      <c r="AS4941" s="24"/>
      <c r="AT4941" s="24"/>
      <c r="AU4941" s="24"/>
      <c r="AV4941" s="24"/>
      <c r="AX4941" s="29"/>
    </row>
    <row r="4942" spans="2:50">
      <c r="B4942" s="19"/>
      <c r="K4942" s="21"/>
      <c r="T4942" s="28"/>
      <c r="AS4942" s="24"/>
      <c r="AT4942" s="24"/>
      <c r="AU4942" s="24"/>
      <c r="AV4942" s="24"/>
      <c r="AX4942" s="29"/>
    </row>
    <row r="4943" spans="2:50">
      <c r="B4943" s="19"/>
      <c r="K4943" s="21"/>
      <c r="T4943" s="28"/>
      <c r="AS4943" s="24"/>
      <c r="AT4943" s="24"/>
      <c r="AU4943" s="24"/>
      <c r="AV4943" s="24"/>
      <c r="AX4943" s="29"/>
    </row>
    <row r="4944" spans="2:50">
      <c r="B4944" s="19"/>
      <c r="K4944" s="21"/>
      <c r="T4944" s="28"/>
      <c r="AS4944" s="24"/>
      <c r="AT4944" s="24"/>
      <c r="AU4944" s="24"/>
      <c r="AV4944" s="24"/>
      <c r="AX4944" s="29"/>
    </row>
    <row r="4945" spans="2:50">
      <c r="B4945" s="19"/>
      <c r="K4945" s="21"/>
      <c r="T4945" s="28"/>
      <c r="AS4945" s="24"/>
      <c r="AT4945" s="24"/>
      <c r="AU4945" s="24"/>
      <c r="AV4945" s="24"/>
      <c r="AX4945" s="29"/>
    </row>
    <row r="4946" spans="2:50">
      <c r="B4946" s="19"/>
      <c r="K4946" s="21"/>
      <c r="T4946" s="28"/>
      <c r="AS4946" s="24"/>
      <c r="AT4946" s="24"/>
      <c r="AU4946" s="24"/>
      <c r="AV4946" s="24"/>
      <c r="AX4946" s="29"/>
    </row>
    <row r="4947" spans="2:50">
      <c r="B4947" s="19"/>
      <c r="K4947" s="21"/>
      <c r="T4947" s="28"/>
      <c r="AS4947" s="24"/>
      <c r="AT4947" s="24"/>
      <c r="AU4947" s="24"/>
      <c r="AV4947" s="24"/>
      <c r="AX4947" s="29"/>
    </row>
    <row r="4948" spans="2:50">
      <c r="B4948" s="19"/>
      <c r="K4948" s="21"/>
      <c r="T4948" s="28"/>
      <c r="AS4948" s="24"/>
      <c r="AT4948" s="24"/>
      <c r="AU4948" s="24"/>
      <c r="AV4948" s="24"/>
      <c r="AX4948" s="29"/>
    </row>
    <row r="4949" spans="2:50">
      <c r="B4949" s="19"/>
      <c r="K4949" s="21"/>
      <c r="T4949" s="28"/>
      <c r="AS4949" s="24"/>
      <c r="AT4949" s="24"/>
      <c r="AU4949" s="24"/>
      <c r="AV4949" s="24"/>
      <c r="AX4949" s="29"/>
    </row>
    <row r="4950" spans="2:50">
      <c r="B4950" s="19"/>
      <c r="K4950" s="21"/>
      <c r="T4950" s="28"/>
      <c r="AS4950" s="24"/>
      <c r="AT4950" s="24"/>
      <c r="AU4950" s="24"/>
      <c r="AV4950" s="24"/>
      <c r="AX4950" s="29"/>
    </row>
    <row r="4951" spans="2:50">
      <c r="B4951" s="19"/>
      <c r="K4951" s="21"/>
      <c r="T4951" s="28"/>
      <c r="AS4951" s="24"/>
      <c r="AT4951" s="24"/>
      <c r="AU4951" s="24"/>
      <c r="AV4951" s="24"/>
      <c r="AX4951" s="29"/>
    </row>
    <row r="4952" spans="2:50">
      <c r="B4952" s="19"/>
      <c r="K4952" s="21"/>
      <c r="T4952" s="28"/>
      <c r="AS4952" s="24"/>
      <c r="AT4952" s="24"/>
      <c r="AU4952" s="24"/>
      <c r="AV4952" s="24"/>
      <c r="AX4952" s="29"/>
    </row>
    <row r="4953" spans="2:50">
      <c r="B4953" s="19"/>
      <c r="K4953" s="21"/>
      <c r="T4953" s="28"/>
      <c r="AS4953" s="24"/>
      <c r="AT4953" s="24"/>
      <c r="AU4953" s="24"/>
      <c r="AV4953" s="24"/>
      <c r="AX4953" s="29"/>
    </row>
    <row r="4954" spans="2:50">
      <c r="B4954" s="19"/>
      <c r="K4954" s="21"/>
      <c r="T4954" s="28"/>
      <c r="AS4954" s="24"/>
      <c r="AT4954" s="24"/>
      <c r="AU4954" s="24"/>
      <c r="AV4954" s="24"/>
      <c r="AX4954" s="29"/>
    </row>
    <row r="4955" spans="2:50">
      <c r="B4955" s="19"/>
      <c r="K4955" s="21"/>
      <c r="T4955" s="28"/>
      <c r="AS4955" s="24"/>
      <c r="AT4955" s="24"/>
      <c r="AU4955" s="24"/>
      <c r="AV4955" s="24"/>
      <c r="AX4955" s="29"/>
    </row>
    <row r="4956" spans="2:50">
      <c r="B4956" s="19"/>
      <c r="K4956" s="21"/>
      <c r="T4956" s="28"/>
      <c r="AS4956" s="24"/>
      <c r="AT4956" s="24"/>
      <c r="AU4956" s="24"/>
      <c r="AV4956" s="24"/>
      <c r="AX4956" s="29"/>
    </row>
    <row r="4957" spans="2:50">
      <c r="B4957" s="19"/>
      <c r="K4957" s="21"/>
      <c r="T4957" s="28"/>
      <c r="AS4957" s="24"/>
      <c r="AT4957" s="24"/>
      <c r="AU4957" s="24"/>
      <c r="AV4957" s="24"/>
      <c r="AX4957" s="29"/>
    </row>
    <row r="4958" spans="2:50">
      <c r="B4958" s="19"/>
      <c r="K4958" s="21"/>
      <c r="T4958" s="28"/>
      <c r="AS4958" s="24"/>
      <c r="AT4958" s="24"/>
      <c r="AU4958" s="24"/>
      <c r="AV4958" s="24"/>
      <c r="AX4958" s="29"/>
    </row>
    <row r="4959" spans="2:50">
      <c r="B4959" s="19"/>
      <c r="K4959" s="21"/>
      <c r="T4959" s="28"/>
      <c r="AS4959" s="24"/>
      <c r="AT4959" s="24"/>
      <c r="AU4959" s="24"/>
      <c r="AV4959" s="24"/>
      <c r="AX4959" s="29"/>
    </row>
    <row r="4960" spans="2:50">
      <c r="B4960" s="19"/>
      <c r="K4960" s="21"/>
      <c r="T4960" s="28"/>
      <c r="AS4960" s="24"/>
      <c r="AT4960" s="24"/>
      <c r="AU4960" s="24"/>
      <c r="AV4960" s="24"/>
      <c r="AX4960" s="29"/>
    </row>
    <row r="4961" spans="2:50">
      <c r="B4961" s="19"/>
      <c r="K4961" s="21"/>
      <c r="T4961" s="28"/>
      <c r="AS4961" s="24"/>
      <c r="AT4961" s="24"/>
      <c r="AU4961" s="24"/>
      <c r="AV4961" s="24"/>
      <c r="AX4961" s="29"/>
    </row>
    <row r="4962" spans="2:50">
      <c r="B4962" s="19"/>
      <c r="K4962" s="21"/>
      <c r="T4962" s="28"/>
      <c r="AS4962" s="24"/>
      <c r="AT4962" s="24"/>
      <c r="AU4962" s="24"/>
      <c r="AV4962" s="24"/>
      <c r="AX4962" s="29"/>
    </row>
    <row r="4963" spans="2:50">
      <c r="B4963" s="19"/>
      <c r="K4963" s="21"/>
      <c r="T4963" s="28"/>
      <c r="AS4963" s="24"/>
      <c r="AT4963" s="24"/>
      <c r="AU4963" s="24"/>
      <c r="AV4963" s="24"/>
      <c r="AX4963" s="29"/>
    </row>
    <row r="4964" spans="2:50">
      <c r="B4964" s="19"/>
      <c r="K4964" s="21"/>
      <c r="T4964" s="28"/>
      <c r="AS4964" s="24"/>
      <c r="AT4964" s="24"/>
      <c r="AU4964" s="24"/>
      <c r="AV4964" s="24"/>
      <c r="AX4964" s="29"/>
    </row>
    <row r="4965" spans="2:50">
      <c r="B4965" s="19"/>
      <c r="K4965" s="21"/>
      <c r="T4965" s="28"/>
      <c r="AS4965" s="24"/>
      <c r="AT4965" s="24"/>
      <c r="AU4965" s="24"/>
      <c r="AV4965" s="24"/>
      <c r="AX4965" s="29"/>
    </row>
    <row r="4966" spans="2:50">
      <c r="B4966" s="19"/>
      <c r="K4966" s="21"/>
      <c r="T4966" s="28"/>
      <c r="AS4966" s="24"/>
      <c r="AT4966" s="24"/>
      <c r="AU4966" s="24"/>
      <c r="AV4966" s="24"/>
      <c r="AX4966" s="29"/>
    </row>
    <row r="4967" spans="2:50">
      <c r="B4967" s="19"/>
      <c r="K4967" s="21"/>
      <c r="T4967" s="28"/>
      <c r="AS4967" s="24"/>
      <c r="AT4967" s="24"/>
      <c r="AU4967" s="24"/>
      <c r="AV4967" s="24"/>
      <c r="AX4967" s="29"/>
    </row>
    <row r="4968" spans="2:50">
      <c r="B4968" s="19"/>
      <c r="K4968" s="21"/>
      <c r="T4968" s="28"/>
      <c r="AS4968" s="24"/>
      <c r="AT4968" s="24"/>
      <c r="AU4968" s="24"/>
      <c r="AV4968" s="24"/>
      <c r="AX4968" s="29"/>
    </row>
    <row r="4969" spans="2:50">
      <c r="B4969" s="19"/>
      <c r="K4969" s="21"/>
      <c r="T4969" s="28"/>
      <c r="AS4969" s="24"/>
      <c r="AT4969" s="24"/>
      <c r="AU4969" s="24"/>
      <c r="AV4969" s="24"/>
      <c r="AX4969" s="29"/>
    </row>
    <row r="4970" spans="2:50">
      <c r="B4970" s="19"/>
      <c r="K4970" s="21"/>
      <c r="T4970" s="28"/>
      <c r="AS4970" s="24"/>
      <c r="AT4970" s="24"/>
      <c r="AU4970" s="24"/>
      <c r="AV4970" s="24"/>
      <c r="AX4970" s="29"/>
    </row>
    <row r="4971" spans="2:50">
      <c r="B4971" s="19"/>
      <c r="K4971" s="21"/>
      <c r="T4971" s="28"/>
      <c r="AS4971" s="24"/>
      <c r="AT4971" s="24"/>
      <c r="AU4971" s="24"/>
      <c r="AV4971" s="24"/>
      <c r="AX4971" s="29"/>
    </row>
    <row r="4972" spans="2:50">
      <c r="B4972" s="19"/>
      <c r="K4972" s="21"/>
      <c r="T4972" s="28"/>
      <c r="AS4972" s="24"/>
      <c r="AT4972" s="24"/>
      <c r="AU4972" s="24"/>
      <c r="AV4972" s="24"/>
      <c r="AX4972" s="29"/>
    </row>
    <row r="4973" spans="2:50">
      <c r="B4973" s="19"/>
      <c r="K4973" s="21"/>
      <c r="T4973" s="28"/>
      <c r="AS4973" s="24"/>
      <c r="AT4973" s="24"/>
      <c r="AU4973" s="24"/>
      <c r="AV4973" s="24"/>
      <c r="AX4973" s="29"/>
    </row>
    <row r="4974" spans="2:50">
      <c r="B4974" s="19"/>
      <c r="K4974" s="21"/>
      <c r="T4974" s="28"/>
      <c r="AS4974" s="24"/>
      <c r="AT4974" s="24"/>
      <c r="AU4974" s="24"/>
      <c r="AV4974" s="24"/>
      <c r="AX4974" s="29"/>
    </row>
    <row r="4975" spans="2:50">
      <c r="B4975" s="19"/>
      <c r="K4975" s="21"/>
      <c r="T4975" s="28"/>
      <c r="AS4975" s="24"/>
      <c r="AT4975" s="24"/>
      <c r="AU4975" s="24"/>
      <c r="AV4975" s="24"/>
      <c r="AX4975" s="29"/>
    </row>
    <row r="4976" spans="2:50">
      <c r="B4976" s="19"/>
      <c r="K4976" s="21"/>
      <c r="T4976" s="28"/>
      <c r="AS4976" s="24"/>
      <c r="AT4976" s="24"/>
      <c r="AU4976" s="24"/>
      <c r="AV4976" s="24"/>
      <c r="AX4976" s="29"/>
    </row>
    <row r="4977" spans="2:50">
      <c r="B4977" s="19"/>
      <c r="K4977" s="21"/>
      <c r="T4977" s="28"/>
      <c r="AS4977" s="24"/>
      <c r="AT4977" s="24"/>
      <c r="AU4977" s="24"/>
      <c r="AV4977" s="24"/>
      <c r="AX4977" s="29"/>
    </row>
    <row r="4978" spans="2:50">
      <c r="B4978" s="19"/>
      <c r="K4978" s="21"/>
      <c r="T4978" s="28"/>
      <c r="AS4978" s="24"/>
      <c r="AT4978" s="24"/>
      <c r="AU4978" s="24"/>
      <c r="AV4978" s="24"/>
      <c r="AX4978" s="29"/>
    </row>
    <row r="4979" spans="2:50">
      <c r="B4979" s="19"/>
      <c r="K4979" s="21"/>
      <c r="T4979" s="28"/>
      <c r="AS4979" s="24"/>
      <c r="AT4979" s="24"/>
      <c r="AU4979" s="24"/>
      <c r="AV4979" s="24"/>
      <c r="AX4979" s="29"/>
    </row>
    <row r="4980" spans="2:50">
      <c r="B4980" s="19"/>
      <c r="K4980" s="21"/>
      <c r="T4980" s="28"/>
      <c r="AS4980" s="24"/>
      <c r="AT4980" s="24"/>
      <c r="AU4980" s="24"/>
      <c r="AV4980" s="24"/>
      <c r="AX4980" s="29"/>
    </row>
    <row r="4981" spans="2:50">
      <c r="B4981" s="19"/>
      <c r="K4981" s="21"/>
      <c r="T4981" s="28"/>
      <c r="AS4981" s="24"/>
      <c r="AT4981" s="24"/>
      <c r="AU4981" s="24"/>
      <c r="AV4981" s="24"/>
      <c r="AX4981" s="29"/>
    </row>
    <row r="4982" spans="2:50">
      <c r="B4982" s="19"/>
      <c r="K4982" s="21"/>
      <c r="T4982" s="28"/>
      <c r="AS4982" s="24"/>
      <c r="AT4982" s="24"/>
      <c r="AU4982" s="24"/>
      <c r="AV4982" s="24"/>
      <c r="AX4982" s="29"/>
    </row>
    <row r="4983" spans="2:50">
      <c r="B4983" s="19"/>
      <c r="K4983" s="21"/>
      <c r="T4983" s="28"/>
      <c r="AS4983" s="24"/>
      <c r="AT4983" s="24"/>
      <c r="AU4983" s="24"/>
      <c r="AV4983" s="24"/>
      <c r="AX4983" s="29"/>
    </row>
    <row r="4984" spans="2:50">
      <c r="B4984" s="19"/>
      <c r="K4984" s="21"/>
      <c r="T4984" s="28"/>
      <c r="AS4984" s="24"/>
      <c r="AT4984" s="24"/>
      <c r="AU4984" s="24"/>
      <c r="AV4984" s="24"/>
      <c r="AX4984" s="29"/>
    </row>
    <row r="4985" spans="2:50">
      <c r="B4985" s="19"/>
      <c r="K4985" s="21"/>
      <c r="T4985" s="28"/>
      <c r="AS4985" s="24"/>
      <c r="AT4985" s="24"/>
      <c r="AU4985" s="24"/>
      <c r="AV4985" s="24"/>
      <c r="AX4985" s="29"/>
    </row>
    <row r="4986" spans="2:50">
      <c r="B4986" s="19"/>
      <c r="K4986" s="21"/>
      <c r="T4986" s="28"/>
      <c r="AS4986" s="24"/>
      <c r="AT4986" s="24"/>
      <c r="AU4986" s="24"/>
      <c r="AV4986" s="24"/>
      <c r="AX4986" s="29"/>
    </row>
    <row r="4987" spans="2:50">
      <c r="B4987" s="19"/>
      <c r="K4987" s="21"/>
      <c r="T4987" s="28"/>
      <c r="AS4987" s="24"/>
      <c r="AT4987" s="24"/>
      <c r="AU4987" s="24"/>
      <c r="AV4987" s="24"/>
      <c r="AX4987" s="29"/>
    </row>
    <row r="4988" spans="2:50">
      <c r="B4988" s="19"/>
      <c r="K4988" s="21"/>
      <c r="T4988" s="28"/>
      <c r="AS4988" s="24"/>
      <c r="AT4988" s="24"/>
      <c r="AU4988" s="24"/>
      <c r="AV4988" s="24"/>
      <c r="AX4988" s="29"/>
    </row>
    <row r="4989" spans="2:50">
      <c r="B4989" s="19"/>
      <c r="K4989" s="21"/>
      <c r="T4989" s="28"/>
      <c r="AS4989" s="24"/>
      <c r="AT4989" s="24"/>
      <c r="AU4989" s="24"/>
      <c r="AV4989" s="24"/>
      <c r="AX4989" s="29"/>
    </row>
    <row r="4990" spans="2:50">
      <c r="B4990" s="19"/>
      <c r="K4990" s="21"/>
      <c r="T4990" s="28"/>
      <c r="AS4990" s="24"/>
      <c r="AT4990" s="24"/>
      <c r="AU4990" s="24"/>
      <c r="AV4990" s="24"/>
      <c r="AX4990" s="29"/>
    </row>
    <row r="4991" spans="2:50">
      <c r="B4991" s="19"/>
      <c r="K4991" s="21"/>
      <c r="T4991" s="28"/>
      <c r="AS4991" s="24"/>
      <c r="AT4991" s="24"/>
      <c r="AU4991" s="24"/>
      <c r="AV4991" s="24"/>
      <c r="AX4991" s="29"/>
    </row>
    <row r="4992" spans="2:50">
      <c r="B4992" s="19"/>
      <c r="K4992" s="21"/>
      <c r="T4992" s="28"/>
      <c r="AS4992" s="24"/>
      <c r="AT4992" s="24"/>
      <c r="AU4992" s="24"/>
      <c r="AV4992" s="24"/>
      <c r="AX4992" s="29"/>
    </row>
    <row r="4993" spans="2:50">
      <c r="B4993" s="19"/>
      <c r="K4993" s="21"/>
      <c r="T4993" s="28"/>
      <c r="AS4993" s="24"/>
      <c r="AT4993" s="24"/>
      <c r="AU4993" s="24"/>
      <c r="AV4993" s="24"/>
      <c r="AX4993" s="29"/>
    </row>
    <row r="4994" spans="2:50">
      <c r="B4994" s="19"/>
      <c r="K4994" s="21"/>
      <c r="T4994" s="28"/>
      <c r="AS4994" s="24"/>
      <c r="AT4994" s="24"/>
      <c r="AU4994" s="24"/>
      <c r="AV4994" s="24"/>
      <c r="AX4994" s="29"/>
    </row>
    <row r="4995" spans="2:50">
      <c r="B4995" s="19"/>
      <c r="K4995" s="21"/>
      <c r="T4995" s="28"/>
      <c r="AS4995" s="24"/>
      <c r="AT4995" s="24"/>
      <c r="AU4995" s="24"/>
      <c r="AV4995" s="24"/>
      <c r="AX4995" s="29"/>
    </row>
    <row r="4996" spans="2:50">
      <c r="B4996" s="19"/>
      <c r="K4996" s="21"/>
      <c r="T4996" s="28"/>
      <c r="AS4996" s="24"/>
      <c r="AT4996" s="24"/>
      <c r="AU4996" s="24"/>
      <c r="AV4996" s="24"/>
      <c r="AX4996" s="29"/>
    </row>
    <row r="4997" spans="2:50">
      <c r="B4997" s="19"/>
      <c r="K4997" s="21"/>
      <c r="T4997" s="28"/>
      <c r="AS4997" s="24"/>
      <c r="AT4997" s="24"/>
      <c r="AU4997" s="24"/>
      <c r="AV4997" s="24"/>
      <c r="AX4997" s="29"/>
    </row>
    <row r="4998" spans="2:50">
      <c r="B4998" s="19"/>
      <c r="K4998" s="21"/>
      <c r="T4998" s="28"/>
      <c r="AS4998" s="24"/>
      <c r="AT4998" s="24"/>
      <c r="AU4998" s="24"/>
      <c r="AV4998" s="24"/>
      <c r="AX4998" s="29"/>
    </row>
    <row r="4999" spans="2:50">
      <c r="B4999" s="19"/>
      <c r="K4999" s="21"/>
      <c r="T4999" s="28"/>
      <c r="AS4999" s="24"/>
      <c r="AT4999" s="24"/>
      <c r="AU4999" s="24"/>
      <c r="AV4999" s="24"/>
      <c r="AX4999" s="29"/>
    </row>
    <row r="5000" spans="2:50">
      <c r="B5000" s="19"/>
      <c r="K5000" s="21"/>
      <c r="T5000" s="28"/>
      <c r="AS5000" s="24"/>
      <c r="AT5000" s="24"/>
      <c r="AU5000" s="24"/>
      <c r="AV5000" s="24"/>
      <c r="AX5000" s="29"/>
    </row>
    <row r="5001" spans="2:50">
      <c r="B5001" s="19"/>
      <c r="K5001" s="21"/>
      <c r="T5001" s="28"/>
      <c r="AS5001" s="24"/>
      <c r="AT5001" s="24"/>
      <c r="AU5001" s="24"/>
      <c r="AV5001" s="24"/>
      <c r="AX5001" s="29"/>
    </row>
    <row r="5002" spans="2:50">
      <c r="B5002" s="19"/>
      <c r="K5002" s="21"/>
      <c r="T5002" s="28"/>
      <c r="AS5002" s="24"/>
      <c r="AT5002" s="24"/>
      <c r="AU5002" s="24"/>
      <c r="AV5002" s="24"/>
      <c r="AX5002" s="29"/>
    </row>
    <row r="5003" spans="2:50">
      <c r="B5003" s="19"/>
      <c r="K5003" s="21"/>
      <c r="T5003" s="28"/>
      <c r="AS5003" s="24"/>
      <c r="AT5003" s="24"/>
      <c r="AU5003" s="24"/>
      <c r="AV5003" s="24"/>
      <c r="AX5003" s="29"/>
    </row>
    <row r="5004" spans="2:50">
      <c r="B5004" s="19"/>
      <c r="K5004" s="21"/>
      <c r="T5004" s="28"/>
      <c r="AS5004" s="24"/>
      <c r="AT5004" s="24"/>
      <c r="AU5004" s="24"/>
      <c r="AV5004" s="24"/>
      <c r="AX5004" s="29"/>
    </row>
    <row r="5005" spans="2:50">
      <c r="B5005" s="19"/>
      <c r="K5005" s="21"/>
      <c r="T5005" s="28"/>
      <c r="AS5005" s="24"/>
      <c r="AT5005" s="24"/>
      <c r="AU5005" s="24"/>
      <c r="AV5005" s="24"/>
      <c r="AX5005" s="29"/>
    </row>
    <row r="5006" spans="2:50">
      <c r="B5006" s="19"/>
      <c r="K5006" s="21"/>
      <c r="T5006" s="28"/>
      <c r="AS5006" s="24"/>
      <c r="AT5006" s="24"/>
      <c r="AU5006" s="24"/>
      <c r="AV5006" s="24"/>
      <c r="AX5006" s="29"/>
    </row>
    <row r="5007" spans="2:50">
      <c r="B5007" s="19"/>
      <c r="K5007" s="21"/>
      <c r="T5007" s="28"/>
      <c r="AS5007" s="24"/>
      <c r="AT5007" s="24"/>
      <c r="AU5007" s="24"/>
      <c r="AV5007" s="24"/>
      <c r="AX5007" s="29"/>
    </row>
    <row r="5008" spans="2:50">
      <c r="B5008" s="19"/>
      <c r="K5008" s="21"/>
      <c r="T5008" s="28"/>
      <c r="AS5008" s="24"/>
      <c r="AT5008" s="24"/>
      <c r="AU5008" s="24"/>
      <c r="AV5008" s="24"/>
      <c r="AX5008" s="29"/>
    </row>
    <row r="5009" spans="2:50">
      <c r="B5009" s="19"/>
      <c r="K5009" s="21"/>
      <c r="T5009" s="28"/>
      <c r="AS5009" s="24"/>
      <c r="AT5009" s="24"/>
      <c r="AU5009" s="24"/>
      <c r="AV5009" s="24"/>
      <c r="AX5009" s="29"/>
    </row>
    <row r="5010" spans="2:50">
      <c r="B5010" s="19"/>
      <c r="K5010" s="21"/>
      <c r="T5010" s="28"/>
      <c r="AS5010" s="24"/>
      <c r="AT5010" s="24"/>
      <c r="AU5010" s="24"/>
      <c r="AV5010" s="24"/>
      <c r="AX5010" s="29"/>
    </row>
    <row r="5011" spans="2:50">
      <c r="B5011" s="19"/>
      <c r="K5011" s="21"/>
      <c r="T5011" s="28"/>
      <c r="AS5011" s="24"/>
      <c r="AT5011" s="24"/>
      <c r="AU5011" s="24"/>
      <c r="AV5011" s="24"/>
      <c r="AX5011" s="29"/>
    </row>
    <row r="5012" spans="2:50">
      <c r="B5012" s="19"/>
      <c r="K5012" s="21"/>
      <c r="T5012" s="28"/>
      <c r="AS5012" s="24"/>
      <c r="AT5012" s="24"/>
      <c r="AU5012" s="24"/>
      <c r="AV5012" s="24"/>
      <c r="AX5012" s="29"/>
    </row>
    <row r="5013" spans="2:50">
      <c r="B5013" s="19"/>
      <c r="K5013" s="21"/>
      <c r="T5013" s="28"/>
      <c r="AS5013" s="24"/>
      <c r="AT5013" s="24"/>
      <c r="AU5013" s="24"/>
      <c r="AV5013" s="24"/>
      <c r="AX5013" s="29"/>
    </row>
    <row r="5014" spans="2:50">
      <c r="B5014" s="19"/>
      <c r="K5014" s="21"/>
      <c r="T5014" s="28"/>
      <c r="AS5014" s="24"/>
      <c r="AT5014" s="24"/>
      <c r="AU5014" s="24"/>
      <c r="AV5014" s="24"/>
      <c r="AX5014" s="29"/>
    </row>
    <row r="5015" spans="2:50">
      <c r="B5015" s="19"/>
      <c r="K5015" s="21"/>
      <c r="T5015" s="28"/>
      <c r="AS5015" s="24"/>
      <c r="AT5015" s="24"/>
      <c r="AU5015" s="24"/>
      <c r="AV5015" s="24"/>
      <c r="AX5015" s="29"/>
    </row>
    <row r="5016" spans="2:50">
      <c r="B5016" s="19"/>
      <c r="K5016" s="21"/>
      <c r="T5016" s="28"/>
      <c r="AS5016" s="24"/>
      <c r="AT5016" s="24"/>
      <c r="AU5016" s="24"/>
      <c r="AV5016" s="24"/>
      <c r="AX5016" s="29"/>
    </row>
    <row r="5017" spans="2:50">
      <c r="B5017" s="19"/>
      <c r="K5017" s="21"/>
      <c r="T5017" s="28"/>
      <c r="AS5017" s="24"/>
      <c r="AT5017" s="24"/>
      <c r="AU5017" s="24"/>
      <c r="AV5017" s="24"/>
      <c r="AX5017" s="29"/>
    </row>
    <row r="5018" spans="2:50">
      <c r="B5018" s="19"/>
      <c r="K5018" s="21"/>
      <c r="T5018" s="28"/>
      <c r="AS5018" s="24"/>
      <c r="AT5018" s="24"/>
      <c r="AU5018" s="24"/>
      <c r="AV5018" s="24"/>
      <c r="AX5018" s="29"/>
    </row>
    <row r="5019" spans="2:50">
      <c r="B5019" s="19"/>
      <c r="K5019" s="21"/>
      <c r="T5019" s="28"/>
      <c r="AS5019" s="24"/>
      <c r="AT5019" s="24"/>
      <c r="AU5019" s="24"/>
      <c r="AV5019" s="24"/>
      <c r="AX5019" s="29"/>
    </row>
    <row r="5020" spans="2:50">
      <c r="B5020" s="19"/>
      <c r="K5020" s="21"/>
      <c r="T5020" s="28"/>
      <c r="AS5020" s="24"/>
      <c r="AT5020" s="24"/>
      <c r="AU5020" s="24"/>
      <c r="AV5020" s="24"/>
      <c r="AX5020" s="29"/>
    </row>
    <row r="5021" spans="2:50">
      <c r="B5021" s="19"/>
      <c r="K5021" s="21"/>
      <c r="T5021" s="28"/>
      <c r="AS5021" s="24"/>
      <c r="AT5021" s="24"/>
      <c r="AU5021" s="24"/>
      <c r="AV5021" s="24"/>
      <c r="AX5021" s="29"/>
    </row>
    <row r="5022" spans="2:50">
      <c r="B5022" s="19"/>
      <c r="K5022" s="21"/>
      <c r="T5022" s="28"/>
      <c r="AS5022" s="24"/>
      <c r="AT5022" s="24"/>
      <c r="AU5022" s="24"/>
      <c r="AV5022" s="24"/>
      <c r="AX5022" s="29"/>
    </row>
    <row r="5023" spans="2:50">
      <c r="B5023" s="19"/>
      <c r="K5023" s="21"/>
      <c r="T5023" s="28"/>
      <c r="AS5023" s="24"/>
      <c r="AT5023" s="24"/>
      <c r="AU5023" s="24"/>
      <c r="AV5023" s="24"/>
      <c r="AX5023" s="29"/>
    </row>
    <row r="5024" spans="2:50">
      <c r="B5024" s="19"/>
      <c r="K5024" s="21"/>
      <c r="T5024" s="28"/>
      <c r="AS5024" s="24"/>
      <c r="AT5024" s="24"/>
      <c r="AU5024" s="24"/>
      <c r="AV5024" s="24"/>
      <c r="AX5024" s="29"/>
    </row>
    <row r="5025" spans="2:50">
      <c r="B5025" s="19"/>
      <c r="K5025" s="21"/>
      <c r="T5025" s="28"/>
      <c r="AS5025" s="24"/>
      <c r="AT5025" s="24"/>
      <c r="AU5025" s="24"/>
      <c r="AV5025" s="24"/>
      <c r="AX5025" s="29"/>
    </row>
    <row r="5026" spans="2:50">
      <c r="B5026" s="19"/>
      <c r="K5026" s="21"/>
      <c r="T5026" s="28"/>
      <c r="AS5026" s="24"/>
      <c r="AT5026" s="24"/>
      <c r="AU5026" s="24"/>
      <c r="AV5026" s="24"/>
      <c r="AX5026" s="29"/>
    </row>
    <row r="5027" spans="2:50">
      <c r="B5027" s="19"/>
      <c r="K5027" s="21"/>
      <c r="T5027" s="28"/>
      <c r="AS5027" s="24"/>
      <c r="AT5027" s="24"/>
      <c r="AU5027" s="24"/>
      <c r="AV5027" s="24"/>
      <c r="AX5027" s="29"/>
    </row>
    <row r="5028" spans="2:50">
      <c r="B5028" s="19"/>
      <c r="K5028" s="21"/>
      <c r="T5028" s="28"/>
      <c r="AS5028" s="24"/>
      <c r="AT5028" s="24"/>
      <c r="AU5028" s="24"/>
      <c r="AV5028" s="24"/>
      <c r="AX5028" s="29"/>
    </row>
    <row r="5029" spans="2:50">
      <c r="B5029" s="19"/>
      <c r="K5029" s="21"/>
      <c r="T5029" s="28"/>
      <c r="AS5029" s="24"/>
      <c r="AT5029" s="24"/>
      <c r="AU5029" s="24"/>
      <c r="AV5029" s="24"/>
      <c r="AX5029" s="29"/>
    </row>
    <row r="5030" spans="2:50">
      <c r="B5030" s="19"/>
      <c r="K5030" s="21"/>
      <c r="T5030" s="28"/>
      <c r="AS5030" s="24"/>
      <c r="AT5030" s="24"/>
      <c r="AU5030" s="24"/>
      <c r="AV5030" s="24"/>
      <c r="AX5030" s="29"/>
    </row>
    <row r="5031" spans="2:50">
      <c r="B5031" s="19"/>
      <c r="K5031" s="21"/>
      <c r="T5031" s="28"/>
      <c r="AS5031" s="24"/>
      <c r="AT5031" s="24"/>
      <c r="AU5031" s="24"/>
      <c r="AV5031" s="24"/>
      <c r="AX5031" s="29"/>
    </row>
    <row r="5032" spans="2:50">
      <c r="B5032" s="19"/>
      <c r="K5032" s="21"/>
      <c r="T5032" s="28"/>
      <c r="AS5032" s="24"/>
      <c r="AT5032" s="24"/>
      <c r="AU5032" s="24"/>
      <c r="AV5032" s="24"/>
      <c r="AX5032" s="29"/>
    </row>
    <row r="5033" spans="2:50">
      <c r="B5033" s="19"/>
      <c r="K5033" s="21"/>
      <c r="T5033" s="28"/>
      <c r="AS5033" s="24"/>
      <c r="AT5033" s="24"/>
      <c r="AU5033" s="24"/>
      <c r="AV5033" s="24"/>
      <c r="AX5033" s="29"/>
    </row>
    <row r="5034" spans="2:50">
      <c r="B5034" s="19"/>
      <c r="K5034" s="21"/>
      <c r="T5034" s="28"/>
      <c r="AS5034" s="24"/>
      <c r="AT5034" s="24"/>
      <c r="AU5034" s="24"/>
      <c r="AV5034" s="24"/>
      <c r="AX5034" s="29"/>
    </row>
    <row r="5035" spans="2:50">
      <c r="B5035" s="19"/>
      <c r="K5035" s="21"/>
      <c r="T5035" s="28"/>
      <c r="AS5035" s="24"/>
      <c r="AT5035" s="24"/>
      <c r="AU5035" s="24"/>
      <c r="AV5035" s="24"/>
      <c r="AX5035" s="29"/>
    </row>
    <row r="5036" spans="2:50">
      <c r="B5036" s="19"/>
      <c r="K5036" s="21"/>
      <c r="T5036" s="28"/>
      <c r="AS5036" s="24"/>
      <c r="AT5036" s="24"/>
      <c r="AU5036" s="24"/>
      <c r="AV5036" s="24"/>
      <c r="AX5036" s="29"/>
    </row>
    <row r="5037" spans="2:50">
      <c r="B5037" s="19"/>
      <c r="K5037" s="21"/>
      <c r="T5037" s="28"/>
      <c r="AS5037" s="24"/>
      <c r="AT5037" s="24"/>
      <c r="AU5037" s="24"/>
      <c r="AV5037" s="24"/>
      <c r="AX5037" s="29"/>
    </row>
    <row r="5038" spans="2:50">
      <c r="B5038" s="19"/>
      <c r="K5038" s="21"/>
      <c r="T5038" s="28"/>
      <c r="AS5038" s="24"/>
      <c r="AT5038" s="24"/>
      <c r="AU5038" s="24"/>
      <c r="AV5038" s="24"/>
      <c r="AX5038" s="29"/>
    </row>
    <row r="5039" spans="2:50">
      <c r="B5039" s="19"/>
      <c r="K5039" s="21"/>
      <c r="T5039" s="28"/>
      <c r="AS5039" s="24"/>
      <c r="AT5039" s="24"/>
      <c r="AU5039" s="24"/>
      <c r="AV5039" s="24"/>
      <c r="AX5039" s="29"/>
    </row>
    <row r="5040" spans="2:50">
      <c r="B5040" s="19"/>
      <c r="K5040" s="21"/>
      <c r="T5040" s="28"/>
      <c r="AS5040" s="24"/>
      <c r="AT5040" s="24"/>
      <c r="AU5040" s="24"/>
      <c r="AV5040" s="24"/>
      <c r="AX5040" s="29"/>
    </row>
    <row r="5041" spans="2:50">
      <c r="B5041" s="19"/>
      <c r="K5041" s="21"/>
      <c r="T5041" s="28"/>
      <c r="AS5041" s="24"/>
      <c r="AT5041" s="24"/>
      <c r="AU5041" s="24"/>
      <c r="AV5041" s="24"/>
      <c r="AX5041" s="29"/>
    </row>
    <row r="5042" spans="2:50">
      <c r="B5042" s="19"/>
      <c r="K5042" s="21"/>
      <c r="T5042" s="28"/>
      <c r="AS5042" s="24"/>
      <c r="AT5042" s="24"/>
      <c r="AU5042" s="24"/>
      <c r="AV5042" s="24"/>
      <c r="AX5042" s="29"/>
    </row>
    <row r="5043" spans="2:50">
      <c r="B5043" s="19"/>
      <c r="K5043" s="21"/>
      <c r="T5043" s="28"/>
      <c r="AS5043" s="24"/>
      <c r="AT5043" s="24"/>
      <c r="AU5043" s="24"/>
      <c r="AV5043" s="24"/>
      <c r="AX5043" s="29"/>
    </row>
    <row r="5044" spans="2:50">
      <c r="B5044" s="19"/>
      <c r="K5044" s="21"/>
      <c r="T5044" s="28"/>
      <c r="AS5044" s="24"/>
      <c r="AT5044" s="24"/>
      <c r="AU5044" s="24"/>
      <c r="AV5044" s="24"/>
      <c r="AX5044" s="29"/>
    </row>
    <row r="5045" spans="2:50">
      <c r="B5045" s="19"/>
      <c r="K5045" s="21"/>
      <c r="T5045" s="28"/>
      <c r="AS5045" s="24"/>
      <c r="AT5045" s="24"/>
      <c r="AU5045" s="24"/>
      <c r="AV5045" s="24"/>
      <c r="AX5045" s="29"/>
    </row>
    <row r="5046" spans="2:50">
      <c r="B5046" s="19"/>
      <c r="K5046" s="21"/>
      <c r="T5046" s="28"/>
      <c r="AS5046" s="24"/>
      <c r="AT5046" s="24"/>
      <c r="AU5046" s="24"/>
      <c r="AV5046" s="24"/>
      <c r="AX5046" s="29"/>
    </row>
    <row r="5047" spans="2:50">
      <c r="B5047" s="19"/>
      <c r="K5047" s="21"/>
      <c r="T5047" s="28"/>
      <c r="AS5047" s="24"/>
      <c r="AT5047" s="24"/>
      <c r="AU5047" s="24"/>
      <c r="AV5047" s="24"/>
      <c r="AX5047" s="29"/>
    </row>
    <row r="5048" spans="2:50">
      <c r="B5048" s="19"/>
      <c r="K5048" s="21"/>
      <c r="T5048" s="28"/>
      <c r="AS5048" s="24"/>
      <c r="AT5048" s="24"/>
      <c r="AU5048" s="24"/>
      <c r="AV5048" s="24"/>
      <c r="AX5048" s="29"/>
    </row>
    <row r="5049" spans="2:50">
      <c r="B5049" s="19"/>
      <c r="K5049" s="21"/>
      <c r="T5049" s="28"/>
      <c r="AS5049" s="24"/>
      <c r="AT5049" s="24"/>
      <c r="AU5049" s="24"/>
      <c r="AV5049" s="24"/>
      <c r="AX5049" s="29"/>
    </row>
    <row r="5050" spans="2:50">
      <c r="B5050" s="19"/>
      <c r="K5050" s="21"/>
      <c r="T5050" s="28"/>
      <c r="AS5050" s="24"/>
      <c r="AT5050" s="24"/>
      <c r="AU5050" s="24"/>
      <c r="AV5050" s="24"/>
      <c r="AX5050" s="29"/>
    </row>
    <row r="5051" spans="2:50">
      <c r="B5051" s="19"/>
      <c r="K5051" s="21"/>
      <c r="T5051" s="28"/>
      <c r="AS5051" s="24"/>
      <c r="AT5051" s="24"/>
      <c r="AU5051" s="24"/>
      <c r="AV5051" s="24"/>
      <c r="AX5051" s="29"/>
    </row>
    <row r="5052" spans="2:50">
      <c r="B5052" s="19"/>
      <c r="K5052" s="21"/>
      <c r="T5052" s="28"/>
      <c r="AS5052" s="24"/>
      <c r="AT5052" s="24"/>
      <c r="AU5052" s="24"/>
      <c r="AV5052" s="24"/>
      <c r="AX5052" s="29"/>
    </row>
    <row r="5053" spans="2:50">
      <c r="B5053" s="19"/>
      <c r="K5053" s="21"/>
      <c r="T5053" s="28"/>
      <c r="AS5053" s="24"/>
      <c r="AT5053" s="24"/>
      <c r="AU5053" s="24"/>
      <c r="AV5053" s="24"/>
      <c r="AX5053" s="29"/>
    </row>
    <row r="5054" spans="2:50">
      <c r="B5054" s="19"/>
      <c r="K5054" s="21"/>
      <c r="T5054" s="28"/>
      <c r="AS5054" s="24"/>
      <c r="AT5054" s="24"/>
      <c r="AU5054" s="24"/>
      <c r="AV5054" s="24"/>
      <c r="AX5054" s="29"/>
    </row>
    <row r="5055" spans="2:50">
      <c r="B5055" s="19"/>
      <c r="K5055" s="21"/>
      <c r="T5055" s="28"/>
      <c r="AS5055" s="24"/>
      <c r="AT5055" s="24"/>
      <c r="AU5055" s="24"/>
      <c r="AV5055" s="24"/>
      <c r="AX5055" s="29"/>
    </row>
    <row r="5056" spans="2:50">
      <c r="B5056" s="19"/>
      <c r="K5056" s="21"/>
      <c r="T5056" s="28"/>
      <c r="AS5056" s="24"/>
      <c r="AT5056" s="24"/>
      <c r="AU5056" s="24"/>
      <c r="AV5056" s="24"/>
      <c r="AX5056" s="29"/>
    </row>
    <row r="5057" spans="2:50">
      <c r="B5057" s="19"/>
      <c r="K5057" s="21"/>
      <c r="T5057" s="28"/>
      <c r="AS5057" s="24"/>
      <c r="AT5057" s="24"/>
      <c r="AU5057" s="24"/>
      <c r="AV5057" s="24"/>
      <c r="AX5057" s="29"/>
    </row>
    <row r="5058" spans="2:50">
      <c r="B5058" s="19"/>
      <c r="K5058" s="21"/>
      <c r="T5058" s="28"/>
      <c r="AS5058" s="24"/>
      <c r="AT5058" s="24"/>
      <c r="AU5058" s="24"/>
      <c r="AV5058" s="24"/>
      <c r="AX5058" s="29"/>
    </row>
    <row r="5059" spans="2:50">
      <c r="B5059" s="19"/>
      <c r="K5059" s="21"/>
      <c r="T5059" s="28"/>
      <c r="AS5059" s="24"/>
      <c r="AT5059" s="24"/>
      <c r="AU5059" s="24"/>
      <c r="AV5059" s="24"/>
      <c r="AX5059" s="29"/>
    </row>
    <row r="5060" spans="2:50">
      <c r="B5060" s="19"/>
      <c r="K5060" s="21"/>
      <c r="T5060" s="28"/>
      <c r="AS5060" s="24"/>
      <c r="AT5060" s="24"/>
      <c r="AU5060" s="24"/>
      <c r="AV5060" s="24"/>
      <c r="AX5060" s="29"/>
    </row>
    <row r="5061" spans="2:50">
      <c r="B5061" s="19"/>
      <c r="K5061" s="21"/>
      <c r="T5061" s="28"/>
      <c r="AS5061" s="24"/>
      <c r="AT5061" s="24"/>
      <c r="AU5061" s="24"/>
      <c r="AV5061" s="24"/>
      <c r="AX5061" s="29"/>
    </row>
    <row r="5062" spans="2:50">
      <c r="B5062" s="19"/>
      <c r="K5062" s="21"/>
      <c r="T5062" s="28"/>
      <c r="AS5062" s="24"/>
      <c r="AT5062" s="24"/>
      <c r="AU5062" s="24"/>
      <c r="AV5062" s="24"/>
      <c r="AX5062" s="29"/>
    </row>
    <row r="5063" spans="2:50">
      <c r="B5063" s="19"/>
      <c r="K5063" s="21"/>
      <c r="T5063" s="28"/>
      <c r="AS5063" s="24"/>
      <c r="AT5063" s="24"/>
      <c r="AU5063" s="24"/>
      <c r="AV5063" s="24"/>
      <c r="AX5063" s="29"/>
    </row>
    <row r="5064" spans="2:50">
      <c r="B5064" s="19"/>
      <c r="K5064" s="21"/>
      <c r="T5064" s="28"/>
      <c r="AS5064" s="24"/>
      <c r="AT5064" s="24"/>
      <c r="AU5064" s="24"/>
      <c r="AV5064" s="24"/>
      <c r="AX5064" s="29"/>
    </row>
    <row r="5065" spans="2:50">
      <c r="B5065" s="19"/>
      <c r="K5065" s="21"/>
      <c r="T5065" s="28"/>
      <c r="AS5065" s="24"/>
      <c r="AT5065" s="24"/>
      <c r="AU5065" s="24"/>
      <c r="AV5065" s="24"/>
      <c r="AX5065" s="29"/>
    </row>
    <row r="5066" spans="2:50">
      <c r="B5066" s="19"/>
      <c r="K5066" s="21"/>
      <c r="T5066" s="28"/>
      <c r="AS5066" s="24"/>
      <c r="AT5066" s="24"/>
      <c r="AU5066" s="24"/>
      <c r="AV5066" s="24"/>
      <c r="AX5066" s="29"/>
    </row>
    <row r="5067" spans="2:50">
      <c r="B5067" s="19"/>
      <c r="K5067" s="21"/>
      <c r="T5067" s="28"/>
      <c r="AS5067" s="24"/>
      <c r="AT5067" s="24"/>
      <c r="AU5067" s="24"/>
      <c r="AV5067" s="24"/>
      <c r="AX5067" s="29"/>
    </row>
    <row r="5068" spans="2:50">
      <c r="B5068" s="19"/>
      <c r="K5068" s="21"/>
      <c r="T5068" s="28"/>
      <c r="AS5068" s="24"/>
      <c r="AT5068" s="24"/>
      <c r="AU5068" s="24"/>
      <c r="AV5068" s="24"/>
      <c r="AX5068" s="29"/>
    </row>
    <row r="5069" spans="2:50">
      <c r="B5069" s="19"/>
      <c r="K5069" s="21"/>
      <c r="T5069" s="28"/>
      <c r="AS5069" s="24"/>
      <c r="AT5069" s="24"/>
      <c r="AU5069" s="24"/>
      <c r="AV5069" s="24"/>
      <c r="AX5069" s="29"/>
    </row>
    <row r="5070" spans="2:50">
      <c r="B5070" s="19"/>
      <c r="K5070" s="21"/>
      <c r="T5070" s="28"/>
      <c r="AS5070" s="24"/>
      <c r="AT5070" s="24"/>
      <c r="AU5070" s="24"/>
      <c r="AV5070" s="24"/>
      <c r="AX5070" s="29"/>
    </row>
    <row r="5071" spans="2:50">
      <c r="B5071" s="19"/>
      <c r="K5071" s="21"/>
      <c r="T5071" s="28"/>
      <c r="AS5071" s="24"/>
      <c r="AT5071" s="24"/>
      <c r="AU5071" s="24"/>
      <c r="AV5071" s="24"/>
      <c r="AX5071" s="29"/>
    </row>
    <row r="5072" spans="2:50">
      <c r="B5072" s="19"/>
      <c r="K5072" s="21"/>
      <c r="T5072" s="28"/>
      <c r="AS5072" s="24"/>
      <c r="AT5072" s="24"/>
      <c r="AU5072" s="24"/>
      <c r="AV5072" s="24"/>
      <c r="AX5072" s="29"/>
    </row>
    <row r="5073" spans="2:50">
      <c r="B5073" s="19"/>
      <c r="K5073" s="21"/>
      <c r="T5073" s="28"/>
      <c r="AS5073" s="24"/>
      <c r="AT5073" s="24"/>
      <c r="AU5073" s="24"/>
      <c r="AV5073" s="24"/>
      <c r="AX5073" s="29"/>
    </row>
    <row r="5074" spans="2:50">
      <c r="B5074" s="19"/>
      <c r="K5074" s="21"/>
      <c r="T5074" s="28"/>
      <c r="AS5074" s="24"/>
      <c r="AT5074" s="24"/>
      <c r="AU5074" s="24"/>
      <c r="AV5074" s="24"/>
      <c r="AX5074" s="29"/>
    </row>
    <row r="5075" spans="2:50">
      <c r="B5075" s="19"/>
      <c r="K5075" s="21"/>
      <c r="T5075" s="28"/>
      <c r="AS5075" s="24"/>
      <c r="AT5075" s="24"/>
      <c r="AU5075" s="24"/>
      <c r="AV5075" s="24"/>
      <c r="AX5075" s="29"/>
    </row>
    <row r="5076" spans="2:50">
      <c r="B5076" s="19"/>
      <c r="K5076" s="21"/>
      <c r="T5076" s="28"/>
      <c r="AS5076" s="24"/>
      <c r="AT5076" s="24"/>
      <c r="AU5076" s="24"/>
      <c r="AV5076" s="24"/>
      <c r="AX5076" s="29"/>
    </row>
    <row r="5077" spans="2:50">
      <c r="B5077" s="19"/>
      <c r="K5077" s="21"/>
      <c r="T5077" s="28"/>
      <c r="AS5077" s="24"/>
      <c r="AT5077" s="24"/>
      <c r="AU5077" s="24"/>
      <c r="AV5077" s="24"/>
      <c r="AX5077" s="29"/>
    </row>
    <row r="5078" spans="2:50">
      <c r="B5078" s="19"/>
      <c r="K5078" s="21"/>
      <c r="T5078" s="28"/>
      <c r="AS5078" s="24"/>
      <c r="AT5078" s="24"/>
      <c r="AU5078" s="24"/>
      <c r="AV5078" s="24"/>
      <c r="AX5078" s="29"/>
    </row>
    <row r="5079" spans="2:50">
      <c r="B5079" s="19"/>
      <c r="K5079" s="21"/>
      <c r="T5079" s="28"/>
      <c r="AS5079" s="24"/>
      <c r="AT5079" s="24"/>
      <c r="AU5079" s="24"/>
      <c r="AV5079" s="24"/>
      <c r="AX5079" s="29"/>
    </row>
    <row r="5080" spans="2:50">
      <c r="B5080" s="19"/>
      <c r="K5080" s="21"/>
      <c r="T5080" s="28"/>
      <c r="AS5080" s="24"/>
      <c r="AT5080" s="24"/>
      <c r="AU5080" s="24"/>
      <c r="AV5080" s="24"/>
      <c r="AX5080" s="29"/>
    </row>
    <row r="5081" spans="2:50">
      <c r="B5081" s="19"/>
      <c r="K5081" s="21"/>
      <c r="T5081" s="28"/>
      <c r="AS5081" s="24"/>
      <c r="AT5081" s="24"/>
      <c r="AU5081" s="24"/>
      <c r="AV5081" s="24"/>
      <c r="AX5081" s="29"/>
    </row>
    <row r="5082" spans="2:50">
      <c r="B5082" s="19"/>
      <c r="K5082" s="21"/>
      <c r="T5082" s="28"/>
      <c r="AS5082" s="24"/>
      <c r="AT5082" s="24"/>
      <c r="AU5082" s="24"/>
      <c r="AV5082" s="24"/>
      <c r="AX5082" s="29"/>
    </row>
    <row r="5083" spans="2:50">
      <c r="B5083" s="19"/>
      <c r="K5083" s="21"/>
      <c r="T5083" s="28"/>
      <c r="AS5083" s="24"/>
      <c r="AT5083" s="24"/>
      <c r="AU5083" s="24"/>
      <c r="AV5083" s="24"/>
      <c r="AX5083" s="29"/>
    </row>
    <row r="5084" spans="2:50">
      <c r="B5084" s="19"/>
      <c r="K5084" s="21"/>
      <c r="T5084" s="28"/>
      <c r="AS5084" s="24"/>
      <c r="AT5084" s="24"/>
      <c r="AU5084" s="24"/>
      <c r="AV5084" s="24"/>
      <c r="AX5084" s="29"/>
    </row>
    <row r="5085" spans="2:50">
      <c r="B5085" s="19"/>
      <c r="K5085" s="21"/>
      <c r="T5085" s="28"/>
      <c r="AS5085" s="24"/>
      <c r="AT5085" s="24"/>
      <c r="AU5085" s="24"/>
      <c r="AV5085" s="24"/>
      <c r="AX5085" s="29"/>
    </row>
    <row r="5086" spans="2:50">
      <c r="B5086" s="19"/>
      <c r="K5086" s="21"/>
      <c r="T5086" s="28"/>
      <c r="AS5086" s="24"/>
      <c r="AT5086" s="24"/>
      <c r="AU5086" s="24"/>
      <c r="AV5086" s="24"/>
      <c r="AX5086" s="29"/>
    </row>
    <row r="5087" spans="2:50">
      <c r="B5087" s="19"/>
      <c r="K5087" s="21"/>
      <c r="T5087" s="28"/>
      <c r="AS5087" s="24"/>
      <c r="AT5087" s="24"/>
      <c r="AU5087" s="24"/>
      <c r="AV5087" s="24"/>
      <c r="AX5087" s="29"/>
    </row>
    <row r="5088" spans="2:50">
      <c r="B5088" s="19"/>
      <c r="K5088" s="21"/>
      <c r="T5088" s="28"/>
      <c r="AS5088" s="24"/>
      <c r="AT5088" s="24"/>
      <c r="AU5088" s="24"/>
      <c r="AV5088" s="24"/>
      <c r="AX5088" s="29"/>
    </row>
    <row r="5089" spans="2:50">
      <c r="B5089" s="19"/>
      <c r="K5089" s="21"/>
      <c r="T5089" s="28"/>
      <c r="AS5089" s="24"/>
      <c r="AT5089" s="24"/>
      <c r="AU5089" s="24"/>
      <c r="AV5089" s="24"/>
      <c r="AX5089" s="29"/>
    </row>
    <row r="5090" spans="2:50">
      <c r="B5090" s="19"/>
      <c r="K5090" s="21"/>
      <c r="T5090" s="28"/>
      <c r="AS5090" s="24"/>
      <c r="AT5090" s="24"/>
      <c r="AU5090" s="24"/>
      <c r="AV5090" s="24"/>
      <c r="AX5090" s="29"/>
    </row>
    <row r="5091" spans="2:50">
      <c r="B5091" s="19"/>
      <c r="K5091" s="21"/>
      <c r="T5091" s="28"/>
      <c r="AS5091" s="24"/>
      <c r="AT5091" s="24"/>
      <c r="AU5091" s="24"/>
      <c r="AV5091" s="24"/>
      <c r="AX5091" s="29"/>
    </row>
    <row r="5092" spans="2:50">
      <c r="B5092" s="19"/>
      <c r="K5092" s="21"/>
      <c r="T5092" s="28"/>
      <c r="AS5092" s="24"/>
      <c r="AT5092" s="24"/>
      <c r="AU5092" s="24"/>
      <c r="AV5092" s="24"/>
      <c r="AX5092" s="29"/>
    </row>
    <row r="5093" spans="2:50">
      <c r="B5093" s="19"/>
      <c r="K5093" s="21"/>
      <c r="T5093" s="28"/>
      <c r="AS5093" s="24"/>
      <c r="AT5093" s="24"/>
      <c r="AU5093" s="24"/>
      <c r="AV5093" s="24"/>
      <c r="AX5093" s="29"/>
    </row>
    <row r="5094" spans="2:50">
      <c r="B5094" s="19"/>
      <c r="K5094" s="21"/>
      <c r="T5094" s="28"/>
      <c r="AS5094" s="24"/>
      <c r="AT5094" s="24"/>
      <c r="AU5094" s="24"/>
      <c r="AV5094" s="24"/>
      <c r="AX5094" s="29"/>
    </row>
    <row r="5095" spans="2:50">
      <c r="B5095" s="19"/>
      <c r="K5095" s="21"/>
      <c r="T5095" s="28"/>
      <c r="AS5095" s="24"/>
      <c r="AT5095" s="24"/>
      <c r="AU5095" s="24"/>
      <c r="AV5095" s="24"/>
      <c r="AX5095" s="29"/>
    </row>
    <row r="5096" spans="2:50">
      <c r="B5096" s="19"/>
      <c r="K5096" s="21"/>
      <c r="T5096" s="28"/>
      <c r="AS5096" s="24"/>
      <c r="AT5096" s="24"/>
      <c r="AU5096" s="24"/>
      <c r="AV5096" s="24"/>
      <c r="AX5096" s="29"/>
    </row>
    <row r="5097" spans="2:50">
      <c r="B5097" s="19"/>
      <c r="K5097" s="21"/>
      <c r="T5097" s="28"/>
      <c r="AS5097" s="24"/>
      <c r="AT5097" s="24"/>
      <c r="AU5097" s="24"/>
      <c r="AV5097" s="24"/>
      <c r="AX5097" s="29"/>
    </row>
    <row r="5098" spans="2:50">
      <c r="B5098" s="19"/>
      <c r="K5098" s="21"/>
      <c r="T5098" s="28"/>
      <c r="AS5098" s="24"/>
      <c r="AT5098" s="24"/>
      <c r="AU5098" s="24"/>
      <c r="AV5098" s="24"/>
      <c r="AX5098" s="29"/>
    </row>
    <row r="5099" spans="2:50">
      <c r="B5099" s="19"/>
      <c r="K5099" s="21"/>
      <c r="T5099" s="28"/>
      <c r="AS5099" s="24"/>
      <c r="AT5099" s="24"/>
      <c r="AU5099" s="24"/>
      <c r="AV5099" s="24"/>
      <c r="AX5099" s="29"/>
    </row>
    <row r="5100" spans="2:50">
      <c r="B5100" s="19"/>
      <c r="K5100" s="21"/>
      <c r="T5100" s="28"/>
      <c r="AS5100" s="24"/>
      <c r="AT5100" s="24"/>
      <c r="AU5100" s="24"/>
      <c r="AV5100" s="24"/>
      <c r="AX5100" s="29"/>
    </row>
    <row r="5101" spans="2:50">
      <c r="B5101" s="19"/>
      <c r="K5101" s="21"/>
      <c r="T5101" s="28"/>
      <c r="AS5101" s="24"/>
      <c r="AT5101" s="24"/>
      <c r="AU5101" s="24"/>
      <c r="AV5101" s="24"/>
      <c r="AX5101" s="29"/>
    </row>
    <row r="5102" spans="2:50">
      <c r="B5102" s="19"/>
      <c r="K5102" s="21"/>
      <c r="T5102" s="28"/>
      <c r="AS5102" s="24"/>
      <c r="AT5102" s="24"/>
      <c r="AU5102" s="24"/>
      <c r="AV5102" s="24"/>
      <c r="AX5102" s="29"/>
    </row>
    <row r="5103" spans="2:50">
      <c r="B5103" s="19"/>
      <c r="K5103" s="21"/>
      <c r="T5103" s="28"/>
      <c r="AS5103" s="24"/>
      <c r="AT5103" s="24"/>
      <c r="AU5103" s="24"/>
      <c r="AV5103" s="24"/>
      <c r="AX5103" s="29"/>
    </row>
    <row r="5104" spans="2:50">
      <c r="B5104" s="19"/>
      <c r="K5104" s="21"/>
      <c r="T5104" s="28"/>
      <c r="AS5104" s="24"/>
      <c r="AT5104" s="24"/>
      <c r="AU5104" s="24"/>
      <c r="AV5104" s="24"/>
      <c r="AX5104" s="29"/>
    </row>
    <row r="5105" spans="2:50">
      <c r="B5105" s="19"/>
      <c r="K5105" s="21"/>
      <c r="T5105" s="28"/>
      <c r="AS5105" s="24"/>
      <c r="AT5105" s="24"/>
      <c r="AU5105" s="24"/>
      <c r="AV5105" s="24"/>
      <c r="AX5105" s="29"/>
    </row>
    <row r="5106" spans="2:50">
      <c r="B5106" s="19"/>
      <c r="K5106" s="21"/>
      <c r="T5106" s="28"/>
      <c r="AS5106" s="24"/>
      <c r="AT5106" s="24"/>
      <c r="AU5106" s="24"/>
      <c r="AV5106" s="24"/>
      <c r="AX5106" s="29"/>
    </row>
    <row r="5107" spans="2:50">
      <c r="B5107" s="19"/>
      <c r="K5107" s="21"/>
      <c r="T5107" s="28"/>
      <c r="AS5107" s="24"/>
      <c r="AT5107" s="24"/>
      <c r="AU5107" s="24"/>
      <c r="AV5107" s="24"/>
      <c r="AX5107" s="29"/>
    </row>
    <row r="5108" spans="2:50">
      <c r="B5108" s="19"/>
      <c r="K5108" s="21"/>
      <c r="T5108" s="28"/>
      <c r="AS5108" s="24"/>
      <c r="AT5108" s="24"/>
      <c r="AU5108" s="24"/>
      <c r="AV5108" s="24"/>
      <c r="AX5108" s="29"/>
    </row>
    <row r="5109" spans="2:50">
      <c r="B5109" s="19"/>
      <c r="K5109" s="21"/>
      <c r="T5109" s="28"/>
      <c r="AS5109" s="24"/>
      <c r="AT5109" s="24"/>
      <c r="AU5109" s="24"/>
      <c r="AV5109" s="24"/>
      <c r="AX5109" s="29"/>
    </row>
    <row r="5110" spans="2:50">
      <c r="B5110" s="19"/>
      <c r="K5110" s="21"/>
      <c r="T5110" s="28"/>
      <c r="AS5110" s="24"/>
      <c r="AT5110" s="24"/>
      <c r="AU5110" s="24"/>
      <c r="AV5110" s="24"/>
      <c r="AX5110" s="29"/>
    </row>
    <row r="5111" spans="2:50">
      <c r="B5111" s="19"/>
      <c r="K5111" s="21"/>
      <c r="T5111" s="28"/>
      <c r="AS5111" s="24"/>
      <c r="AT5111" s="24"/>
      <c r="AU5111" s="24"/>
      <c r="AV5111" s="24"/>
      <c r="AX5111" s="29"/>
    </row>
    <row r="5112" spans="2:50">
      <c r="B5112" s="19"/>
      <c r="K5112" s="21"/>
      <c r="T5112" s="28"/>
      <c r="AS5112" s="24"/>
      <c r="AT5112" s="24"/>
      <c r="AU5112" s="24"/>
      <c r="AV5112" s="24"/>
      <c r="AX5112" s="29"/>
    </row>
    <row r="5113" spans="2:50">
      <c r="B5113" s="19"/>
      <c r="K5113" s="21"/>
      <c r="T5113" s="28"/>
      <c r="AS5113" s="24"/>
      <c r="AT5113" s="24"/>
      <c r="AU5113" s="24"/>
      <c r="AV5113" s="24"/>
      <c r="AX5113" s="29"/>
    </row>
    <row r="5114" spans="2:50">
      <c r="B5114" s="19"/>
      <c r="K5114" s="21"/>
      <c r="T5114" s="28"/>
      <c r="AS5114" s="24"/>
      <c r="AT5114" s="24"/>
      <c r="AU5114" s="24"/>
      <c r="AV5114" s="24"/>
      <c r="AX5114" s="29"/>
    </row>
    <row r="5115" spans="2:50">
      <c r="B5115" s="19"/>
      <c r="K5115" s="21"/>
      <c r="T5115" s="28"/>
      <c r="AS5115" s="24"/>
      <c r="AT5115" s="24"/>
      <c r="AU5115" s="24"/>
      <c r="AV5115" s="24"/>
      <c r="AX5115" s="29"/>
    </row>
    <row r="5116" spans="2:50">
      <c r="B5116" s="19"/>
      <c r="K5116" s="21"/>
      <c r="T5116" s="28"/>
      <c r="AS5116" s="24"/>
      <c r="AT5116" s="24"/>
      <c r="AU5116" s="24"/>
      <c r="AV5116" s="24"/>
      <c r="AX5116" s="29"/>
    </row>
    <row r="5117" spans="2:50">
      <c r="B5117" s="19"/>
      <c r="K5117" s="21"/>
      <c r="T5117" s="28"/>
      <c r="AS5117" s="24"/>
      <c r="AT5117" s="24"/>
      <c r="AU5117" s="24"/>
      <c r="AV5117" s="24"/>
      <c r="AX5117" s="29"/>
    </row>
    <row r="5118" spans="2:50">
      <c r="B5118" s="19"/>
      <c r="K5118" s="21"/>
      <c r="T5118" s="28"/>
      <c r="AS5118" s="24"/>
      <c r="AT5118" s="24"/>
      <c r="AU5118" s="24"/>
      <c r="AV5118" s="24"/>
      <c r="AX5118" s="29"/>
    </row>
    <row r="5119" spans="2:50">
      <c r="B5119" s="19"/>
      <c r="K5119" s="21"/>
      <c r="T5119" s="28"/>
      <c r="AS5119" s="24"/>
      <c r="AT5119" s="24"/>
      <c r="AU5119" s="24"/>
      <c r="AV5119" s="24"/>
      <c r="AX5119" s="29"/>
    </row>
    <row r="5120" spans="2:50">
      <c r="B5120" s="19"/>
      <c r="K5120" s="21"/>
      <c r="T5120" s="28"/>
      <c r="AS5120" s="24"/>
      <c r="AT5120" s="24"/>
      <c r="AU5120" s="24"/>
      <c r="AV5120" s="24"/>
      <c r="AX5120" s="29"/>
    </row>
    <row r="5121" spans="2:50">
      <c r="B5121" s="19"/>
      <c r="K5121" s="21"/>
      <c r="T5121" s="28"/>
      <c r="AS5121" s="24"/>
      <c r="AT5121" s="24"/>
      <c r="AU5121" s="24"/>
      <c r="AV5121" s="24"/>
      <c r="AX5121" s="29"/>
    </row>
    <row r="5122" spans="2:50">
      <c r="B5122" s="19"/>
      <c r="K5122" s="21"/>
      <c r="T5122" s="28"/>
      <c r="AS5122" s="24"/>
      <c r="AT5122" s="24"/>
      <c r="AU5122" s="24"/>
      <c r="AV5122" s="24"/>
      <c r="AX5122" s="29"/>
    </row>
    <row r="5123" spans="2:50">
      <c r="B5123" s="19"/>
      <c r="K5123" s="21"/>
      <c r="T5123" s="28"/>
      <c r="AS5123" s="24"/>
      <c r="AT5123" s="24"/>
      <c r="AU5123" s="24"/>
      <c r="AV5123" s="24"/>
      <c r="AX5123" s="29"/>
    </row>
    <row r="5124" spans="2:50">
      <c r="B5124" s="19"/>
      <c r="K5124" s="21"/>
      <c r="T5124" s="28"/>
      <c r="AS5124" s="24"/>
      <c r="AT5124" s="24"/>
      <c r="AU5124" s="24"/>
      <c r="AV5124" s="24"/>
      <c r="AX5124" s="29"/>
    </row>
    <row r="5125" spans="2:50">
      <c r="B5125" s="19"/>
      <c r="K5125" s="21"/>
      <c r="T5125" s="28"/>
      <c r="AS5125" s="24"/>
      <c r="AT5125" s="24"/>
      <c r="AU5125" s="24"/>
      <c r="AV5125" s="24"/>
      <c r="AX5125" s="29"/>
    </row>
    <row r="5126" spans="2:50">
      <c r="B5126" s="19"/>
      <c r="K5126" s="21"/>
      <c r="T5126" s="28"/>
      <c r="AS5126" s="24"/>
      <c r="AT5126" s="24"/>
      <c r="AU5126" s="24"/>
      <c r="AV5126" s="24"/>
      <c r="AX5126" s="29"/>
    </row>
    <row r="5127" spans="2:50">
      <c r="B5127" s="19"/>
      <c r="K5127" s="21"/>
      <c r="T5127" s="28"/>
      <c r="AS5127" s="24"/>
      <c r="AT5127" s="24"/>
      <c r="AU5127" s="24"/>
      <c r="AV5127" s="24"/>
      <c r="AX5127" s="29"/>
    </row>
    <row r="5128" spans="2:50">
      <c r="B5128" s="19"/>
      <c r="K5128" s="21"/>
      <c r="T5128" s="28"/>
      <c r="AS5128" s="24"/>
      <c r="AT5128" s="24"/>
      <c r="AU5128" s="24"/>
      <c r="AV5128" s="24"/>
      <c r="AX5128" s="29"/>
    </row>
    <row r="5129" spans="2:50">
      <c r="B5129" s="19"/>
      <c r="K5129" s="21"/>
      <c r="T5129" s="28"/>
      <c r="AS5129" s="24"/>
      <c r="AT5129" s="24"/>
      <c r="AU5129" s="24"/>
      <c r="AV5129" s="24"/>
      <c r="AX5129" s="29"/>
    </row>
    <row r="5130" spans="2:50">
      <c r="B5130" s="19"/>
      <c r="K5130" s="21"/>
      <c r="T5130" s="28"/>
      <c r="AS5130" s="24"/>
      <c r="AT5130" s="24"/>
      <c r="AU5130" s="24"/>
      <c r="AV5130" s="24"/>
      <c r="AX5130" s="29"/>
    </row>
    <row r="5131" spans="2:50">
      <c r="B5131" s="19"/>
      <c r="K5131" s="21"/>
      <c r="T5131" s="28"/>
      <c r="AS5131" s="24"/>
      <c r="AT5131" s="24"/>
      <c r="AU5131" s="24"/>
      <c r="AV5131" s="24"/>
      <c r="AX5131" s="29"/>
    </row>
    <row r="5132" spans="2:50">
      <c r="B5132" s="19"/>
      <c r="K5132" s="21"/>
      <c r="T5132" s="28"/>
      <c r="AS5132" s="24"/>
      <c r="AT5132" s="24"/>
      <c r="AU5132" s="24"/>
      <c r="AV5132" s="24"/>
      <c r="AX5132" s="29"/>
    </row>
    <row r="5133" spans="2:50">
      <c r="B5133" s="19"/>
      <c r="K5133" s="21"/>
      <c r="T5133" s="28"/>
      <c r="AS5133" s="24"/>
      <c r="AT5133" s="24"/>
      <c r="AU5133" s="24"/>
      <c r="AV5133" s="24"/>
      <c r="AX5133" s="29"/>
    </row>
    <row r="5134" spans="2:50">
      <c r="B5134" s="19"/>
      <c r="K5134" s="21"/>
      <c r="T5134" s="28"/>
      <c r="AS5134" s="24"/>
      <c r="AT5134" s="24"/>
      <c r="AU5134" s="24"/>
      <c r="AV5134" s="24"/>
      <c r="AX5134" s="29"/>
    </row>
    <row r="5135" spans="2:50">
      <c r="B5135" s="19"/>
      <c r="K5135" s="21"/>
      <c r="T5135" s="28"/>
      <c r="AS5135" s="24"/>
      <c r="AT5135" s="24"/>
      <c r="AU5135" s="24"/>
      <c r="AV5135" s="24"/>
      <c r="AX5135" s="29"/>
    </row>
    <row r="5136" spans="2:50">
      <c r="B5136" s="19"/>
      <c r="K5136" s="21"/>
      <c r="T5136" s="28"/>
      <c r="AS5136" s="24"/>
      <c r="AT5136" s="24"/>
      <c r="AU5136" s="24"/>
      <c r="AV5136" s="24"/>
      <c r="AX5136" s="29"/>
    </row>
    <row r="5137" spans="2:50">
      <c r="B5137" s="19"/>
      <c r="K5137" s="21"/>
      <c r="T5137" s="28"/>
      <c r="AS5137" s="24"/>
      <c r="AT5137" s="24"/>
      <c r="AU5137" s="24"/>
      <c r="AV5137" s="24"/>
      <c r="AX5137" s="29"/>
    </row>
    <row r="5138" spans="2:50">
      <c r="B5138" s="19"/>
      <c r="K5138" s="21"/>
      <c r="T5138" s="28"/>
      <c r="AS5138" s="24"/>
      <c r="AT5138" s="24"/>
      <c r="AU5138" s="24"/>
      <c r="AV5138" s="24"/>
      <c r="AX5138" s="29"/>
    </row>
    <row r="5139" spans="2:50">
      <c r="B5139" s="19"/>
      <c r="K5139" s="21"/>
      <c r="T5139" s="28"/>
      <c r="AS5139" s="24"/>
      <c r="AT5139" s="24"/>
      <c r="AU5139" s="24"/>
      <c r="AV5139" s="24"/>
      <c r="AX5139" s="29"/>
    </row>
    <row r="5140" spans="2:50">
      <c r="B5140" s="19"/>
      <c r="K5140" s="21"/>
      <c r="T5140" s="28"/>
      <c r="AS5140" s="24"/>
      <c r="AT5140" s="24"/>
      <c r="AU5140" s="24"/>
      <c r="AV5140" s="24"/>
      <c r="AX5140" s="29"/>
    </row>
    <row r="5141" spans="2:50">
      <c r="B5141" s="19"/>
      <c r="K5141" s="21"/>
      <c r="T5141" s="28"/>
      <c r="AS5141" s="24"/>
      <c r="AT5141" s="24"/>
      <c r="AU5141" s="24"/>
      <c r="AV5141" s="24"/>
      <c r="AX5141" s="29"/>
    </row>
    <row r="5142" spans="2:50">
      <c r="B5142" s="19"/>
      <c r="K5142" s="21"/>
      <c r="T5142" s="28"/>
      <c r="AS5142" s="24"/>
      <c r="AT5142" s="24"/>
      <c r="AU5142" s="24"/>
      <c r="AV5142" s="24"/>
      <c r="AX5142" s="29"/>
    </row>
    <row r="5143" spans="2:50">
      <c r="B5143" s="19"/>
      <c r="K5143" s="21"/>
      <c r="T5143" s="28"/>
      <c r="AS5143" s="24"/>
      <c r="AT5143" s="24"/>
      <c r="AU5143" s="24"/>
      <c r="AV5143" s="24"/>
      <c r="AX5143" s="29"/>
    </row>
    <row r="5144" spans="2:50">
      <c r="B5144" s="19"/>
      <c r="K5144" s="21"/>
      <c r="T5144" s="28"/>
      <c r="AS5144" s="24"/>
      <c r="AT5144" s="24"/>
      <c r="AU5144" s="24"/>
      <c r="AV5144" s="24"/>
      <c r="AX5144" s="29"/>
    </row>
    <row r="5145" spans="2:50">
      <c r="B5145" s="19"/>
      <c r="K5145" s="21"/>
      <c r="T5145" s="28"/>
      <c r="AS5145" s="24"/>
      <c r="AT5145" s="24"/>
      <c r="AU5145" s="24"/>
      <c r="AV5145" s="24"/>
      <c r="AX5145" s="29"/>
    </row>
    <row r="5146" spans="2:50">
      <c r="B5146" s="19"/>
      <c r="K5146" s="21"/>
      <c r="T5146" s="28"/>
      <c r="AS5146" s="24"/>
      <c r="AT5146" s="24"/>
      <c r="AU5146" s="24"/>
      <c r="AV5146" s="24"/>
      <c r="AX5146" s="29"/>
    </row>
    <row r="5147" spans="2:50">
      <c r="B5147" s="19"/>
      <c r="K5147" s="21"/>
      <c r="T5147" s="28"/>
      <c r="AS5147" s="24"/>
      <c r="AT5147" s="24"/>
      <c r="AU5147" s="24"/>
      <c r="AV5147" s="24"/>
      <c r="AX5147" s="29"/>
    </row>
    <row r="5148" spans="2:50">
      <c r="B5148" s="19"/>
      <c r="K5148" s="21"/>
      <c r="T5148" s="28"/>
      <c r="AS5148" s="24"/>
      <c r="AT5148" s="24"/>
      <c r="AU5148" s="24"/>
      <c r="AV5148" s="24"/>
      <c r="AX5148" s="29"/>
    </row>
    <row r="5149" spans="2:50">
      <c r="B5149" s="19"/>
      <c r="K5149" s="21"/>
      <c r="T5149" s="28"/>
      <c r="AS5149" s="24"/>
      <c r="AT5149" s="24"/>
      <c r="AU5149" s="24"/>
      <c r="AV5149" s="24"/>
      <c r="AX5149" s="29"/>
    </row>
    <row r="5150" spans="2:50">
      <c r="B5150" s="19"/>
      <c r="K5150" s="21"/>
      <c r="T5150" s="28"/>
      <c r="AS5150" s="24"/>
      <c r="AT5150" s="24"/>
      <c r="AU5150" s="24"/>
      <c r="AV5150" s="24"/>
      <c r="AX5150" s="29"/>
    </row>
    <row r="5151" spans="2:50">
      <c r="B5151" s="19"/>
      <c r="K5151" s="21"/>
      <c r="T5151" s="28"/>
      <c r="AS5151" s="24"/>
      <c r="AT5151" s="24"/>
      <c r="AU5151" s="24"/>
      <c r="AV5151" s="24"/>
      <c r="AX5151" s="29"/>
    </row>
    <row r="5152" spans="2:50">
      <c r="B5152" s="19"/>
      <c r="K5152" s="21"/>
      <c r="T5152" s="28"/>
      <c r="AS5152" s="24"/>
      <c r="AT5152" s="24"/>
      <c r="AU5152" s="24"/>
      <c r="AV5152" s="24"/>
      <c r="AX5152" s="29"/>
    </row>
    <row r="5153" spans="2:50">
      <c r="B5153" s="19"/>
      <c r="K5153" s="21"/>
      <c r="T5153" s="28"/>
      <c r="AS5153" s="24"/>
      <c r="AT5153" s="24"/>
      <c r="AU5153" s="24"/>
      <c r="AV5153" s="24"/>
      <c r="AX5153" s="29"/>
    </row>
    <row r="5154" spans="2:50">
      <c r="B5154" s="19"/>
      <c r="K5154" s="21"/>
      <c r="T5154" s="28"/>
      <c r="AS5154" s="24"/>
      <c r="AT5154" s="24"/>
      <c r="AU5154" s="24"/>
      <c r="AV5154" s="24"/>
      <c r="AX5154" s="29"/>
    </row>
    <row r="5155" spans="2:50">
      <c r="B5155" s="19"/>
      <c r="K5155" s="21"/>
      <c r="T5155" s="28"/>
      <c r="AS5155" s="24"/>
      <c r="AT5155" s="24"/>
      <c r="AU5155" s="24"/>
      <c r="AV5155" s="24"/>
      <c r="AX5155" s="29"/>
    </row>
    <row r="5156" spans="2:50">
      <c r="B5156" s="19"/>
      <c r="K5156" s="21"/>
      <c r="T5156" s="28"/>
      <c r="AS5156" s="24"/>
      <c r="AT5156" s="24"/>
      <c r="AU5156" s="24"/>
      <c r="AV5156" s="24"/>
      <c r="AX5156" s="29"/>
    </row>
    <row r="5157" spans="2:50">
      <c r="B5157" s="19"/>
      <c r="K5157" s="21"/>
      <c r="T5157" s="28"/>
      <c r="AS5157" s="24"/>
      <c r="AT5157" s="24"/>
      <c r="AU5157" s="24"/>
      <c r="AV5157" s="24"/>
      <c r="AX5157" s="29"/>
    </row>
    <row r="5158" spans="2:50">
      <c r="B5158" s="19"/>
      <c r="K5158" s="21"/>
      <c r="T5158" s="28"/>
      <c r="AS5158" s="24"/>
      <c r="AT5158" s="24"/>
      <c r="AU5158" s="24"/>
      <c r="AV5158" s="24"/>
      <c r="AX5158" s="29"/>
    </row>
    <row r="5159" spans="2:50">
      <c r="B5159" s="19"/>
      <c r="K5159" s="21"/>
      <c r="T5159" s="28"/>
      <c r="AS5159" s="24"/>
      <c r="AT5159" s="24"/>
      <c r="AU5159" s="24"/>
      <c r="AV5159" s="24"/>
      <c r="AX5159" s="29"/>
    </row>
    <row r="5160" spans="2:50">
      <c r="B5160" s="19"/>
      <c r="K5160" s="21"/>
      <c r="T5160" s="28"/>
      <c r="AS5160" s="24"/>
      <c r="AT5160" s="24"/>
      <c r="AU5160" s="24"/>
      <c r="AV5160" s="24"/>
      <c r="AX5160" s="29"/>
    </row>
    <row r="5161" spans="2:50">
      <c r="B5161" s="19"/>
      <c r="K5161" s="21"/>
      <c r="T5161" s="28"/>
      <c r="AS5161" s="24"/>
      <c r="AT5161" s="24"/>
      <c r="AU5161" s="24"/>
      <c r="AV5161" s="24"/>
      <c r="AX5161" s="29"/>
    </row>
    <row r="5162" spans="2:50">
      <c r="B5162" s="19"/>
      <c r="K5162" s="21"/>
      <c r="T5162" s="28"/>
      <c r="AS5162" s="24"/>
      <c r="AT5162" s="24"/>
      <c r="AU5162" s="24"/>
      <c r="AV5162" s="24"/>
      <c r="AX5162" s="29"/>
    </row>
    <row r="5163" spans="2:50">
      <c r="B5163" s="19"/>
      <c r="K5163" s="21"/>
      <c r="T5163" s="28"/>
      <c r="AS5163" s="24"/>
      <c r="AT5163" s="24"/>
      <c r="AU5163" s="24"/>
      <c r="AV5163" s="24"/>
      <c r="AX5163" s="29"/>
    </row>
    <row r="5164" spans="2:50">
      <c r="B5164" s="19"/>
      <c r="K5164" s="21"/>
      <c r="T5164" s="28"/>
      <c r="AS5164" s="24"/>
      <c r="AT5164" s="24"/>
      <c r="AU5164" s="24"/>
      <c r="AV5164" s="24"/>
      <c r="AX5164" s="29"/>
    </row>
    <row r="5165" spans="2:50">
      <c r="B5165" s="19"/>
      <c r="K5165" s="21"/>
      <c r="T5165" s="28"/>
      <c r="AS5165" s="24"/>
      <c r="AT5165" s="24"/>
      <c r="AU5165" s="24"/>
      <c r="AV5165" s="24"/>
      <c r="AX5165" s="29"/>
    </row>
    <row r="5166" spans="2:50">
      <c r="B5166" s="19"/>
      <c r="K5166" s="21"/>
      <c r="T5166" s="28"/>
      <c r="AS5166" s="24"/>
      <c r="AT5166" s="24"/>
      <c r="AU5166" s="24"/>
      <c r="AV5166" s="24"/>
      <c r="AX5166" s="29"/>
    </row>
    <row r="5167" spans="2:50">
      <c r="B5167" s="19"/>
      <c r="K5167" s="21"/>
      <c r="T5167" s="28"/>
      <c r="AS5167" s="24"/>
      <c r="AT5167" s="24"/>
      <c r="AU5167" s="24"/>
      <c r="AV5167" s="24"/>
      <c r="AX5167" s="29"/>
    </row>
    <row r="5168" spans="2:50">
      <c r="B5168" s="19"/>
      <c r="K5168" s="21"/>
      <c r="T5168" s="28"/>
      <c r="AS5168" s="24"/>
      <c r="AT5168" s="24"/>
      <c r="AU5168" s="24"/>
      <c r="AV5168" s="24"/>
      <c r="AX5168" s="29"/>
    </row>
    <row r="5169" spans="2:50">
      <c r="B5169" s="19"/>
      <c r="K5169" s="21"/>
      <c r="T5169" s="28"/>
      <c r="AS5169" s="24"/>
      <c r="AT5169" s="24"/>
      <c r="AU5169" s="24"/>
      <c r="AV5169" s="24"/>
      <c r="AX5169" s="29"/>
    </row>
    <row r="5170" spans="2:50">
      <c r="B5170" s="19"/>
      <c r="K5170" s="21"/>
      <c r="T5170" s="28"/>
      <c r="AS5170" s="24"/>
      <c r="AT5170" s="24"/>
      <c r="AU5170" s="24"/>
      <c r="AV5170" s="24"/>
      <c r="AX5170" s="29"/>
    </row>
    <row r="5171" spans="2:50">
      <c r="B5171" s="19"/>
      <c r="K5171" s="21"/>
      <c r="T5171" s="28"/>
      <c r="AS5171" s="24"/>
      <c r="AT5171" s="24"/>
      <c r="AU5171" s="24"/>
      <c r="AV5171" s="24"/>
      <c r="AX5171" s="29"/>
    </row>
    <row r="5172" spans="2:50">
      <c r="B5172" s="19"/>
      <c r="K5172" s="21"/>
      <c r="T5172" s="28"/>
      <c r="AS5172" s="24"/>
      <c r="AT5172" s="24"/>
      <c r="AU5172" s="24"/>
      <c r="AV5172" s="24"/>
      <c r="AX5172" s="29"/>
    </row>
    <row r="5173" spans="2:50">
      <c r="B5173" s="19"/>
      <c r="K5173" s="21"/>
      <c r="T5173" s="28"/>
      <c r="AS5173" s="24"/>
      <c r="AT5173" s="24"/>
      <c r="AU5173" s="24"/>
      <c r="AV5173" s="24"/>
      <c r="AX5173" s="29"/>
    </row>
    <row r="5174" spans="2:50">
      <c r="B5174" s="19"/>
      <c r="K5174" s="21"/>
      <c r="T5174" s="28"/>
      <c r="AS5174" s="24"/>
      <c r="AT5174" s="24"/>
      <c r="AU5174" s="24"/>
      <c r="AV5174" s="24"/>
      <c r="AX5174" s="29"/>
    </row>
    <row r="5175" spans="2:50">
      <c r="B5175" s="19"/>
      <c r="K5175" s="21"/>
      <c r="T5175" s="28"/>
      <c r="AS5175" s="24"/>
      <c r="AT5175" s="24"/>
      <c r="AU5175" s="24"/>
      <c r="AV5175" s="24"/>
      <c r="AX5175" s="29"/>
    </row>
    <row r="5176" spans="2:50">
      <c r="B5176" s="19"/>
      <c r="K5176" s="21"/>
      <c r="T5176" s="28"/>
      <c r="AS5176" s="24"/>
      <c r="AT5176" s="24"/>
      <c r="AU5176" s="24"/>
      <c r="AV5176" s="24"/>
      <c r="AX5176" s="29"/>
    </row>
    <row r="5177" spans="2:50">
      <c r="B5177" s="19"/>
      <c r="K5177" s="21"/>
      <c r="T5177" s="28"/>
      <c r="AS5177" s="24"/>
      <c r="AT5177" s="24"/>
      <c r="AU5177" s="24"/>
      <c r="AV5177" s="24"/>
      <c r="AX5177" s="29"/>
    </row>
    <row r="5178" spans="2:50">
      <c r="B5178" s="19"/>
      <c r="K5178" s="21"/>
      <c r="T5178" s="28"/>
      <c r="AS5178" s="24"/>
      <c r="AT5178" s="24"/>
      <c r="AU5178" s="24"/>
      <c r="AV5178" s="24"/>
      <c r="AX5178" s="29"/>
    </row>
    <row r="5179" spans="2:50">
      <c r="B5179" s="19"/>
      <c r="K5179" s="21"/>
      <c r="T5179" s="28"/>
      <c r="AS5179" s="24"/>
      <c r="AT5179" s="24"/>
      <c r="AU5179" s="24"/>
      <c r="AV5179" s="24"/>
      <c r="AX5179" s="29"/>
    </row>
    <row r="5180" spans="2:50">
      <c r="B5180" s="19"/>
      <c r="K5180" s="21"/>
      <c r="T5180" s="28"/>
      <c r="AS5180" s="24"/>
      <c r="AT5180" s="24"/>
      <c r="AU5180" s="24"/>
      <c r="AV5180" s="24"/>
      <c r="AX5180" s="29"/>
    </row>
    <row r="5181" spans="2:50">
      <c r="B5181" s="19"/>
      <c r="K5181" s="21"/>
      <c r="T5181" s="28"/>
      <c r="AS5181" s="24"/>
      <c r="AT5181" s="24"/>
      <c r="AU5181" s="24"/>
      <c r="AV5181" s="24"/>
      <c r="AX5181" s="29"/>
    </row>
    <row r="5182" spans="2:50">
      <c r="B5182" s="19"/>
      <c r="K5182" s="21"/>
      <c r="T5182" s="28"/>
      <c r="AS5182" s="24"/>
      <c r="AT5182" s="24"/>
      <c r="AU5182" s="24"/>
      <c r="AV5182" s="24"/>
      <c r="AX5182" s="29"/>
    </row>
    <row r="5183" spans="2:50">
      <c r="B5183" s="19"/>
      <c r="K5183" s="21"/>
      <c r="T5183" s="28"/>
      <c r="AS5183" s="24"/>
      <c r="AT5183" s="24"/>
      <c r="AU5183" s="24"/>
      <c r="AV5183" s="24"/>
      <c r="AX5183" s="29"/>
    </row>
    <row r="5184" spans="2:50">
      <c r="B5184" s="19"/>
      <c r="K5184" s="21"/>
      <c r="T5184" s="28"/>
      <c r="AS5184" s="24"/>
      <c r="AT5184" s="24"/>
      <c r="AU5184" s="24"/>
      <c r="AV5184" s="24"/>
      <c r="AX5184" s="29"/>
    </row>
    <row r="5185" spans="2:50">
      <c r="B5185" s="19"/>
      <c r="K5185" s="21"/>
      <c r="T5185" s="28"/>
      <c r="AS5185" s="24"/>
      <c r="AT5185" s="24"/>
      <c r="AU5185" s="24"/>
      <c r="AV5185" s="24"/>
      <c r="AX5185" s="29"/>
    </row>
    <row r="5186" spans="2:50">
      <c r="B5186" s="19"/>
      <c r="K5186" s="21"/>
      <c r="T5186" s="28"/>
      <c r="AS5186" s="24"/>
      <c r="AT5186" s="24"/>
      <c r="AU5186" s="24"/>
      <c r="AV5186" s="24"/>
      <c r="AX5186" s="29"/>
    </row>
    <row r="5187" spans="2:50">
      <c r="B5187" s="19"/>
      <c r="K5187" s="21"/>
      <c r="T5187" s="28"/>
      <c r="AS5187" s="24"/>
      <c r="AT5187" s="24"/>
      <c r="AU5187" s="24"/>
      <c r="AV5187" s="24"/>
      <c r="AX5187" s="29"/>
    </row>
    <row r="5188" spans="2:50">
      <c r="B5188" s="19"/>
      <c r="K5188" s="21"/>
      <c r="T5188" s="28"/>
      <c r="AS5188" s="24"/>
      <c r="AT5188" s="24"/>
      <c r="AU5188" s="24"/>
      <c r="AV5188" s="24"/>
      <c r="AX5188" s="29"/>
    </row>
    <row r="5189" spans="2:50">
      <c r="B5189" s="19"/>
      <c r="K5189" s="21"/>
      <c r="T5189" s="28"/>
      <c r="AS5189" s="24"/>
      <c r="AT5189" s="24"/>
      <c r="AU5189" s="24"/>
      <c r="AV5189" s="24"/>
      <c r="AX5189" s="29"/>
    </row>
    <row r="5190" spans="2:50">
      <c r="B5190" s="19"/>
      <c r="K5190" s="21"/>
      <c r="T5190" s="28"/>
      <c r="AS5190" s="24"/>
      <c r="AT5190" s="24"/>
      <c r="AU5190" s="24"/>
      <c r="AV5190" s="24"/>
      <c r="AX5190" s="29"/>
    </row>
    <row r="5191" spans="2:50">
      <c r="B5191" s="19"/>
      <c r="K5191" s="21"/>
      <c r="T5191" s="28"/>
      <c r="AS5191" s="24"/>
      <c r="AT5191" s="24"/>
      <c r="AU5191" s="24"/>
      <c r="AV5191" s="24"/>
      <c r="AX5191" s="29"/>
    </row>
    <row r="5192" spans="2:50">
      <c r="B5192" s="19"/>
      <c r="K5192" s="21"/>
      <c r="T5192" s="28"/>
      <c r="AS5192" s="24"/>
      <c r="AT5192" s="24"/>
      <c r="AU5192" s="24"/>
      <c r="AV5192" s="24"/>
      <c r="AX5192" s="29"/>
    </row>
    <row r="5193" spans="2:50">
      <c r="B5193" s="19"/>
      <c r="K5193" s="21"/>
      <c r="T5193" s="28"/>
      <c r="AS5193" s="24"/>
      <c r="AT5193" s="24"/>
      <c r="AU5193" s="24"/>
      <c r="AV5193" s="24"/>
      <c r="AX5193" s="29"/>
    </row>
    <row r="5194" spans="2:50">
      <c r="B5194" s="19"/>
      <c r="K5194" s="21"/>
      <c r="T5194" s="28"/>
      <c r="AS5194" s="24"/>
      <c r="AT5194" s="24"/>
      <c r="AU5194" s="24"/>
      <c r="AV5194" s="24"/>
      <c r="AX5194" s="29"/>
    </row>
    <row r="5195" spans="2:50">
      <c r="B5195" s="19"/>
      <c r="K5195" s="21"/>
      <c r="T5195" s="28"/>
      <c r="AS5195" s="24"/>
      <c r="AT5195" s="24"/>
      <c r="AU5195" s="24"/>
      <c r="AV5195" s="24"/>
      <c r="AX5195" s="29"/>
    </row>
    <row r="5196" spans="2:50">
      <c r="B5196" s="19"/>
      <c r="K5196" s="21"/>
      <c r="T5196" s="28"/>
      <c r="AS5196" s="24"/>
      <c r="AT5196" s="24"/>
      <c r="AU5196" s="24"/>
      <c r="AV5196" s="24"/>
      <c r="AX5196" s="29"/>
    </row>
    <row r="5197" spans="2:50">
      <c r="B5197" s="19"/>
      <c r="K5197" s="21"/>
      <c r="T5197" s="28"/>
      <c r="AS5197" s="24"/>
      <c r="AT5197" s="24"/>
      <c r="AU5197" s="24"/>
      <c r="AV5197" s="24"/>
      <c r="AX5197" s="29"/>
    </row>
    <row r="5198" spans="2:50">
      <c r="B5198" s="19"/>
      <c r="K5198" s="21"/>
      <c r="T5198" s="28"/>
      <c r="AS5198" s="24"/>
      <c r="AT5198" s="24"/>
      <c r="AU5198" s="24"/>
      <c r="AV5198" s="24"/>
      <c r="AX5198" s="29"/>
    </row>
    <row r="5199" spans="2:50">
      <c r="B5199" s="19"/>
      <c r="K5199" s="21"/>
      <c r="T5199" s="28"/>
      <c r="AS5199" s="24"/>
      <c r="AT5199" s="24"/>
      <c r="AU5199" s="24"/>
      <c r="AV5199" s="24"/>
      <c r="AX5199" s="29"/>
    </row>
    <row r="5200" spans="2:50">
      <c r="B5200" s="19"/>
      <c r="K5200" s="21"/>
      <c r="T5200" s="28"/>
      <c r="AS5200" s="24"/>
      <c r="AT5200" s="24"/>
      <c r="AU5200" s="24"/>
      <c r="AV5200" s="24"/>
      <c r="AX5200" s="29"/>
    </row>
    <row r="5201" spans="2:50">
      <c r="B5201" s="19"/>
      <c r="K5201" s="21"/>
      <c r="T5201" s="28"/>
      <c r="AS5201" s="24"/>
      <c r="AT5201" s="24"/>
      <c r="AU5201" s="24"/>
      <c r="AV5201" s="24"/>
      <c r="AX5201" s="29"/>
    </row>
    <row r="5202" spans="2:50">
      <c r="B5202" s="19"/>
      <c r="K5202" s="21"/>
      <c r="T5202" s="28"/>
      <c r="AS5202" s="24"/>
      <c r="AT5202" s="24"/>
      <c r="AU5202" s="24"/>
      <c r="AV5202" s="24"/>
      <c r="AX5202" s="29"/>
    </row>
    <row r="5203" spans="2:50">
      <c r="B5203" s="19"/>
      <c r="K5203" s="21"/>
      <c r="T5203" s="28"/>
      <c r="AS5203" s="24"/>
      <c r="AT5203" s="24"/>
      <c r="AU5203" s="24"/>
      <c r="AV5203" s="24"/>
      <c r="AX5203" s="29"/>
    </row>
    <row r="5204" spans="2:50">
      <c r="B5204" s="19"/>
      <c r="K5204" s="21"/>
      <c r="T5204" s="28"/>
      <c r="AS5204" s="24"/>
      <c r="AT5204" s="24"/>
      <c r="AU5204" s="24"/>
      <c r="AV5204" s="24"/>
      <c r="AX5204" s="29"/>
    </row>
    <row r="5205" spans="2:50">
      <c r="B5205" s="19"/>
      <c r="K5205" s="21"/>
      <c r="T5205" s="28"/>
      <c r="AS5205" s="24"/>
      <c r="AT5205" s="24"/>
      <c r="AU5205" s="24"/>
      <c r="AV5205" s="24"/>
      <c r="AX5205" s="29"/>
    </row>
    <row r="5206" spans="2:50">
      <c r="B5206" s="19"/>
      <c r="K5206" s="21"/>
      <c r="T5206" s="28"/>
      <c r="AS5206" s="24"/>
      <c r="AT5206" s="24"/>
      <c r="AU5206" s="24"/>
      <c r="AV5206" s="24"/>
      <c r="AX5206" s="29"/>
    </row>
    <row r="5207" spans="2:50">
      <c r="B5207" s="19"/>
      <c r="K5207" s="21"/>
      <c r="T5207" s="28"/>
      <c r="AS5207" s="24"/>
      <c r="AT5207" s="24"/>
      <c r="AU5207" s="24"/>
      <c r="AV5207" s="24"/>
      <c r="AX5207" s="29"/>
    </row>
    <row r="5208" spans="2:50">
      <c r="B5208" s="19"/>
      <c r="K5208" s="21"/>
      <c r="T5208" s="28"/>
      <c r="AS5208" s="24"/>
      <c r="AT5208" s="24"/>
      <c r="AU5208" s="24"/>
      <c r="AV5208" s="24"/>
      <c r="AX5208" s="29"/>
    </row>
    <row r="5209" spans="2:50">
      <c r="B5209" s="19"/>
      <c r="K5209" s="21"/>
      <c r="T5209" s="28"/>
      <c r="AS5209" s="24"/>
      <c r="AT5209" s="24"/>
      <c r="AU5209" s="24"/>
      <c r="AV5209" s="24"/>
      <c r="AX5209" s="29"/>
    </row>
    <row r="5210" spans="2:50">
      <c r="B5210" s="19"/>
      <c r="K5210" s="21"/>
      <c r="T5210" s="28"/>
      <c r="AS5210" s="24"/>
      <c r="AT5210" s="24"/>
      <c r="AU5210" s="24"/>
      <c r="AV5210" s="24"/>
      <c r="AX5210" s="29"/>
    </row>
    <row r="5211" spans="2:50">
      <c r="B5211" s="19"/>
      <c r="K5211" s="21"/>
      <c r="T5211" s="28"/>
      <c r="AS5211" s="24"/>
      <c r="AT5211" s="24"/>
      <c r="AU5211" s="24"/>
      <c r="AV5211" s="24"/>
      <c r="AX5211" s="29"/>
    </row>
    <row r="5212" spans="2:50">
      <c r="B5212" s="19"/>
      <c r="K5212" s="21"/>
      <c r="T5212" s="28"/>
      <c r="AS5212" s="24"/>
      <c r="AT5212" s="24"/>
      <c r="AU5212" s="24"/>
      <c r="AV5212" s="24"/>
      <c r="AX5212" s="29"/>
    </row>
    <row r="5213" spans="2:50">
      <c r="B5213" s="19"/>
      <c r="K5213" s="21"/>
      <c r="T5213" s="28"/>
      <c r="AS5213" s="24"/>
      <c r="AT5213" s="24"/>
      <c r="AU5213" s="24"/>
      <c r="AV5213" s="24"/>
      <c r="AX5213" s="29"/>
    </row>
    <row r="5214" spans="2:50">
      <c r="B5214" s="19"/>
      <c r="K5214" s="21"/>
      <c r="T5214" s="28"/>
      <c r="AS5214" s="24"/>
      <c r="AT5214" s="24"/>
      <c r="AU5214" s="24"/>
      <c r="AV5214" s="24"/>
      <c r="AX5214" s="29"/>
    </row>
    <row r="5215" spans="2:50">
      <c r="B5215" s="19"/>
      <c r="K5215" s="21"/>
      <c r="T5215" s="28"/>
      <c r="AS5215" s="24"/>
      <c r="AT5215" s="24"/>
      <c r="AU5215" s="24"/>
      <c r="AV5215" s="24"/>
      <c r="AX5215" s="29"/>
    </row>
    <row r="5216" spans="2:50">
      <c r="B5216" s="19"/>
      <c r="K5216" s="21"/>
      <c r="T5216" s="28"/>
      <c r="AS5216" s="24"/>
      <c r="AT5216" s="24"/>
      <c r="AU5216" s="24"/>
      <c r="AV5216" s="24"/>
      <c r="AX5216" s="29"/>
    </row>
    <row r="5217" spans="2:50">
      <c r="B5217" s="19"/>
      <c r="K5217" s="21"/>
      <c r="T5217" s="28"/>
      <c r="AS5217" s="24"/>
      <c r="AT5217" s="24"/>
      <c r="AU5217" s="24"/>
      <c r="AV5217" s="24"/>
      <c r="AX5217" s="29"/>
    </row>
    <row r="5218" spans="2:50">
      <c r="B5218" s="19"/>
      <c r="K5218" s="21"/>
      <c r="T5218" s="28"/>
      <c r="AS5218" s="24"/>
      <c r="AT5218" s="24"/>
      <c r="AU5218" s="24"/>
      <c r="AV5218" s="24"/>
      <c r="AX5218" s="29"/>
    </row>
    <row r="5219" spans="2:50">
      <c r="B5219" s="19"/>
      <c r="K5219" s="21"/>
      <c r="T5219" s="28"/>
      <c r="AS5219" s="24"/>
      <c r="AT5219" s="24"/>
      <c r="AU5219" s="24"/>
      <c r="AV5219" s="24"/>
      <c r="AX5219" s="29"/>
    </row>
    <row r="5220" spans="2:50">
      <c r="B5220" s="19"/>
      <c r="K5220" s="21"/>
      <c r="T5220" s="28"/>
      <c r="AS5220" s="24"/>
      <c r="AT5220" s="24"/>
      <c r="AU5220" s="24"/>
      <c r="AV5220" s="24"/>
      <c r="AX5220" s="29"/>
    </row>
    <row r="5221" spans="2:50">
      <c r="B5221" s="19"/>
      <c r="K5221" s="21"/>
      <c r="T5221" s="28"/>
      <c r="AS5221" s="24"/>
      <c r="AT5221" s="24"/>
      <c r="AU5221" s="24"/>
      <c r="AV5221" s="24"/>
      <c r="AX5221" s="29"/>
    </row>
    <row r="5222" spans="2:50">
      <c r="B5222" s="19"/>
      <c r="K5222" s="21"/>
      <c r="T5222" s="28"/>
      <c r="AS5222" s="24"/>
      <c r="AT5222" s="24"/>
      <c r="AU5222" s="24"/>
      <c r="AV5222" s="24"/>
      <c r="AX5222" s="29"/>
    </row>
    <row r="5223" spans="2:50">
      <c r="B5223" s="19"/>
      <c r="K5223" s="21"/>
      <c r="T5223" s="28"/>
      <c r="AS5223" s="24"/>
      <c r="AT5223" s="24"/>
      <c r="AU5223" s="24"/>
      <c r="AV5223" s="24"/>
      <c r="AX5223" s="29"/>
    </row>
    <row r="5224" spans="2:50">
      <c r="B5224" s="19"/>
      <c r="K5224" s="21"/>
      <c r="T5224" s="28"/>
      <c r="AS5224" s="24"/>
      <c r="AT5224" s="24"/>
      <c r="AU5224" s="24"/>
      <c r="AV5224" s="24"/>
      <c r="AX5224" s="29"/>
    </row>
    <row r="5225" spans="2:50">
      <c r="B5225" s="19"/>
      <c r="K5225" s="21"/>
      <c r="T5225" s="28"/>
      <c r="AS5225" s="24"/>
      <c r="AT5225" s="24"/>
      <c r="AU5225" s="24"/>
      <c r="AV5225" s="24"/>
      <c r="AX5225" s="29"/>
    </row>
    <row r="5226" spans="2:50">
      <c r="B5226" s="19"/>
      <c r="K5226" s="21"/>
      <c r="T5226" s="28"/>
      <c r="AS5226" s="24"/>
      <c r="AT5226" s="24"/>
      <c r="AU5226" s="24"/>
      <c r="AV5226" s="24"/>
      <c r="AX5226" s="29"/>
    </row>
    <row r="5227" spans="2:50">
      <c r="B5227" s="19"/>
      <c r="K5227" s="21"/>
      <c r="T5227" s="28"/>
      <c r="AS5227" s="24"/>
      <c r="AT5227" s="24"/>
      <c r="AU5227" s="24"/>
      <c r="AV5227" s="24"/>
      <c r="AX5227" s="29"/>
    </row>
    <row r="5228" spans="2:50">
      <c r="B5228" s="19"/>
      <c r="K5228" s="21"/>
      <c r="T5228" s="28"/>
      <c r="AS5228" s="24"/>
      <c r="AT5228" s="24"/>
      <c r="AU5228" s="24"/>
      <c r="AV5228" s="24"/>
      <c r="AX5228" s="29"/>
    </row>
    <row r="5229" spans="2:50">
      <c r="B5229" s="19"/>
      <c r="K5229" s="21"/>
      <c r="T5229" s="28"/>
      <c r="AS5229" s="24"/>
      <c r="AT5229" s="24"/>
      <c r="AU5229" s="24"/>
      <c r="AV5229" s="24"/>
      <c r="AX5229" s="29"/>
    </row>
    <row r="5230" spans="2:50">
      <c r="B5230" s="19"/>
      <c r="K5230" s="21"/>
      <c r="T5230" s="28"/>
      <c r="AS5230" s="24"/>
      <c r="AT5230" s="24"/>
      <c r="AU5230" s="24"/>
      <c r="AV5230" s="24"/>
      <c r="AX5230" s="29"/>
    </row>
    <row r="5231" spans="2:50">
      <c r="B5231" s="19"/>
      <c r="K5231" s="21"/>
      <c r="T5231" s="28"/>
      <c r="AS5231" s="24"/>
      <c r="AT5231" s="24"/>
      <c r="AU5231" s="24"/>
      <c r="AV5231" s="24"/>
      <c r="AX5231" s="29"/>
    </row>
    <row r="5232" spans="2:50">
      <c r="B5232" s="19"/>
      <c r="K5232" s="21"/>
      <c r="T5232" s="28"/>
      <c r="AS5232" s="24"/>
      <c r="AT5232" s="24"/>
      <c r="AU5232" s="24"/>
      <c r="AV5232" s="24"/>
      <c r="AX5232" s="29"/>
    </row>
    <row r="5233" spans="2:50">
      <c r="B5233" s="19"/>
      <c r="K5233" s="21"/>
      <c r="T5233" s="28"/>
      <c r="AS5233" s="24"/>
      <c r="AT5233" s="24"/>
      <c r="AU5233" s="24"/>
      <c r="AV5233" s="24"/>
      <c r="AX5233" s="29"/>
    </row>
    <row r="5234" spans="2:50">
      <c r="B5234" s="19"/>
      <c r="K5234" s="21"/>
      <c r="T5234" s="28"/>
      <c r="AS5234" s="24"/>
      <c r="AT5234" s="24"/>
      <c r="AU5234" s="24"/>
      <c r="AV5234" s="24"/>
      <c r="AX5234" s="29"/>
    </row>
    <row r="5235" spans="2:50">
      <c r="B5235" s="19"/>
      <c r="K5235" s="21"/>
      <c r="T5235" s="28"/>
      <c r="AS5235" s="24"/>
      <c r="AT5235" s="24"/>
      <c r="AU5235" s="24"/>
      <c r="AV5235" s="24"/>
      <c r="AX5235" s="29"/>
    </row>
    <row r="5236" spans="2:50">
      <c r="B5236" s="19"/>
      <c r="K5236" s="21"/>
      <c r="T5236" s="28"/>
      <c r="AS5236" s="24"/>
      <c r="AT5236" s="24"/>
      <c r="AU5236" s="24"/>
      <c r="AV5236" s="24"/>
      <c r="AX5236" s="29"/>
    </row>
    <row r="5237" spans="2:50">
      <c r="B5237" s="19"/>
      <c r="K5237" s="21"/>
      <c r="T5237" s="28"/>
      <c r="AS5237" s="24"/>
      <c r="AT5237" s="24"/>
      <c r="AU5237" s="24"/>
      <c r="AV5237" s="24"/>
      <c r="AX5237" s="29"/>
    </row>
    <row r="5238" spans="2:50">
      <c r="B5238" s="19"/>
      <c r="K5238" s="21"/>
      <c r="T5238" s="28"/>
      <c r="AS5238" s="24"/>
      <c r="AT5238" s="24"/>
      <c r="AU5238" s="24"/>
      <c r="AV5238" s="24"/>
      <c r="AX5238" s="29"/>
    </row>
    <row r="5239" spans="2:50">
      <c r="B5239" s="19"/>
      <c r="K5239" s="21"/>
      <c r="T5239" s="28"/>
      <c r="AS5239" s="24"/>
      <c r="AT5239" s="24"/>
      <c r="AU5239" s="24"/>
      <c r="AV5239" s="24"/>
      <c r="AX5239" s="29"/>
    </row>
    <row r="5240" spans="2:50">
      <c r="B5240" s="19"/>
      <c r="K5240" s="21"/>
      <c r="T5240" s="28"/>
      <c r="AS5240" s="24"/>
      <c r="AT5240" s="24"/>
      <c r="AU5240" s="24"/>
      <c r="AV5240" s="24"/>
      <c r="AX5240" s="29"/>
    </row>
    <row r="5241" spans="2:50">
      <c r="B5241" s="19"/>
      <c r="K5241" s="21"/>
      <c r="T5241" s="28"/>
      <c r="AS5241" s="24"/>
      <c r="AT5241" s="24"/>
      <c r="AU5241" s="24"/>
      <c r="AV5241" s="24"/>
      <c r="AX5241" s="29"/>
    </row>
    <row r="5242" spans="2:50">
      <c r="B5242" s="19"/>
      <c r="K5242" s="21"/>
      <c r="T5242" s="28"/>
      <c r="AS5242" s="24"/>
      <c r="AT5242" s="24"/>
      <c r="AU5242" s="24"/>
      <c r="AV5242" s="24"/>
      <c r="AX5242" s="29"/>
    </row>
    <row r="5243" spans="2:50">
      <c r="B5243" s="19"/>
      <c r="K5243" s="21"/>
      <c r="T5243" s="28"/>
      <c r="AS5243" s="24"/>
      <c r="AT5243" s="24"/>
      <c r="AU5243" s="24"/>
      <c r="AV5243" s="24"/>
      <c r="AX5243" s="29"/>
    </row>
    <row r="5244" spans="2:50">
      <c r="B5244" s="19"/>
      <c r="K5244" s="21"/>
      <c r="T5244" s="28"/>
      <c r="AS5244" s="24"/>
      <c r="AT5244" s="24"/>
      <c r="AU5244" s="24"/>
      <c r="AV5244" s="24"/>
      <c r="AX5244" s="29"/>
    </row>
    <row r="5245" spans="2:50">
      <c r="B5245" s="19"/>
      <c r="K5245" s="21"/>
      <c r="T5245" s="28"/>
      <c r="AS5245" s="24"/>
      <c r="AT5245" s="24"/>
      <c r="AU5245" s="24"/>
      <c r="AV5245" s="24"/>
      <c r="AX5245" s="29"/>
    </row>
    <row r="5246" spans="2:50">
      <c r="B5246" s="19"/>
      <c r="K5246" s="21"/>
      <c r="T5246" s="28"/>
      <c r="AS5246" s="24"/>
      <c r="AT5246" s="24"/>
      <c r="AU5246" s="24"/>
      <c r="AV5246" s="24"/>
      <c r="AX5246" s="29"/>
    </row>
    <row r="5247" spans="2:50">
      <c r="B5247" s="19"/>
      <c r="K5247" s="21"/>
      <c r="T5247" s="28"/>
      <c r="AS5247" s="24"/>
      <c r="AT5247" s="24"/>
      <c r="AU5247" s="24"/>
      <c r="AV5247" s="24"/>
      <c r="AX5247" s="29"/>
    </row>
    <row r="5248" spans="2:50">
      <c r="B5248" s="19"/>
      <c r="K5248" s="21"/>
      <c r="T5248" s="28"/>
      <c r="AS5248" s="24"/>
      <c r="AT5248" s="24"/>
      <c r="AU5248" s="24"/>
      <c r="AV5248" s="24"/>
      <c r="AX5248" s="29"/>
    </row>
    <row r="5249" spans="2:50">
      <c r="B5249" s="19"/>
      <c r="K5249" s="21"/>
      <c r="T5249" s="28"/>
      <c r="AS5249" s="24"/>
      <c r="AT5249" s="24"/>
      <c r="AU5249" s="24"/>
      <c r="AV5249" s="24"/>
      <c r="AX5249" s="29"/>
    </row>
    <row r="5250" spans="2:50">
      <c r="B5250" s="19"/>
      <c r="K5250" s="21"/>
      <c r="T5250" s="28"/>
      <c r="AS5250" s="24"/>
      <c r="AT5250" s="24"/>
      <c r="AU5250" s="24"/>
      <c r="AV5250" s="24"/>
      <c r="AX5250" s="29"/>
    </row>
    <row r="5251" spans="2:50">
      <c r="B5251" s="19"/>
      <c r="K5251" s="21"/>
      <c r="T5251" s="28"/>
      <c r="AS5251" s="24"/>
      <c r="AT5251" s="24"/>
      <c r="AU5251" s="24"/>
      <c r="AV5251" s="24"/>
      <c r="AX5251" s="29"/>
    </row>
    <row r="5252" spans="2:50">
      <c r="B5252" s="19"/>
      <c r="K5252" s="21"/>
      <c r="T5252" s="28"/>
      <c r="AS5252" s="24"/>
      <c r="AT5252" s="24"/>
      <c r="AU5252" s="24"/>
      <c r="AV5252" s="24"/>
      <c r="AX5252" s="29"/>
    </row>
    <row r="5253" spans="2:50">
      <c r="B5253" s="19"/>
      <c r="K5253" s="21"/>
      <c r="T5253" s="28"/>
      <c r="AS5253" s="24"/>
      <c r="AT5253" s="24"/>
      <c r="AU5253" s="24"/>
      <c r="AV5253" s="24"/>
      <c r="AX5253" s="29"/>
    </row>
    <row r="5254" spans="2:50">
      <c r="B5254" s="19"/>
      <c r="K5254" s="21"/>
      <c r="T5254" s="28"/>
      <c r="AS5254" s="24"/>
      <c r="AT5254" s="24"/>
      <c r="AU5254" s="24"/>
      <c r="AV5254" s="24"/>
      <c r="AX5254" s="29"/>
    </row>
    <row r="5255" spans="2:50">
      <c r="B5255" s="19"/>
      <c r="K5255" s="21"/>
      <c r="T5255" s="28"/>
      <c r="AS5255" s="24"/>
      <c r="AT5255" s="24"/>
      <c r="AU5255" s="24"/>
      <c r="AV5255" s="24"/>
      <c r="AX5255" s="29"/>
    </row>
    <row r="5256" spans="2:50">
      <c r="B5256" s="19"/>
      <c r="K5256" s="21"/>
      <c r="T5256" s="28"/>
      <c r="AS5256" s="24"/>
      <c r="AT5256" s="24"/>
      <c r="AU5256" s="24"/>
      <c r="AV5256" s="24"/>
      <c r="AX5256" s="29"/>
    </row>
    <row r="5257" spans="2:50">
      <c r="B5257" s="19"/>
      <c r="K5257" s="21"/>
      <c r="T5257" s="28"/>
      <c r="AS5257" s="24"/>
      <c r="AT5257" s="24"/>
      <c r="AU5257" s="24"/>
      <c r="AV5257" s="24"/>
      <c r="AX5257" s="29"/>
    </row>
    <row r="5258" spans="2:50">
      <c r="B5258" s="19"/>
      <c r="K5258" s="21"/>
      <c r="T5258" s="28"/>
      <c r="AS5258" s="24"/>
      <c r="AT5258" s="24"/>
      <c r="AU5258" s="24"/>
      <c r="AV5258" s="24"/>
      <c r="AX5258" s="29"/>
    </row>
    <row r="5259" spans="2:50">
      <c r="B5259" s="19"/>
      <c r="K5259" s="21"/>
      <c r="T5259" s="28"/>
      <c r="AS5259" s="24"/>
      <c r="AT5259" s="24"/>
      <c r="AU5259" s="24"/>
      <c r="AV5259" s="24"/>
      <c r="AX5259" s="29"/>
    </row>
    <row r="5260" spans="2:50">
      <c r="B5260" s="19"/>
      <c r="K5260" s="21"/>
      <c r="T5260" s="28"/>
      <c r="AS5260" s="24"/>
      <c r="AT5260" s="24"/>
      <c r="AU5260" s="24"/>
      <c r="AV5260" s="24"/>
      <c r="AX5260" s="29"/>
    </row>
    <row r="5261" spans="2:50">
      <c r="B5261" s="19"/>
      <c r="K5261" s="21"/>
      <c r="T5261" s="28"/>
      <c r="AS5261" s="24"/>
      <c r="AT5261" s="24"/>
      <c r="AU5261" s="24"/>
      <c r="AV5261" s="24"/>
      <c r="AX5261" s="29"/>
    </row>
    <row r="5262" spans="2:50">
      <c r="B5262" s="19"/>
      <c r="K5262" s="21"/>
      <c r="T5262" s="28"/>
      <c r="AS5262" s="24"/>
      <c r="AT5262" s="24"/>
      <c r="AU5262" s="24"/>
      <c r="AV5262" s="24"/>
      <c r="AX5262" s="29"/>
    </row>
    <row r="5263" spans="2:50">
      <c r="B5263" s="19"/>
      <c r="K5263" s="21"/>
      <c r="T5263" s="28"/>
      <c r="AS5263" s="24"/>
      <c r="AT5263" s="24"/>
      <c r="AU5263" s="24"/>
      <c r="AV5263" s="24"/>
      <c r="AX5263" s="29"/>
    </row>
    <row r="5264" spans="2:50">
      <c r="B5264" s="19"/>
      <c r="K5264" s="21"/>
      <c r="T5264" s="28"/>
      <c r="AS5264" s="24"/>
      <c r="AT5264" s="24"/>
      <c r="AU5264" s="24"/>
      <c r="AV5264" s="24"/>
      <c r="AX5264" s="29"/>
    </row>
    <row r="5265" spans="2:50">
      <c r="B5265" s="19"/>
      <c r="K5265" s="21"/>
      <c r="T5265" s="28"/>
      <c r="AS5265" s="24"/>
      <c r="AT5265" s="24"/>
      <c r="AU5265" s="24"/>
      <c r="AV5265" s="24"/>
      <c r="AX5265" s="29"/>
    </row>
    <row r="5266" spans="2:50">
      <c r="B5266" s="19"/>
      <c r="K5266" s="21"/>
      <c r="T5266" s="28"/>
      <c r="AS5266" s="24"/>
      <c r="AT5266" s="24"/>
      <c r="AU5266" s="24"/>
      <c r="AV5266" s="24"/>
      <c r="AX5266" s="29"/>
    </row>
    <row r="5267" spans="2:50">
      <c r="B5267" s="19"/>
      <c r="K5267" s="21"/>
      <c r="T5267" s="28"/>
      <c r="AS5267" s="24"/>
      <c r="AT5267" s="24"/>
      <c r="AU5267" s="24"/>
      <c r="AV5267" s="24"/>
      <c r="AX5267" s="29"/>
    </row>
    <row r="5268" spans="2:50">
      <c r="B5268" s="19"/>
      <c r="K5268" s="21"/>
      <c r="T5268" s="28"/>
      <c r="AS5268" s="24"/>
      <c r="AT5268" s="24"/>
      <c r="AU5268" s="24"/>
      <c r="AV5268" s="24"/>
      <c r="AX5268" s="29"/>
    </row>
    <row r="5269" spans="2:50">
      <c r="B5269" s="19"/>
      <c r="K5269" s="21"/>
      <c r="T5269" s="28"/>
      <c r="AS5269" s="24"/>
      <c r="AT5269" s="24"/>
      <c r="AU5269" s="24"/>
      <c r="AV5269" s="24"/>
      <c r="AX5269" s="29"/>
    </row>
    <row r="5270" spans="2:50">
      <c r="B5270" s="19"/>
      <c r="K5270" s="21"/>
      <c r="T5270" s="28"/>
      <c r="AS5270" s="24"/>
      <c r="AT5270" s="24"/>
      <c r="AU5270" s="24"/>
      <c r="AV5270" s="24"/>
      <c r="AX5270" s="29"/>
    </row>
    <row r="5271" spans="2:50">
      <c r="B5271" s="19"/>
      <c r="K5271" s="21"/>
      <c r="T5271" s="28"/>
      <c r="AS5271" s="24"/>
      <c r="AT5271" s="24"/>
      <c r="AU5271" s="24"/>
      <c r="AV5271" s="24"/>
      <c r="AX5271" s="29"/>
    </row>
    <row r="5272" spans="2:50">
      <c r="B5272" s="19"/>
      <c r="K5272" s="21"/>
      <c r="T5272" s="28"/>
      <c r="AS5272" s="24"/>
      <c r="AT5272" s="24"/>
      <c r="AU5272" s="24"/>
      <c r="AV5272" s="24"/>
      <c r="AX5272" s="29"/>
    </row>
    <row r="5273" spans="2:50">
      <c r="B5273" s="19"/>
      <c r="K5273" s="21"/>
      <c r="T5273" s="28"/>
      <c r="AS5273" s="24"/>
      <c r="AT5273" s="24"/>
      <c r="AU5273" s="24"/>
      <c r="AV5273" s="24"/>
      <c r="AX5273" s="29"/>
    </row>
    <row r="5274" spans="2:50">
      <c r="B5274" s="19"/>
      <c r="K5274" s="21"/>
      <c r="T5274" s="28"/>
      <c r="AS5274" s="24"/>
      <c r="AT5274" s="24"/>
      <c r="AU5274" s="24"/>
      <c r="AV5274" s="24"/>
      <c r="AX5274" s="29"/>
    </row>
    <row r="5275" spans="2:50">
      <c r="B5275" s="19"/>
      <c r="K5275" s="21"/>
      <c r="T5275" s="28"/>
      <c r="AS5275" s="24"/>
      <c r="AT5275" s="24"/>
      <c r="AU5275" s="24"/>
      <c r="AV5275" s="24"/>
      <c r="AX5275" s="29"/>
    </row>
    <row r="5276" spans="2:50">
      <c r="B5276" s="19"/>
      <c r="K5276" s="21"/>
      <c r="T5276" s="28"/>
      <c r="AS5276" s="24"/>
      <c r="AT5276" s="24"/>
      <c r="AU5276" s="24"/>
      <c r="AV5276" s="24"/>
      <c r="AX5276" s="29"/>
    </row>
    <row r="5277" spans="2:50">
      <c r="B5277" s="19"/>
      <c r="K5277" s="21"/>
      <c r="T5277" s="28"/>
      <c r="AS5277" s="24"/>
      <c r="AT5277" s="24"/>
      <c r="AU5277" s="24"/>
      <c r="AV5277" s="24"/>
      <c r="AX5277" s="29"/>
    </row>
    <row r="5278" spans="2:50">
      <c r="B5278" s="19"/>
      <c r="K5278" s="21"/>
      <c r="T5278" s="28"/>
      <c r="AS5278" s="24"/>
      <c r="AT5278" s="24"/>
      <c r="AU5278" s="24"/>
      <c r="AV5278" s="24"/>
      <c r="AX5278" s="29"/>
    </row>
    <row r="5279" spans="2:50">
      <c r="B5279" s="19"/>
      <c r="K5279" s="21"/>
      <c r="T5279" s="28"/>
      <c r="AS5279" s="24"/>
      <c r="AT5279" s="24"/>
      <c r="AU5279" s="24"/>
      <c r="AV5279" s="24"/>
      <c r="AX5279" s="29"/>
    </row>
    <row r="5280" spans="2:50">
      <c r="B5280" s="19"/>
      <c r="K5280" s="21"/>
      <c r="T5280" s="28"/>
      <c r="AS5280" s="24"/>
      <c r="AT5280" s="24"/>
      <c r="AU5280" s="24"/>
      <c r="AV5280" s="24"/>
      <c r="AX5280" s="29"/>
    </row>
    <row r="5281" spans="2:50">
      <c r="B5281" s="19"/>
      <c r="K5281" s="21"/>
      <c r="T5281" s="28"/>
      <c r="AS5281" s="24"/>
      <c r="AT5281" s="24"/>
      <c r="AU5281" s="24"/>
      <c r="AV5281" s="24"/>
      <c r="AX5281" s="29"/>
    </row>
    <row r="5282" spans="2:50">
      <c r="B5282" s="19"/>
      <c r="K5282" s="21"/>
      <c r="T5282" s="28"/>
      <c r="AS5282" s="24"/>
      <c r="AT5282" s="24"/>
      <c r="AU5282" s="24"/>
      <c r="AV5282" s="24"/>
      <c r="AX5282" s="29"/>
    </row>
    <row r="5283" spans="2:50">
      <c r="B5283" s="19"/>
      <c r="K5283" s="21"/>
      <c r="T5283" s="28"/>
      <c r="AS5283" s="24"/>
      <c r="AT5283" s="24"/>
      <c r="AU5283" s="24"/>
      <c r="AV5283" s="24"/>
      <c r="AX5283" s="29"/>
    </row>
    <row r="5284" spans="2:50">
      <c r="B5284" s="19"/>
      <c r="K5284" s="21"/>
      <c r="T5284" s="28"/>
      <c r="AS5284" s="24"/>
      <c r="AT5284" s="24"/>
      <c r="AU5284" s="24"/>
      <c r="AV5284" s="24"/>
      <c r="AX5284" s="29"/>
    </row>
    <row r="5285" spans="2:50">
      <c r="B5285" s="19"/>
      <c r="K5285" s="21"/>
      <c r="T5285" s="28"/>
      <c r="AS5285" s="24"/>
      <c r="AT5285" s="24"/>
      <c r="AU5285" s="24"/>
      <c r="AV5285" s="24"/>
      <c r="AX5285" s="29"/>
    </row>
    <row r="5286" spans="2:50">
      <c r="B5286" s="19"/>
      <c r="K5286" s="21"/>
      <c r="T5286" s="28"/>
      <c r="AS5286" s="24"/>
      <c r="AT5286" s="24"/>
      <c r="AU5286" s="24"/>
      <c r="AV5286" s="24"/>
      <c r="AX5286" s="29"/>
    </row>
    <row r="5287" spans="2:50">
      <c r="B5287" s="19"/>
      <c r="K5287" s="21"/>
      <c r="T5287" s="28"/>
      <c r="AS5287" s="24"/>
      <c r="AT5287" s="24"/>
      <c r="AU5287" s="24"/>
      <c r="AV5287" s="24"/>
      <c r="AX5287" s="29"/>
    </row>
    <row r="5288" spans="2:50">
      <c r="B5288" s="19"/>
      <c r="K5288" s="21"/>
      <c r="T5288" s="28"/>
      <c r="AS5288" s="24"/>
      <c r="AT5288" s="24"/>
      <c r="AU5288" s="24"/>
      <c r="AV5288" s="24"/>
      <c r="AX5288" s="29"/>
    </row>
    <row r="5289" spans="2:50">
      <c r="B5289" s="19"/>
      <c r="K5289" s="21"/>
      <c r="T5289" s="28"/>
      <c r="AS5289" s="24"/>
      <c r="AT5289" s="24"/>
      <c r="AU5289" s="24"/>
      <c r="AV5289" s="24"/>
      <c r="AX5289" s="29"/>
    </row>
    <row r="5290" spans="2:50">
      <c r="B5290" s="19"/>
      <c r="K5290" s="21"/>
      <c r="T5290" s="28"/>
      <c r="AS5290" s="24"/>
      <c r="AT5290" s="24"/>
      <c r="AU5290" s="24"/>
      <c r="AV5290" s="24"/>
      <c r="AX5290" s="29"/>
    </row>
    <row r="5291" spans="2:50">
      <c r="B5291" s="19"/>
      <c r="K5291" s="21"/>
      <c r="T5291" s="28"/>
      <c r="AS5291" s="24"/>
      <c r="AT5291" s="24"/>
      <c r="AU5291" s="24"/>
      <c r="AV5291" s="24"/>
      <c r="AX5291" s="29"/>
    </row>
    <row r="5364" spans="2:2">
      <c r="B5364" s="30"/>
    </row>
    <row r="5391" spans="7:7">
      <c r="G5391" s="31"/>
    </row>
    <row r="5402" spans="2:2">
      <c r="B5402" s="30"/>
    </row>
    <row r="5478" spans="2:2">
      <c r="B5478" s="30"/>
    </row>
    <row r="5595" spans="21:21">
      <c r="U5595" s="20"/>
    </row>
    <row r="5612" spans="22:22">
      <c r="V5612" s="24"/>
    </row>
    <row r="5718" spans="2:7">
      <c r="G5718" s="31"/>
    </row>
    <row r="5728" spans="2:7">
      <c r="B5728" s="30"/>
    </row>
    <row r="5786" spans="23:23">
      <c r="W5786" s="20"/>
    </row>
    <row r="5814" spans="7:25">
      <c r="Y5814" s="20"/>
    </row>
    <row r="5824" spans="7:25">
      <c r="G5824" s="31"/>
    </row>
    <row r="5848" spans="23:23">
      <c r="W5848" s="20"/>
    </row>
    <row r="5878" spans="19:19">
      <c r="S5878" s="36"/>
    </row>
    <row r="6204" spans="2:52">
      <c r="G6204" s="47"/>
      <c r="AT6204" s="24"/>
      <c r="AU6204" s="24"/>
      <c r="AV6204" s="24"/>
      <c r="AX6204" s="24"/>
      <c r="AY6204" s="24"/>
      <c r="AZ6204" s="24"/>
    </row>
    <row r="6205" spans="2:52">
      <c r="G6205" s="47"/>
      <c r="AT6205" s="24"/>
      <c r="AU6205" s="24"/>
      <c r="AV6205" s="24"/>
      <c r="AX6205" s="24"/>
      <c r="AY6205" s="24"/>
      <c r="AZ6205" s="24"/>
    </row>
    <row r="6206" spans="2:52">
      <c r="G6206" s="47"/>
      <c r="AT6206" s="24"/>
      <c r="AU6206" s="24"/>
      <c r="AV6206" s="24"/>
      <c r="AX6206" s="24"/>
      <c r="AY6206" s="24"/>
      <c r="AZ6206" s="24"/>
    </row>
    <row r="6207" spans="2:52">
      <c r="B6207" s="30"/>
      <c r="G6207" s="47"/>
      <c r="AT6207" s="24"/>
      <c r="AU6207" s="24"/>
      <c r="AV6207" s="24"/>
      <c r="AX6207" s="24"/>
      <c r="AY6207" s="24"/>
      <c r="AZ6207" s="24"/>
    </row>
    <row r="6208" spans="2:52">
      <c r="G6208" s="47"/>
      <c r="AT6208" s="24"/>
      <c r="AU6208" s="24"/>
      <c r="AV6208" s="24"/>
      <c r="AX6208" s="24"/>
      <c r="AY6208" s="24"/>
      <c r="AZ6208" s="24"/>
    </row>
    <row r="6209" spans="7:52">
      <c r="G6209" s="47"/>
      <c r="AT6209" s="24"/>
      <c r="AU6209" s="24"/>
      <c r="AV6209" s="24"/>
      <c r="AX6209" s="24"/>
      <c r="AY6209" s="24"/>
      <c r="AZ6209" s="24"/>
    </row>
    <row r="6210" spans="7:52">
      <c r="G6210" s="47"/>
      <c r="AT6210" s="24"/>
      <c r="AU6210" s="24"/>
      <c r="AV6210" s="24"/>
      <c r="AX6210" s="24"/>
      <c r="AY6210" s="24"/>
      <c r="AZ6210" s="24"/>
    </row>
    <row r="6211" spans="7:52">
      <c r="G6211" s="47"/>
      <c r="AT6211" s="24"/>
      <c r="AU6211" s="24"/>
      <c r="AV6211" s="24"/>
      <c r="AX6211" s="24"/>
      <c r="AY6211" s="24"/>
      <c r="AZ6211" s="24"/>
    </row>
    <row r="6212" spans="7:52">
      <c r="G6212" s="55"/>
      <c r="AT6212" s="24"/>
      <c r="AU6212" s="24"/>
      <c r="AV6212" s="24"/>
      <c r="AX6212" s="24"/>
      <c r="AY6212" s="24"/>
      <c r="AZ6212" s="24"/>
    </row>
    <row r="6213" spans="7:52">
      <c r="G6213" s="47"/>
      <c r="AT6213" s="24"/>
      <c r="AU6213" s="24"/>
      <c r="AV6213" s="24"/>
      <c r="AX6213" s="24"/>
      <c r="AY6213" s="24"/>
      <c r="AZ6213" s="24"/>
    </row>
    <row r="6214" spans="7:52">
      <c r="G6214" s="47"/>
      <c r="AT6214" s="24"/>
      <c r="AU6214" s="24"/>
      <c r="AV6214" s="24"/>
      <c r="AX6214" s="24"/>
      <c r="AY6214" s="24"/>
      <c r="AZ6214" s="24"/>
    </row>
    <row r="6215" spans="7:52">
      <c r="G6215" s="47"/>
      <c r="AT6215" s="24"/>
      <c r="AU6215" s="24"/>
      <c r="AV6215" s="24"/>
      <c r="AX6215" s="24"/>
      <c r="AY6215" s="24"/>
      <c r="AZ6215" s="24"/>
    </row>
    <row r="6216" spans="7:52">
      <c r="G6216" s="47"/>
      <c r="AT6216" s="24"/>
      <c r="AU6216" s="24"/>
      <c r="AV6216" s="24"/>
      <c r="AX6216" s="24"/>
      <c r="AY6216" s="24"/>
      <c r="AZ6216" s="24"/>
    </row>
    <row r="6217" spans="7:52">
      <c r="G6217" s="47"/>
      <c r="AT6217" s="24"/>
      <c r="AU6217" s="24"/>
      <c r="AV6217" s="24"/>
      <c r="AX6217" s="24"/>
      <c r="AY6217" s="24"/>
      <c r="AZ6217" s="24"/>
    </row>
    <row r="6218" spans="7:52">
      <c r="G6218" s="47"/>
      <c r="AT6218" s="24"/>
      <c r="AU6218" s="24"/>
      <c r="AV6218" s="24"/>
      <c r="AX6218" s="24"/>
      <c r="AY6218" s="24"/>
      <c r="AZ6218" s="24"/>
    </row>
    <row r="6219" spans="7:52">
      <c r="G6219" s="47"/>
      <c r="AT6219" s="24"/>
      <c r="AU6219" s="24"/>
      <c r="AV6219" s="24"/>
      <c r="AX6219" s="24"/>
      <c r="AY6219" s="24"/>
      <c r="AZ6219" s="24"/>
    </row>
    <row r="6220" spans="7:52">
      <c r="G6220" s="47"/>
      <c r="AT6220" s="24"/>
      <c r="AU6220" s="24"/>
      <c r="AV6220" s="24"/>
      <c r="AX6220" s="24"/>
      <c r="AY6220" s="24"/>
      <c r="AZ6220" s="24"/>
    </row>
    <row r="6221" spans="7:52">
      <c r="G6221" s="47"/>
      <c r="AT6221" s="24"/>
      <c r="AU6221" s="24"/>
      <c r="AV6221" s="24"/>
      <c r="AX6221" s="24"/>
      <c r="AY6221" s="24"/>
      <c r="AZ6221" s="24"/>
    </row>
    <row r="6222" spans="7:52">
      <c r="G6222" s="47"/>
      <c r="AT6222" s="24"/>
      <c r="AU6222" s="24"/>
      <c r="AV6222" s="24"/>
      <c r="AX6222" s="24"/>
      <c r="AY6222" s="24"/>
      <c r="AZ6222" s="24"/>
    </row>
    <row r="6223" spans="7:52">
      <c r="G6223" s="47"/>
      <c r="AT6223" s="24"/>
      <c r="AU6223" s="24"/>
      <c r="AV6223" s="24"/>
      <c r="AX6223" s="24"/>
      <c r="AY6223" s="24"/>
      <c r="AZ6223" s="24"/>
    </row>
    <row r="6224" spans="7:52">
      <c r="G6224" s="47"/>
      <c r="AT6224" s="24"/>
      <c r="AU6224" s="24"/>
      <c r="AV6224" s="24"/>
      <c r="AX6224" s="24"/>
      <c r="AY6224" s="24"/>
      <c r="AZ6224" s="24"/>
    </row>
    <row r="6225" spans="7:52">
      <c r="G6225" s="47"/>
      <c r="AT6225" s="24"/>
      <c r="AU6225" s="24"/>
      <c r="AV6225" s="24"/>
      <c r="AX6225" s="24"/>
      <c r="AY6225" s="24"/>
      <c r="AZ6225" s="24"/>
    </row>
    <row r="6226" spans="7:52">
      <c r="G6226" s="47"/>
      <c r="AT6226" s="24"/>
      <c r="AU6226" s="24"/>
      <c r="AV6226" s="24"/>
      <c r="AX6226" s="24"/>
      <c r="AY6226" s="24"/>
      <c r="AZ6226" s="24"/>
    </row>
    <row r="6227" spans="7:52">
      <c r="G6227" s="47"/>
      <c r="AT6227" s="24"/>
      <c r="AU6227" s="24"/>
      <c r="AV6227" s="24"/>
      <c r="AX6227" s="24"/>
      <c r="AY6227" s="24"/>
      <c r="AZ6227" s="24"/>
    </row>
    <row r="6228" spans="7:52">
      <c r="G6228" s="47"/>
      <c r="AT6228" s="24"/>
      <c r="AU6228" s="24"/>
      <c r="AV6228" s="24"/>
      <c r="AX6228" s="24"/>
      <c r="AY6228" s="24"/>
      <c r="AZ6228" s="24"/>
    </row>
    <row r="6229" spans="7:52">
      <c r="G6229" s="47"/>
      <c r="AT6229" s="24"/>
      <c r="AU6229" s="24"/>
      <c r="AV6229" s="24"/>
      <c r="AX6229" s="24"/>
      <c r="AY6229" s="24"/>
      <c r="AZ6229" s="24"/>
    </row>
    <row r="6230" spans="7:52">
      <c r="G6230" s="47"/>
      <c r="AT6230" s="24"/>
      <c r="AU6230" s="24"/>
      <c r="AV6230" s="24"/>
      <c r="AX6230" s="24"/>
      <c r="AY6230" s="24"/>
      <c r="AZ6230" s="24"/>
    </row>
    <row r="6231" spans="7:52">
      <c r="G6231" s="47"/>
      <c r="AT6231" s="24"/>
      <c r="AU6231" s="24"/>
      <c r="AV6231" s="24"/>
      <c r="AX6231" s="24"/>
      <c r="AY6231" s="24"/>
      <c r="AZ6231" s="24"/>
    </row>
    <row r="6232" spans="7:52">
      <c r="G6232" s="47"/>
      <c r="AT6232" s="24"/>
      <c r="AU6232" s="24"/>
      <c r="AV6232" s="24"/>
      <c r="AX6232" s="24"/>
      <c r="AY6232" s="24"/>
      <c r="AZ6232" s="24"/>
    </row>
    <row r="6233" spans="7:52">
      <c r="G6233" s="47"/>
      <c r="AT6233" s="24"/>
      <c r="AU6233" s="24"/>
      <c r="AV6233" s="24"/>
      <c r="AX6233" s="24"/>
      <c r="AY6233" s="24"/>
      <c r="AZ6233" s="24"/>
    </row>
    <row r="6234" spans="7:52">
      <c r="G6234" s="47"/>
      <c r="AT6234" s="24"/>
      <c r="AU6234" s="24"/>
      <c r="AV6234" s="24"/>
      <c r="AX6234" s="24"/>
      <c r="AY6234" s="24"/>
      <c r="AZ6234" s="24"/>
    </row>
    <row r="6235" spans="7:52">
      <c r="G6235" s="47"/>
      <c r="AT6235" s="24"/>
      <c r="AU6235" s="24"/>
      <c r="AV6235" s="24"/>
      <c r="AX6235" s="24"/>
      <c r="AY6235" s="24"/>
      <c r="AZ6235" s="24"/>
    </row>
    <row r="6236" spans="7:52">
      <c r="G6236" s="47"/>
      <c r="AT6236" s="24"/>
      <c r="AU6236" s="24"/>
      <c r="AV6236" s="24"/>
      <c r="AX6236" s="24"/>
      <c r="AY6236" s="24"/>
      <c r="AZ6236" s="24"/>
    </row>
    <row r="6237" spans="7:52">
      <c r="G6237" s="47"/>
      <c r="AT6237" s="24"/>
      <c r="AU6237" s="24"/>
      <c r="AV6237" s="24"/>
      <c r="AX6237" s="24"/>
      <c r="AY6237" s="24"/>
      <c r="AZ6237" s="24"/>
    </row>
    <row r="6238" spans="7:52">
      <c r="G6238" s="47"/>
      <c r="AT6238" s="24"/>
      <c r="AU6238" s="24"/>
      <c r="AV6238" s="24"/>
      <c r="AX6238" s="24"/>
      <c r="AY6238" s="24"/>
      <c r="AZ6238" s="24"/>
    </row>
    <row r="6239" spans="7:52">
      <c r="G6239" s="47"/>
      <c r="AT6239" s="24"/>
      <c r="AU6239" s="24"/>
      <c r="AV6239" s="24"/>
      <c r="AX6239" s="24"/>
      <c r="AY6239" s="24"/>
      <c r="AZ6239" s="24"/>
    </row>
    <row r="6240" spans="7:52">
      <c r="G6240" s="47"/>
      <c r="AT6240" s="24"/>
      <c r="AU6240" s="24"/>
      <c r="AV6240" s="24"/>
      <c r="AX6240" s="24"/>
      <c r="AY6240" s="24"/>
      <c r="AZ6240" s="24"/>
    </row>
    <row r="6241" spans="7:52">
      <c r="G6241" s="47"/>
      <c r="AT6241" s="24"/>
      <c r="AU6241" s="24"/>
      <c r="AV6241" s="24"/>
      <c r="AX6241" s="24"/>
      <c r="AY6241" s="24"/>
      <c r="AZ6241" s="24"/>
    </row>
    <row r="6242" spans="7:52">
      <c r="G6242" s="47"/>
      <c r="AT6242" s="24"/>
      <c r="AU6242" s="24"/>
      <c r="AV6242" s="24"/>
      <c r="AX6242" s="24"/>
      <c r="AY6242" s="24"/>
      <c r="AZ6242" s="24"/>
    </row>
    <row r="6243" spans="7:52">
      <c r="G6243" s="47"/>
      <c r="AT6243" s="24"/>
      <c r="AU6243" s="24"/>
      <c r="AV6243" s="24"/>
      <c r="AX6243" s="24"/>
      <c r="AY6243" s="24"/>
      <c r="AZ6243" s="24"/>
    </row>
    <row r="6244" spans="7:52">
      <c r="G6244" s="47"/>
      <c r="AT6244" s="24"/>
      <c r="AU6244" s="24"/>
      <c r="AV6244" s="24"/>
      <c r="AX6244" s="24"/>
      <c r="AY6244" s="24"/>
      <c r="AZ6244" s="24"/>
    </row>
    <row r="6245" spans="7:52">
      <c r="G6245" s="47"/>
      <c r="AT6245" s="24"/>
      <c r="AU6245" s="24"/>
      <c r="AV6245" s="24"/>
      <c r="AX6245" s="24"/>
      <c r="AY6245" s="24"/>
      <c r="AZ6245" s="24"/>
    </row>
    <row r="6246" spans="7:52">
      <c r="G6246" s="47"/>
      <c r="AT6246" s="24"/>
      <c r="AU6246" s="24"/>
      <c r="AV6246" s="24"/>
      <c r="AX6246" s="24"/>
      <c r="AY6246" s="24"/>
      <c r="AZ6246" s="24"/>
    </row>
    <row r="6247" spans="7:52">
      <c r="G6247" s="47"/>
      <c r="AT6247" s="24"/>
      <c r="AU6247" s="24"/>
      <c r="AV6247" s="24"/>
      <c r="AX6247" s="24"/>
      <c r="AY6247" s="24"/>
      <c r="AZ6247" s="24"/>
    </row>
    <row r="6248" spans="7:52">
      <c r="G6248" s="47"/>
      <c r="AT6248" s="24"/>
      <c r="AU6248" s="24"/>
      <c r="AV6248" s="24"/>
      <c r="AX6248" s="24"/>
      <c r="AY6248" s="24"/>
      <c r="AZ6248" s="24"/>
    </row>
    <row r="6394" spans="25:25">
      <c r="Y6394" s="20"/>
    </row>
    <row r="6665" spans="27:32">
      <c r="AA6665" s="18">
        <f>_xlfn.XLOOKUP(Y6665,'[2]Data Source'!A:A,'[2]Data Source'!B:B,"N/A",0)</f>
        <v>0</v>
      </c>
      <c r="AB6665" s="18">
        <f t="shared" ref="AB6665:AB6728" si="24">L6665</f>
        <v>0</v>
      </c>
      <c r="AC6665" s="18" t="str">
        <f>_xlfn.XLOOKUP(L6665,'[3]2025 Mapping v3'!A:A,'[3]2025 Mapping v3'!B:B,"Error",0)</f>
        <v>Error</v>
      </c>
      <c r="AD6665" s="18" t="str">
        <f>_xlfn.XLOOKUP(L6665,'[3]2025 Mapping v3'!A:A,'[3]2025 Mapping v3'!C:C,"Error",0)</f>
        <v>Error</v>
      </c>
      <c r="AE6665" s="18" t="str">
        <f>_xlfn.XLOOKUP(L6665,'[3]2025 Mapping v3'!A:A,'[3]2025 Mapping v3'!D:D,"Error",0)</f>
        <v>Error</v>
      </c>
      <c r="AF6665" s="18" t="str">
        <f>_xlfn.XLOOKUP(L6665,'[3]2025 Mapping v3'!A:A,'[3]2025 Mapping v3'!E:E,"Error",0)</f>
        <v>Error</v>
      </c>
    </row>
    <row r="6666" spans="27:32">
      <c r="AA6666" s="18">
        <f>_xlfn.XLOOKUP(Y6666,'[2]Data Source'!A:A,'[2]Data Source'!B:B,"N/A",0)</f>
        <v>0</v>
      </c>
      <c r="AB6666" s="18">
        <f t="shared" si="24"/>
        <v>0</v>
      </c>
      <c r="AC6666" s="18" t="str">
        <f>_xlfn.XLOOKUP(L6666,'[3]2025 Mapping v3'!A:A,'[3]2025 Mapping v3'!B:B,"Error",0)</f>
        <v>Error</v>
      </c>
      <c r="AD6666" s="18" t="str">
        <f>_xlfn.XLOOKUP(L6666,'[3]2025 Mapping v3'!A:A,'[3]2025 Mapping v3'!C:C,"Error",0)</f>
        <v>Error</v>
      </c>
      <c r="AE6666" s="18" t="str">
        <f>_xlfn.XLOOKUP(L6666,'[3]2025 Mapping v3'!A:A,'[3]2025 Mapping v3'!D:D,"Error",0)</f>
        <v>Error</v>
      </c>
      <c r="AF6666" s="18" t="str">
        <f>_xlfn.XLOOKUP(L6666,'[3]2025 Mapping v3'!A:A,'[3]2025 Mapping v3'!E:E,"Error",0)</f>
        <v>Error</v>
      </c>
    </row>
    <row r="6667" spans="27:32">
      <c r="AA6667" s="18">
        <f>_xlfn.XLOOKUP(Y6667,'[2]Data Source'!A:A,'[2]Data Source'!B:B,"N/A",0)</f>
        <v>0</v>
      </c>
      <c r="AB6667" s="18">
        <f t="shared" si="24"/>
        <v>0</v>
      </c>
      <c r="AC6667" s="18" t="str">
        <f>_xlfn.XLOOKUP(L6667,'[3]2025 Mapping v3'!A:A,'[3]2025 Mapping v3'!B:B,"Error",0)</f>
        <v>Error</v>
      </c>
      <c r="AD6667" s="18" t="str">
        <f>_xlfn.XLOOKUP(L6667,'[3]2025 Mapping v3'!A:A,'[3]2025 Mapping v3'!C:C,"Error",0)</f>
        <v>Error</v>
      </c>
      <c r="AE6667" s="18" t="str">
        <f>_xlfn.XLOOKUP(L6667,'[3]2025 Mapping v3'!A:A,'[3]2025 Mapping v3'!D:D,"Error",0)</f>
        <v>Error</v>
      </c>
      <c r="AF6667" s="18" t="str">
        <f>_xlfn.XLOOKUP(L6667,'[3]2025 Mapping v3'!A:A,'[3]2025 Mapping v3'!E:E,"Error",0)</f>
        <v>Error</v>
      </c>
    </row>
    <row r="6668" spans="27:32">
      <c r="AA6668" s="18">
        <f>_xlfn.XLOOKUP(Y6668,'[2]Data Source'!A:A,'[2]Data Source'!B:B,"N/A",0)</f>
        <v>0</v>
      </c>
      <c r="AB6668" s="18">
        <f t="shared" si="24"/>
        <v>0</v>
      </c>
      <c r="AC6668" s="18" t="str">
        <f>_xlfn.XLOOKUP(L6668,'[3]2025 Mapping v3'!A:A,'[3]2025 Mapping v3'!B:B,"Error",0)</f>
        <v>Error</v>
      </c>
      <c r="AD6668" s="18" t="str">
        <f>_xlfn.XLOOKUP(L6668,'[3]2025 Mapping v3'!A:A,'[3]2025 Mapping v3'!C:C,"Error",0)</f>
        <v>Error</v>
      </c>
      <c r="AE6668" s="18" t="str">
        <f>_xlfn.XLOOKUP(L6668,'[3]2025 Mapping v3'!A:A,'[3]2025 Mapping v3'!D:D,"Error",0)</f>
        <v>Error</v>
      </c>
      <c r="AF6668" s="18" t="str">
        <f>_xlfn.XLOOKUP(L6668,'[3]2025 Mapping v3'!A:A,'[3]2025 Mapping v3'!E:E,"Error",0)</f>
        <v>Error</v>
      </c>
    </row>
    <row r="6669" spans="27:32">
      <c r="AA6669" s="18">
        <f>_xlfn.XLOOKUP(Y6669,'[2]Data Source'!A:A,'[2]Data Source'!B:B,"N/A",0)</f>
        <v>0</v>
      </c>
      <c r="AB6669" s="18">
        <f t="shared" si="24"/>
        <v>0</v>
      </c>
      <c r="AC6669" s="18" t="str">
        <f>_xlfn.XLOOKUP(L6669,'[3]2025 Mapping v3'!A:A,'[3]2025 Mapping v3'!B:B,"Error",0)</f>
        <v>Error</v>
      </c>
      <c r="AD6669" s="18" t="str">
        <f>_xlfn.XLOOKUP(L6669,'[3]2025 Mapping v3'!A:A,'[3]2025 Mapping v3'!C:C,"Error",0)</f>
        <v>Error</v>
      </c>
      <c r="AE6669" s="18" t="str">
        <f>_xlfn.XLOOKUP(L6669,'[3]2025 Mapping v3'!A:A,'[3]2025 Mapping v3'!D:D,"Error",0)</f>
        <v>Error</v>
      </c>
      <c r="AF6669" s="18" t="str">
        <f>_xlfn.XLOOKUP(L6669,'[3]2025 Mapping v3'!A:A,'[3]2025 Mapping v3'!E:E,"Error",0)</f>
        <v>Error</v>
      </c>
    </row>
    <row r="6670" spans="27:32">
      <c r="AA6670" s="18">
        <f>_xlfn.XLOOKUP(Y6670,'[2]Data Source'!A:A,'[2]Data Source'!B:B,"N/A",0)</f>
        <v>0</v>
      </c>
      <c r="AB6670" s="18">
        <f t="shared" si="24"/>
        <v>0</v>
      </c>
      <c r="AC6670" s="18" t="str">
        <f>_xlfn.XLOOKUP(L6670,'[3]2025 Mapping v3'!A:A,'[3]2025 Mapping v3'!B:B,"Error",0)</f>
        <v>Error</v>
      </c>
      <c r="AD6670" s="18" t="str">
        <f>_xlfn.XLOOKUP(L6670,'[3]2025 Mapping v3'!A:A,'[3]2025 Mapping v3'!C:C,"Error",0)</f>
        <v>Error</v>
      </c>
      <c r="AE6670" s="18" t="str">
        <f>_xlfn.XLOOKUP(L6670,'[3]2025 Mapping v3'!A:A,'[3]2025 Mapping v3'!D:D,"Error",0)</f>
        <v>Error</v>
      </c>
      <c r="AF6670" s="18" t="str">
        <f>_xlfn.XLOOKUP(L6670,'[3]2025 Mapping v3'!A:A,'[3]2025 Mapping v3'!E:E,"Error",0)</f>
        <v>Error</v>
      </c>
    </row>
    <row r="6671" spans="27:32">
      <c r="AA6671" s="18">
        <f>_xlfn.XLOOKUP(Y6671,'[2]Data Source'!A:A,'[2]Data Source'!B:B,"N/A",0)</f>
        <v>0</v>
      </c>
      <c r="AB6671" s="18">
        <f t="shared" si="24"/>
        <v>0</v>
      </c>
      <c r="AC6671" s="18" t="str">
        <f>_xlfn.XLOOKUP(L6671,'[3]2025 Mapping v3'!A:A,'[3]2025 Mapping v3'!B:B,"Error",0)</f>
        <v>Error</v>
      </c>
      <c r="AD6671" s="18" t="str">
        <f>_xlfn.XLOOKUP(L6671,'[3]2025 Mapping v3'!A:A,'[3]2025 Mapping v3'!C:C,"Error",0)</f>
        <v>Error</v>
      </c>
      <c r="AE6671" s="18" t="str">
        <f>_xlfn.XLOOKUP(L6671,'[3]2025 Mapping v3'!A:A,'[3]2025 Mapping v3'!D:D,"Error",0)</f>
        <v>Error</v>
      </c>
      <c r="AF6671" s="18" t="str">
        <f>_xlfn.XLOOKUP(L6671,'[3]2025 Mapping v3'!A:A,'[3]2025 Mapping v3'!E:E,"Error",0)</f>
        <v>Error</v>
      </c>
    </row>
    <row r="6672" spans="27:32">
      <c r="AA6672" s="18">
        <f>_xlfn.XLOOKUP(Y6672,'[2]Data Source'!A:A,'[2]Data Source'!B:B,"N/A",0)</f>
        <v>0</v>
      </c>
      <c r="AB6672" s="18">
        <f t="shared" si="24"/>
        <v>0</v>
      </c>
      <c r="AC6672" s="18" t="str">
        <f>_xlfn.XLOOKUP(L6672,'[3]2025 Mapping v3'!A:A,'[3]2025 Mapping v3'!B:B,"Error",0)</f>
        <v>Error</v>
      </c>
      <c r="AD6672" s="18" t="str">
        <f>_xlfn.XLOOKUP(L6672,'[3]2025 Mapping v3'!A:A,'[3]2025 Mapping v3'!C:C,"Error",0)</f>
        <v>Error</v>
      </c>
      <c r="AE6672" s="18" t="str">
        <f>_xlfn.XLOOKUP(L6672,'[3]2025 Mapping v3'!A:A,'[3]2025 Mapping v3'!D:D,"Error",0)</f>
        <v>Error</v>
      </c>
      <c r="AF6672" s="18" t="str">
        <f>_xlfn.XLOOKUP(L6672,'[3]2025 Mapping v3'!A:A,'[3]2025 Mapping v3'!E:E,"Error",0)</f>
        <v>Error</v>
      </c>
    </row>
    <row r="6673" spans="27:32">
      <c r="AA6673" s="18">
        <f>_xlfn.XLOOKUP(Y6673,'[2]Data Source'!A:A,'[2]Data Source'!B:B,"N/A",0)</f>
        <v>0</v>
      </c>
      <c r="AB6673" s="18">
        <f t="shared" si="24"/>
        <v>0</v>
      </c>
      <c r="AC6673" s="18" t="str">
        <f>_xlfn.XLOOKUP(L6673,'[3]2025 Mapping v3'!A:A,'[3]2025 Mapping v3'!B:B,"Error",0)</f>
        <v>Error</v>
      </c>
      <c r="AD6673" s="18" t="str">
        <f>_xlfn.XLOOKUP(L6673,'[3]2025 Mapping v3'!A:A,'[3]2025 Mapping v3'!C:C,"Error",0)</f>
        <v>Error</v>
      </c>
      <c r="AE6673" s="18" t="str">
        <f>_xlfn.XLOOKUP(L6673,'[3]2025 Mapping v3'!A:A,'[3]2025 Mapping v3'!D:D,"Error",0)</f>
        <v>Error</v>
      </c>
      <c r="AF6673" s="18" t="str">
        <f>_xlfn.XLOOKUP(L6673,'[3]2025 Mapping v3'!A:A,'[3]2025 Mapping v3'!E:E,"Error",0)</f>
        <v>Error</v>
      </c>
    </row>
    <row r="6674" spans="27:32">
      <c r="AA6674" s="18">
        <f>_xlfn.XLOOKUP(Y6674,'[2]Data Source'!A:A,'[2]Data Source'!B:B,"N/A",0)</f>
        <v>0</v>
      </c>
      <c r="AB6674" s="18">
        <f t="shared" si="24"/>
        <v>0</v>
      </c>
      <c r="AC6674" s="18" t="str">
        <f>_xlfn.XLOOKUP(L6674,'[3]2025 Mapping v3'!A:A,'[3]2025 Mapping v3'!B:B,"Error",0)</f>
        <v>Error</v>
      </c>
      <c r="AD6674" s="18" t="str">
        <f>_xlfn.XLOOKUP(L6674,'[3]2025 Mapping v3'!A:A,'[3]2025 Mapping v3'!C:C,"Error",0)</f>
        <v>Error</v>
      </c>
      <c r="AE6674" s="18" t="str">
        <f>_xlfn.XLOOKUP(L6674,'[3]2025 Mapping v3'!A:A,'[3]2025 Mapping v3'!D:D,"Error",0)</f>
        <v>Error</v>
      </c>
      <c r="AF6674" s="18" t="str">
        <f>_xlfn.XLOOKUP(L6674,'[3]2025 Mapping v3'!A:A,'[3]2025 Mapping v3'!E:E,"Error",0)</f>
        <v>Error</v>
      </c>
    </row>
    <row r="6675" spans="27:32">
      <c r="AA6675" s="18">
        <f>_xlfn.XLOOKUP(Y6675,'[2]Data Source'!A:A,'[2]Data Source'!B:B,"N/A",0)</f>
        <v>0</v>
      </c>
      <c r="AB6675" s="18">
        <f t="shared" si="24"/>
        <v>0</v>
      </c>
      <c r="AC6675" s="18" t="str">
        <f>_xlfn.XLOOKUP(L6675,'[3]2025 Mapping v3'!A:A,'[3]2025 Mapping v3'!B:B,"Error",0)</f>
        <v>Error</v>
      </c>
      <c r="AD6675" s="18" t="str">
        <f>_xlfn.XLOOKUP(L6675,'[3]2025 Mapping v3'!A:A,'[3]2025 Mapping v3'!C:C,"Error",0)</f>
        <v>Error</v>
      </c>
      <c r="AE6675" s="18" t="str">
        <f>_xlfn.XLOOKUP(L6675,'[3]2025 Mapping v3'!A:A,'[3]2025 Mapping v3'!D:D,"Error",0)</f>
        <v>Error</v>
      </c>
      <c r="AF6675" s="18" t="str">
        <f>_xlfn.XLOOKUP(L6675,'[3]2025 Mapping v3'!A:A,'[3]2025 Mapping v3'!E:E,"Error",0)</f>
        <v>Error</v>
      </c>
    </row>
    <row r="6676" spans="27:32">
      <c r="AA6676" s="18">
        <f>_xlfn.XLOOKUP(Y6676,'[2]Data Source'!A:A,'[2]Data Source'!B:B,"N/A",0)</f>
        <v>0</v>
      </c>
      <c r="AB6676" s="18">
        <f t="shared" si="24"/>
        <v>0</v>
      </c>
      <c r="AC6676" s="18" t="str">
        <f>_xlfn.XLOOKUP(L6676,'[3]2025 Mapping v3'!A:A,'[3]2025 Mapping v3'!B:B,"Error",0)</f>
        <v>Error</v>
      </c>
      <c r="AD6676" s="18" t="str">
        <f>_xlfn.XLOOKUP(L6676,'[3]2025 Mapping v3'!A:A,'[3]2025 Mapping v3'!C:C,"Error",0)</f>
        <v>Error</v>
      </c>
      <c r="AE6676" s="18" t="str">
        <f>_xlfn.XLOOKUP(L6676,'[3]2025 Mapping v3'!A:A,'[3]2025 Mapping v3'!D:D,"Error",0)</f>
        <v>Error</v>
      </c>
      <c r="AF6676" s="18" t="str">
        <f>_xlfn.XLOOKUP(L6676,'[3]2025 Mapping v3'!A:A,'[3]2025 Mapping v3'!E:E,"Error",0)</f>
        <v>Error</v>
      </c>
    </row>
    <row r="6677" spans="27:32">
      <c r="AA6677" s="18">
        <f>_xlfn.XLOOKUP(Y6677,'[2]Data Source'!A:A,'[2]Data Source'!B:B,"N/A",0)</f>
        <v>0</v>
      </c>
      <c r="AB6677" s="18">
        <f t="shared" si="24"/>
        <v>0</v>
      </c>
      <c r="AC6677" s="18" t="str">
        <f>_xlfn.XLOOKUP(L6677,'[3]2025 Mapping v3'!A:A,'[3]2025 Mapping v3'!B:B,"Error",0)</f>
        <v>Error</v>
      </c>
      <c r="AD6677" s="18" t="str">
        <f>_xlfn.XLOOKUP(L6677,'[3]2025 Mapping v3'!A:A,'[3]2025 Mapping v3'!C:C,"Error",0)</f>
        <v>Error</v>
      </c>
      <c r="AE6677" s="18" t="str">
        <f>_xlfn.XLOOKUP(L6677,'[3]2025 Mapping v3'!A:A,'[3]2025 Mapping v3'!D:D,"Error",0)</f>
        <v>Error</v>
      </c>
      <c r="AF6677" s="18" t="str">
        <f>_xlfn.XLOOKUP(L6677,'[3]2025 Mapping v3'!A:A,'[3]2025 Mapping v3'!E:E,"Error",0)</f>
        <v>Error</v>
      </c>
    </row>
    <row r="6678" spans="27:32">
      <c r="AA6678" s="18">
        <f>_xlfn.XLOOKUP(Y6678,'[2]Data Source'!A:A,'[2]Data Source'!B:B,"N/A",0)</f>
        <v>0</v>
      </c>
      <c r="AB6678" s="18">
        <f t="shared" si="24"/>
        <v>0</v>
      </c>
      <c r="AC6678" s="18" t="str">
        <f>_xlfn.XLOOKUP(L6678,'[3]2025 Mapping v3'!A:A,'[3]2025 Mapping v3'!B:B,"Error",0)</f>
        <v>Error</v>
      </c>
      <c r="AD6678" s="18" t="str">
        <f>_xlfn.XLOOKUP(L6678,'[3]2025 Mapping v3'!A:A,'[3]2025 Mapping v3'!C:C,"Error",0)</f>
        <v>Error</v>
      </c>
      <c r="AE6678" s="18" t="str">
        <f>_xlfn.XLOOKUP(L6678,'[3]2025 Mapping v3'!A:A,'[3]2025 Mapping v3'!D:D,"Error",0)</f>
        <v>Error</v>
      </c>
      <c r="AF6678" s="18" t="str">
        <f>_xlfn.XLOOKUP(L6678,'[3]2025 Mapping v3'!A:A,'[3]2025 Mapping v3'!E:E,"Error",0)</f>
        <v>Error</v>
      </c>
    </row>
    <row r="6679" spans="27:32">
      <c r="AA6679" s="18">
        <f>_xlfn.XLOOKUP(Y6679,'[2]Data Source'!A:A,'[2]Data Source'!B:B,"N/A",0)</f>
        <v>0</v>
      </c>
      <c r="AB6679" s="18">
        <f t="shared" si="24"/>
        <v>0</v>
      </c>
      <c r="AC6679" s="18" t="str">
        <f>_xlfn.XLOOKUP(L6679,'[3]2025 Mapping v3'!A:A,'[3]2025 Mapping v3'!B:B,"Error",0)</f>
        <v>Error</v>
      </c>
      <c r="AD6679" s="18" t="str">
        <f>_xlfn.XLOOKUP(L6679,'[3]2025 Mapping v3'!A:A,'[3]2025 Mapping v3'!C:C,"Error",0)</f>
        <v>Error</v>
      </c>
      <c r="AE6679" s="18" t="str">
        <f>_xlfn.XLOOKUP(L6679,'[3]2025 Mapping v3'!A:A,'[3]2025 Mapping v3'!D:D,"Error",0)</f>
        <v>Error</v>
      </c>
      <c r="AF6679" s="18" t="str">
        <f>_xlfn.XLOOKUP(L6679,'[3]2025 Mapping v3'!A:A,'[3]2025 Mapping v3'!E:E,"Error",0)</f>
        <v>Error</v>
      </c>
    </row>
    <row r="6680" spans="27:32">
      <c r="AA6680" s="18">
        <f>_xlfn.XLOOKUP(Y6680,'[2]Data Source'!A:A,'[2]Data Source'!B:B,"N/A",0)</f>
        <v>0</v>
      </c>
      <c r="AB6680" s="18">
        <f t="shared" si="24"/>
        <v>0</v>
      </c>
      <c r="AC6680" s="18" t="str">
        <f>_xlfn.XLOOKUP(L6680,'[3]2025 Mapping v3'!A:A,'[3]2025 Mapping v3'!B:B,"Error",0)</f>
        <v>Error</v>
      </c>
      <c r="AD6680" s="18" t="str">
        <f>_xlfn.XLOOKUP(L6680,'[3]2025 Mapping v3'!A:A,'[3]2025 Mapping v3'!C:C,"Error",0)</f>
        <v>Error</v>
      </c>
      <c r="AE6680" s="18" t="str">
        <f>_xlfn.XLOOKUP(L6680,'[3]2025 Mapping v3'!A:A,'[3]2025 Mapping v3'!D:D,"Error",0)</f>
        <v>Error</v>
      </c>
      <c r="AF6680" s="18" t="str">
        <f>_xlfn.XLOOKUP(L6680,'[3]2025 Mapping v3'!A:A,'[3]2025 Mapping v3'!E:E,"Error",0)</f>
        <v>Error</v>
      </c>
    </row>
    <row r="6681" spans="27:32">
      <c r="AA6681" s="18">
        <f>_xlfn.XLOOKUP(Y6681,'[2]Data Source'!A:A,'[2]Data Source'!B:B,"N/A",0)</f>
        <v>0</v>
      </c>
      <c r="AB6681" s="18">
        <f t="shared" si="24"/>
        <v>0</v>
      </c>
      <c r="AC6681" s="18" t="str">
        <f>_xlfn.XLOOKUP(L6681,'[3]2025 Mapping v3'!A:A,'[3]2025 Mapping v3'!B:B,"Error",0)</f>
        <v>Error</v>
      </c>
      <c r="AD6681" s="18" t="str">
        <f>_xlfn.XLOOKUP(L6681,'[3]2025 Mapping v3'!A:A,'[3]2025 Mapping v3'!C:C,"Error",0)</f>
        <v>Error</v>
      </c>
      <c r="AE6681" s="18" t="str">
        <f>_xlfn.XLOOKUP(L6681,'[3]2025 Mapping v3'!A:A,'[3]2025 Mapping v3'!D:D,"Error",0)</f>
        <v>Error</v>
      </c>
      <c r="AF6681" s="18" t="str">
        <f>_xlfn.XLOOKUP(L6681,'[3]2025 Mapping v3'!A:A,'[3]2025 Mapping v3'!E:E,"Error",0)</f>
        <v>Error</v>
      </c>
    </row>
    <row r="6682" spans="27:32">
      <c r="AA6682" s="18">
        <f>_xlfn.XLOOKUP(Y6682,'[2]Data Source'!A:A,'[2]Data Source'!B:B,"N/A",0)</f>
        <v>0</v>
      </c>
      <c r="AB6682" s="18">
        <f t="shared" si="24"/>
        <v>0</v>
      </c>
      <c r="AC6682" s="18" t="str">
        <f>_xlfn.XLOOKUP(L6682,'[3]2025 Mapping v3'!A:A,'[3]2025 Mapping v3'!B:B,"Error",0)</f>
        <v>Error</v>
      </c>
      <c r="AD6682" s="18" t="str">
        <f>_xlfn.XLOOKUP(L6682,'[3]2025 Mapping v3'!A:A,'[3]2025 Mapping v3'!C:C,"Error",0)</f>
        <v>Error</v>
      </c>
      <c r="AE6682" s="18" t="str">
        <f>_xlfn.XLOOKUP(L6682,'[3]2025 Mapping v3'!A:A,'[3]2025 Mapping v3'!D:D,"Error",0)</f>
        <v>Error</v>
      </c>
      <c r="AF6682" s="18" t="str">
        <f>_xlfn.XLOOKUP(L6682,'[3]2025 Mapping v3'!A:A,'[3]2025 Mapping v3'!E:E,"Error",0)</f>
        <v>Error</v>
      </c>
    </row>
    <row r="6683" spans="27:32">
      <c r="AA6683" s="18">
        <f>_xlfn.XLOOKUP(Y6683,'[2]Data Source'!A:A,'[2]Data Source'!B:B,"N/A",0)</f>
        <v>0</v>
      </c>
      <c r="AB6683" s="18">
        <f t="shared" si="24"/>
        <v>0</v>
      </c>
      <c r="AC6683" s="18" t="str">
        <f>_xlfn.XLOOKUP(L6683,'[3]2025 Mapping v3'!A:A,'[3]2025 Mapping v3'!B:B,"Error",0)</f>
        <v>Error</v>
      </c>
      <c r="AD6683" s="18" t="str">
        <f>_xlfn.XLOOKUP(L6683,'[3]2025 Mapping v3'!A:A,'[3]2025 Mapping v3'!C:C,"Error",0)</f>
        <v>Error</v>
      </c>
      <c r="AE6683" s="18" t="str">
        <f>_xlfn.XLOOKUP(L6683,'[3]2025 Mapping v3'!A:A,'[3]2025 Mapping v3'!D:D,"Error",0)</f>
        <v>Error</v>
      </c>
      <c r="AF6683" s="18" t="str">
        <f>_xlfn.XLOOKUP(L6683,'[3]2025 Mapping v3'!A:A,'[3]2025 Mapping v3'!E:E,"Error",0)</f>
        <v>Error</v>
      </c>
    </row>
    <row r="6684" spans="27:32">
      <c r="AA6684" s="18">
        <f>_xlfn.XLOOKUP(Y6684,'[2]Data Source'!A:A,'[2]Data Source'!B:B,"N/A",0)</f>
        <v>0</v>
      </c>
      <c r="AB6684" s="18">
        <f t="shared" si="24"/>
        <v>0</v>
      </c>
      <c r="AC6684" s="18" t="str">
        <f>_xlfn.XLOOKUP(L6684,'[3]2025 Mapping v3'!A:A,'[3]2025 Mapping v3'!B:B,"Error",0)</f>
        <v>Error</v>
      </c>
      <c r="AD6684" s="18" t="str">
        <f>_xlfn.XLOOKUP(L6684,'[3]2025 Mapping v3'!A:A,'[3]2025 Mapping v3'!C:C,"Error",0)</f>
        <v>Error</v>
      </c>
      <c r="AE6684" s="18" t="str">
        <f>_xlfn.XLOOKUP(L6684,'[3]2025 Mapping v3'!A:A,'[3]2025 Mapping v3'!D:D,"Error",0)</f>
        <v>Error</v>
      </c>
      <c r="AF6684" s="18" t="str">
        <f>_xlfn.XLOOKUP(L6684,'[3]2025 Mapping v3'!A:A,'[3]2025 Mapping v3'!E:E,"Error",0)</f>
        <v>Error</v>
      </c>
    </row>
    <row r="6685" spans="27:32">
      <c r="AA6685" s="18">
        <f>_xlfn.XLOOKUP(Y6685,'[2]Data Source'!A:A,'[2]Data Source'!B:B,"N/A",0)</f>
        <v>0</v>
      </c>
      <c r="AB6685" s="18">
        <f t="shared" si="24"/>
        <v>0</v>
      </c>
      <c r="AC6685" s="18" t="str">
        <f>_xlfn.XLOOKUP(L6685,'[3]2025 Mapping v3'!A:A,'[3]2025 Mapping v3'!B:B,"Error",0)</f>
        <v>Error</v>
      </c>
      <c r="AD6685" s="18" t="str">
        <f>_xlfn.XLOOKUP(L6685,'[3]2025 Mapping v3'!A:A,'[3]2025 Mapping v3'!C:C,"Error",0)</f>
        <v>Error</v>
      </c>
      <c r="AE6685" s="18" t="str">
        <f>_xlfn.XLOOKUP(L6685,'[3]2025 Mapping v3'!A:A,'[3]2025 Mapping v3'!D:D,"Error",0)</f>
        <v>Error</v>
      </c>
      <c r="AF6685" s="18" t="str">
        <f>_xlfn.XLOOKUP(L6685,'[3]2025 Mapping v3'!A:A,'[3]2025 Mapping v3'!E:E,"Error",0)</f>
        <v>Error</v>
      </c>
    </row>
    <row r="6686" spans="27:32">
      <c r="AA6686" s="18">
        <f>_xlfn.XLOOKUP(Y6686,'[2]Data Source'!A:A,'[2]Data Source'!B:B,"N/A",0)</f>
        <v>0</v>
      </c>
      <c r="AB6686" s="18">
        <f t="shared" si="24"/>
        <v>0</v>
      </c>
      <c r="AC6686" s="18" t="str">
        <f>_xlfn.XLOOKUP(L6686,'[3]2025 Mapping v3'!A:A,'[3]2025 Mapping v3'!B:B,"Error",0)</f>
        <v>Error</v>
      </c>
      <c r="AD6686" s="18" t="str">
        <f>_xlfn.XLOOKUP(L6686,'[3]2025 Mapping v3'!A:A,'[3]2025 Mapping v3'!C:C,"Error",0)</f>
        <v>Error</v>
      </c>
      <c r="AE6686" s="18" t="str">
        <f>_xlfn.XLOOKUP(L6686,'[3]2025 Mapping v3'!A:A,'[3]2025 Mapping v3'!D:D,"Error",0)</f>
        <v>Error</v>
      </c>
      <c r="AF6686" s="18" t="str">
        <f>_xlfn.XLOOKUP(L6686,'[3]2025 Mapping v3'!A:A,'[3]2025 Mapping v3'!E:E,"Error",0)</f>
        <v>Error</v>
      </c>
    </row>
    <row r="6687" spans="27:32">
      <c r="AA6687" s="18">
        <f>_xlfn.XLOOKUP(Y6687,'[2]Data Source'!A:A,'[2]Data Source'!B:B,"N/A",0)</f>
        <v>0</v>
      </c>
      <c r="AB6687" s="18">
        <f t="shared" si="24"/>
        <v>0</v>
      </c>
      <c r="AC6687" s="18" t="str">
        <f>_xlfn.XLOOKUP(L6687,'[3]2025 Mapping v3'!A:A,'[3]2025 Mapping v3'!B:B,"Error",0)</f>
        <v>Error</v>
      </c>
      <c r="AD6687" s="18" t="str">
        <f>_xlfn.XLOOKUP(L6687,'[3]2025 Mapping v3'!A:A,'[3]2025 Mapping v3'!C:C,"Error",0)</f>
        <v>Error</v>
      </c>
      <c r="AE6687" s="18" t="str">
        <f>_xlfn.XLOOKUP(L6687,'[3]2025 Mapping v3'!A:A,'[3]2025 Mapping v3'!D:D,"Error",0)</f>
        <v>Error</v>
      </c>
      <c r="AF6687" s="18" t="str">
        <f>_xlfn.XLOOKUP(L6687,'[3]2025 Mapping v3'!A:A,'[3]2025 Mapping v3'!E:E,"Error",0)</f>
        <v>Error</v>
      </c>
    </row>
    <row r="6688" spans="27:32">
      <c r="AA6688" s="18">
        <f>_xlfn.XLOOKUP(Y6688,'[2]Data Source'!A:A,'[2]Data Source'!B:B,"N/A",0)</f>
        <v>0</v>
      </c>
      <c r="AB6688" s="18">
        <f t="shared" si="24"/>
        <v>0</v>
      </c>
      <c r="AC6688" s="18" t="str">
        <f>_xlfn.XLOOKUP(L6688,'[3]2025 Mapping v3'!A:A,'[3]2025 Mapping v3'!B:B,"Error",0)</f>
        <v>Error</v>
      </c>
      <c r="AD6688" s="18" t="str">
        <f>_xlfn.XLOOKUP(L6688,'[3]2025 Mapping v3'!A:A,'[3]2025 Mapping v3'!C:C,"Error",0)</f>
        <v>Error</v>
      </c>
      <c r="AE6688" s="18" t="str">
        <f>_xlfn.XLOOKUP(L6688,'[3]2025 Mapping v3'!A:A,'[3]2025 Mapping v3'!D:D,"Error",0)</f>
        <v>Error</v>
      </c>
      <c r="AF6688" s="18" t="str">
        <f>_xlfn.XLOOKUP(L6688,'[3]2025 Mapping v3'!A:A,'[3]2025 Mapping v3'!E:E,"Error",0)</f>
        <v>Error</v>
      </c>
    </row>
    <row r="6689" spans="27:32">
      <c r="AA6689" s="18">
        <f>_xlfn.XLOOKUP(Y6689,'[2]Data Source'!A:A,'[2]Data Source'!B:B,"N/A",0)</f>
        <v>0</v>
      </c>
      <c r="AB6689" s="18">
        <f t="shared" si="24"/>
        <v>0</v>
      </c>
      <c r="AC6689" s="18" t="str">
        <f>_xlfn.XLOOKUP(L6689,'[3]2025 Mapping v3'!A:A,'[3]2025 Mapping v3'!B:B,"Error",0)</f>
        <v>Error</v>
      </c>
      <c r="AD6689" s="18" t="str">
        <f>_xlfn.XLOOKUP(L6689,'[3]2025 Mapping v3'!A:A,'[3]2025 Mapping v3'!C:C,"Error",0)</f>
        <v>Error</v>
      </c>
      <c r="AE6689" s="18" t="str">
        <f>_xlfn.XLOOKUP(L6689,'[3]2025 Mapping v3'!A:A,'[3]2025 Mapping v3'!D:D,"Error",0)</f>
        <v>Error</v>
      </c>
      <c r="AF6689" s="18" t="str">
        <f>_xlfn.XLOOKUP(L6689,'[3]2025 Mapping v3'!A:A,'[3]2025 Mapping v3'!E:E,"Error",0)</f>
        <v>Error</v>
      </c>
    </row>
    <row r="6690" spans="27:32">
      <c r="AA6690" s="18">
        <f>_xlfn.XLOOKUP(Y6690,'[2]Data Source'!A:A,'[2]Data Source'!B:B,"N/A",0)</f>
        <v>0</v>
      </c>
      <c r="AB6690" s="18">
        <f t="shared" si="24"/>
        <v>0</v>
      </c>
      <c r="AC6690" s="18" t="str">
        <f>_xlfn.XLOOKUP(L6690,'[3]2025 Mapping v3'!A:A,'[3]2025 Mapping v3'!B:B,"Error",0)</f>
        <v>Error</v>
      </c>
      <c r="AD6690" s="18" t="str">
        <f>_xlfn.XLOOKUP(L6690,'[3]2025 Mapping v3'!A:A,'[3]2025 Mapping v3'!C:C,"Error",0)</f>
        <v>Error</v>
      </c>
      <c r="AE6690" s="18" t="str">
        <f>_xlfn.XLOOKUP(L6690,'[3]2025 Mapping v3'!A:A,'[3]2025 Mapping v3'!D:D,"Error",0)</f>
        <v>Error</v>
      </c>
      <c r="AF6690" s="18" t="str">
        <f>_xlfn.XLOOKUP(L6690,'[3]2025 Mapping v3'!A:A,'[3]2025 Mapping v3'!E:E,"Error",0)</f>
        <v>Error</v>
      </c>
    </row>
    <row r="6691" spans="27:32">
      <c r="AA6691" s="18">
        <f>_xlfn.XLOOKUP(Y6691,'[2]Data Source'!A:A,'[2]Data Source'!B:B,"N/A",0)</f>
        <v>0</v>
      </c>
      <c r="AB6691" s="18">
        <f t="shared" si="24"/>
        <v>0</v>
      </c>
      <c r="AC6691" s="18" t="str">
        <f>_xlfn.XLOOKUP(L6691,'[3]2025 Mapping v3'!A:A,'[3]2025 Mapping v3'!B:B,"Error",0)</f>
        <v>Error</v>
      </c>
      <c r="AD6691" s="18" t="str">
        <f>_xlfn.XLOOKUP(L6691,'[3]2025 Mapping v3'!A:A,'[3]2025 Mapping v3'!C:C,"Error",0)</f>
        <v>Error</v>
      </c>
      <c r="AE6691" s="18" t="str">
        <f>_xlfn.XLOOKUP(L6691,'[3]2025 Mapping v3'!A:A,'[3]2025 Mapping v3'!D:D,"Error",0)</f>
        <v>Error</v>
      </c>
      <c r="AF6691" s="18" t="str">
        <f>_xlfn.XLOOKUP(L6691,'[3]2025 Mapping v3'!A:A,'[3]2025 Mapping v3'!E:E,"Error",0)</f>
        <v>Error</v>
      </c>
    </row>
    <row r="6692" spans="27:32">
      <c r="AA6692" s="18">
        <f>_xlfn.XLOOKUP(Y6692,'[2]Data Source'!A:A,'[2]Data Source'!B:B,"N/A",0)</f>
        <v>0</v>
      </c>
      <c r="AB6692" s="18">
        <f t="shared" si="24"/>
        <v>0</v>
      </c>
      <c r="AC6692" s="18" t="str">
        <f>_xlfn.XLOOKUP(L6692,'[3]2025 Mapping v3'!A:A,'[3]2025 Mapping v3'!B:B,"Error",0)</f>
        <v>Error</v>
      </c>
      <c r="AD6692" s="18" t="str">
        <f>_xlfn.XLOOKUP(L6692,'[3]2025 Mapping v3'!A:A,'[3]2025 Mapping v3'!C:C,"Error",0)</f>
        <v>Error</v>
      </c>
      <c r="AE6692" s="18" t="str">
        <f>_xlfn.XLOOKUP(L6692,'[3]2025 Mapping v3'!A:A,'[3]2025 Mapping v3'!D:D,"Error",0)</f>
        <v>Error</v>
      </c>
      <c r="AF6692" s="18" t="str">
        <f>_xlfn.XLOOKUP(L6692,'[3]2025 Mapping v3'!A:A,'[3]2025 Mapping v3'!E:E,"Error",0)</f>
        <v>Error</v>
      </c>
    </row>
    <row r="6693" spans="27:32">
      <c r="AA6693" s="18">
        <f>_xlfn.XLOOKUP(Y6693,'[2]Data Source'!A:A,'[2]Data Source'!B:B,"N/A",0)</f>
        <v>0</v>
      </c>
      <c r="AB6693" s="18">
        <f t="shared" si="24"/>
        <v>0</v>
      </c>
      <c r="AC6693" s="18" t="str">
        <f>_xlfn.XLOOKUP(L6693,'[3]2025 Mapping v3'!A:A,'[3]2025 Mapping v3'!B:B,"Error",0)</f>
        <v>Error</v>
      </c>
      <c r="AD6693" s="18" t="str">
        <f>_xlfn.XLOOKUP(L6693,'[3]2025 Mapping v3'!A:A,'[3]2025 Mapping v3'!C:C,"Error",0)</f>
        <v>Error</v>
      </c>
      <c r="AE6693" s="18" t="str">
        <f>_xlfn.XLOOKUP(L6693,'[3]2025 Mapping v3'!A:A,'[3]2025 Mapping v3'!D:D,"Error",0)</f>
        <v>Error</v>
      </c>
      <c r="AF6693" s="18" t="str">
        <f>_xlfn.XLOOKUP(L6693,'[3]2025 Mapping v3'!A:A,'[3]2025 Mapping v3'!E:E,"Error",0)</f>
        <v>Error</v>
      </c>
    </row>
    <row r="6694" spans="27:32">
      <c r="AA6694" s="18">
        <f>_xlfn.XLOOKUP(Y6694,'[2]Data Source'!A:A,'[2]Data Source'!B:B,"N/A",0)</f>
        <v>0</v>
      </c>
      <c r="AB6694" s="18">
        <f t="shared" si="24"/>
        <v>0</v>
      </c>
      <c r="AC6694" s="18" t="str">
        <f>_xlfn.XLOOKUP(L6694,'[3]2025 Mapping v3'!A:A,'[3]2025 Mapping v3'!B:B,"Error",0)</f>
        <v>Error</v>
      </c>
      <c r="AD6694" s="18" t="str">
        <f>_xlfn.XLOOKUP(L6694,'[3]2025 Mapping v3'!A:A,'[3]2025 Mapping v3'!C:C,"Error",0)</f>
        <v>Error</v>
      </c>
      <c r="AE6694" s="18" t="str">
        <f>_xlfn.XLOOKUP(L6694,'[3]2025 Mapping v3'!A:A,'[3]2025 Mapping v3'!D:D,"Error",0)</f>
        <v>Error</v>
      </c>
      <c r="AF6694" s="18" t="str">
        <f>_xlfn.XLOOKUP(L6694,'[3]2025 Mapping v3'!A:A,'[3]2025 Mapping v3'!E:E,"Error",0)</f>
        <v>Error</v>
      </c>
    </row>
    <row r="6695" spans="27:32">
      <c r="AA6695" s="18">
        <f>_xlfn.XLOOKUP(Y6695,'[2]Data Source'!A:A,'[2]Data Source'!B:B,"N/A",0)</f>
        <v>0</v>
      </c>
      <c r="AB6695" s="18">
        <f t="shared" si="24"/>
        <v>0</v>
      </c>
      <c r="AC6695" s="18" t="str">
        <f>_xlfn.XLOOKUP(L6695,'[3]2025 Mapping v3'!A:A,'[3]2025 Mapping v3'!B:B,"Error",0)</f>
        <v>Error</v>
      </c>
      <c r="AD6695" s="18" t="str">
        <f>_xlfn.XLOOKUP(L6695,'[3]2025 Mapping v3'!A:A,'[3]2025 Mapping v3'!C:C,"Error",0)</f>
        <v>Error</v>
      </c>
      <c r="AE6695" s="18" t="str">
        <f>_xlfn.XLOOKUP(L6695,'[3]2025 Mapping v3'!A:A,'[3]2025 Mapping v3'!D:D,"Error",0)</f>
        <v>Error</v>
      </c>
      <c r="AF6695" s="18" t="str">
        <f>_xlfn.XLOOKUP(L6695,'[3]2025 Mapping v3'!A:A,'[3]2025 Mapping v3'!E:E,"Error",0)</f>
        <v>Error</v>
      </c>
    </row>
    <row r="6696" spans="27:32">
      <c r="AA6696" s="18">
        <f>_xlfn.XLOOKUP(Y6696,'[2]Data Source'!A:A,'[2]Data Source'!B:B,"N/A",0)</f>
        <v>0</v>
      </c>
      <c r="AB6696" s="18">
        <f t="shared" si="24"/>
        <v>0</v>
      </c>
      <c r="AC6696" s="18" t="str">
        <f>_xlfn.XLOOKUP(L6696,'[3]2025 Mapping v3'!A:A,'[3]2025 Mapping v3'!B:B,"Error",0)</f>
        <v>Error</v>
      </c>
      <c r="AD6696" s="18" t="str">
        <f>_xlfn.XLOOKUP(L6696,'[3]2025 Mapping v3'!A:A,'[3]2025 Mapping v3'!C:C,"Error",0)</f>
        <v>Error</v>
      </c>
      <c r="AE6696" s="18" t="str">
        <f>_xlfn.XLOOKUP(L6696,'[3]2025 Mapping v3'!A:A,'[3]2025 Mapping v3'!D:D,"Error",0)</f>
        <v>Error</v>
      </c>
      <c r="AF6696" s="18" t="str">
        <f>_xlfn.XLOOKUP(L6696,'[3]2025 Mapping v3'!A:A,'[3]2025 Mapping v3'!E:E,"Error",0)</f>
        <v>Error</v>
      </c>
    </row>
    <row r="6697" spans="27:32">
      <c r="AA6697" s="18">
        <f>_xlfn.XLOOKUP(Y6697,'[2]Data Source'!A:A,'[2]Data Source'!B:B,"N/A",0)</f>
        <v>0</v>
      </c>
      <c r="AB6697" s="18">
        <f t="shared" si="24"/>
        <v>0</v>
      </c>
      <c r="AC6697" s="18" t="str">
        <f>_xlfn.XLOOKUP(L6697,'[3]2025 Mapping v3'!A:A,'[3]2025 Mapping v3'!B:B,"Error",0)</f>
        <v>Error</v>
      </c>
      <c r="AD6697" s="18" t="str">
        <f>_xlfn.XLOOKUP(L6697,'[3]2025 Mapping v3'!A:A,'[3]2025 Mapping v3'!C:C,"Error",0)</f>
        <v>Error</v>
      </c>
      <c r="AE6697" s="18" t="str">
        <f>_xlfn.XLOOKUP(L6697,'[3]2025 Mapping v3'!A:A,'[3]2025 Mapping v3'!D:D,"Error",0)</f>
        <v>Error</v>
      </c>
      <c r="AF6697" s="18" t="str">
        <f>_xlfn.XLOOKUP(L6697,'[3]2025 Mapping v3'!A:A,'[3]2025 Mapping v3'!E:E,"Error",0)</f>
        <v>Error</v>
      </c>
    </row>
    <row r="6698" spans="27:32">
      <c r="AA6698" s="18">
        <f>_xlfn.XLOOKUP(Y6698,'[2]Data Source'!A:A,'[2]Data Source'!B:B,"N/A",0)</f>
        <v>0</v>
      </c>
      <c r="AB6698" s="18">
        <f t="shared" si="24"/>
        <v>0</v>
      </c>
      <c r="AC6698" s="18" t="str">
        <f>_xlfn.XLOOKUP(L6698,'[3]2025 Mapping v3'!A:A,'[3]2025 Mapping v3'!B:B,"Error",0)</f>
        <v>Error</v>
      </c>
      <c r="AD6698" s="18" t="str">
        <f>_xlfn.XLOOKUP(L6698,'[3]2025 Mapping v3'!A:A,'[3]2025 Mapping v3'!C:C,"Error",0)</f>
        <v>Error</v>
      </c>
      <c r="AE6698" s="18" t="str">
        <f>_xlfn.XLOOKUP(L6698,'[3]2025 Mapping v3'!A:A,'[3]2025 Mapping v3'!D:D,"Error",0)</f>
        <v>Error</v>
      </c>
      <c r="AF6698" s="18" t="str">
        <f>_xlfn.XLOOKUP(L6698,'[3]2025 Mapping v3'!A:A,'[3]2025 Mapping v3'!E:E,"Error",0)</f>
        <v>Error</v>
      </c>
    </row>
    <row r="6699" spans="27:32">
      <c r="AA6699" s="18">
        <f>_xlfn.XLOOKUP(Y6699,'[2]Data Source'!A:A,'[2]Data Source'!B:B,"N/A",0)</f>
        <v>0</v>
      </c>
      <c r="AB6699" s="18">
        <f t="shared" si="24"/>
        <v>0</v>
      </c>
      <c r="AC6699" s="18" t="str">
        <f>_xlfn.XLOOKUP(L6699,'[3]2025 Mapping v3'!A:A,'[3]2025 Mapping v3'!B:B,"Error",0)</f>
        <v>Error</v>
      </c>
      <c r="AD6699" s="18" t="str">
        <f>_xlfn.XLOOKUP(L6699,'[3]2025 Mapping v3'!A:A,'[3]2025 Mapping v3'!C:C,"Error",0)</f>
        <v>Error</v>
      </c>
      <c r="AE6699" s="18" t="str">
        <f>_xlfn.XLOOKUP(L6699,'[3]2025 Mapping v3'!A:A,'[3]2025 Mapping v3'!D:D,"Error",0)</f>
        <v>Error</v>
      </c>
      <c r="AF6699" s="18" t="str">
        <f>_xlfn.XLOOKUP(L6699,'[3]2025 Mapping v3'!A:A,'[3]2025 Mapping v3'!E:E,"Error",0)</f>
        <v>Error</v>
      </c>
    </row>
    <row r="6700" spans="27:32">
      <c r="AA6700" s="18">
        <f>_xlfn.XLOOKUP(Y6700,'[2]Data Source'!A:A,'[2]Data Source'!B:B,"N/A",0)</f>
        <v>0</v>
      </c>
      <c r="AB6700" s="18">
        <f t="shared" si="24"/>
        <v>0</v>
      </c>
      <c r="AC6700" s="18" t="str">
        <f>_xlfn.XLOOKUP(L6700,'[3]2025 Mapping v3'!A:A,'[3]2025 Mapping v3'!B:B,"Error",0)</f>
        <v>Error</v>
      </c>
      <c r="AD6700" s="18" t="str">
        <f>_xlfn.XLOOKUP(L6700,'[3]2025 Mapping v3'!A:A,'[3]2025 Mapping v3'!C:C,"Error",0)</f>
        <v>Error</v>
      </c>
      <c r="AE6700" s="18" t="str">
        <f>_xlfn.XLOOKUP(L6700,'[3]2025 Mapping v3'!A:A,'[3]2025 Mapping v3'!D:D,"Error",0)</f>
        <v>Error</v>
      </c>
      <c r="AF6700" s="18" t="str">
        <f>_xlfn.XLOOKUP(L6700,'[3]2025 Mapping v3'!A:A,'[3]2025 Mapping v3'!E:E,"Error",0)</f>
        <v>Error</v>
      </c>
    </row>
    <row r="6701" spans="27:32">
      <c r="AA6701" s="18">
        <f>_xlfn.XLOOKUP(Y6701,'[2]Data Source'!A:A,'[2]Data Source'!B:B,"N/A",0)</f>
        <v>0</v>
      </c>
      <c r="AB6701" s="18">
        <f t="shared" si="24"/>
        <v>0</v>
      </c>
      <c r="AC6701" s="18" t="str">
        <f>_xlfn.XLOOKUP(L6701,'[3]2025 Mapping v3'!A:A,'[3]2025 Mapping v3'!B:B,"Error",0)</f>
        <v>Error</v>
      </c>
      <c r="AD6701" s="18" t="str">
        <f>_xlfn.XLOOKUP(L6701,'[3]2025 Mapping v3'!A:A,'[3]2025 Mapping v3'!C:C,"Error",0)</f>
        <v>Error</v>
      </c>
      <c r="AE6701" s="18" t="str">
        <f>_xlfn.XLOOKUP(L6701,'[3]2025 Mapping v3'!A:A,'[3]2025 Mapping v3'!D:D,"Error",0)</f>
        <v>Error</v>
      </c>
      <c r="AF6701" s="18" t="str">
        <f>_xlfn.XLOOKUP(L6701,'[3]2025 Mapping v3'!A:A,'[3]2025 Mapping v3'!E:E,"Error",0)</f>
        <v>Error</v>
      </c>
    </row>
    <row r="6702" spans="27:32">
      <c r="AA6702" s="18">
        <f>_xlfn.XLOOKUP(Y6702,'[2]Data Source'!A:A,'[2]Data Source'!B:B,"N/A",0)</f>
        <v>0</v>
      </c>
      <c r="AB6702" s="18">
        <f t="shared" si="24"/>
        <v>0</v>
      </c>
      <c r="AC6702" s="18" t="str">
        <f>_xlfn.XLOOKUP(L6702,'[3]2025 Mapping v3'!A:A,'[3]2025 Mapping v3'!B:B,"Error",0)</f>
        <v>Error</v>
      </c>
      <c r="AD6702" s="18" t="str">
        <f>_xlfn.XLOOKUP(L6702,'[3]2025 Mapping v3'!A:A,'[3]2025 Mapping v3'!C:C,"Error",0)</f>
        <v>Error</v>
      </c>
      <c r="AE6702" s="18" t="str">
        <f>_xlfn.XLOOKUP(L6702,'[3]2025 Mapping v3'!A:A,'[3]2025 Mapping v3'!D:D,"Error",0)</f>
        <v>Error</v>
      </c>
      <c r="AF6702" s="18" t="str">
        <f>_xlfn.XLOOKUP(L6702,'[3]2025 Mapping v3'!A:A,'[3]2025 Mapping v3'!E:E,"Error",0)</f>
        <v>Error</v>
      </c>
    </row>
    <row r="6703" spans="27:32">
      <c r="AA6703" s="18">
        <f>_xlfn.XLOOKUP(Y6703,'[2]Data Source'!A:A,'[2]Data Source'!B:B,"N/A",0)</f>
        <v>0</v>
      </c>
      <c r="AB6703" s="18">
        <f t="shared" si="24"/>
        <v>0</v>
      </c>
      <c r="AC6703" s="18" t="str">
        <f>_xlfn.XLOOKUP(L6703,'[3]2025 Mapping v3'!A:A,'[3]2025 Mapping v3'!B:B,"Error",0)</f>
        <v>Error</v>
      </c>
      <c r="AD6703" s="18" t="str">
        <f>_xlfn.XLOOKUP(L6703,'[3]2025 Mapping v3'!A:A,'[3]2025 Mapping v3'!C:C,"Error",0)</f>
        <v>Error</v>
      </c>
      <c r="AE6703" s="18" t="str">
        <f>_xlfn.XLOOKUP(L6703,'[3]2025 Mapping v3'!A:A,'[3]2025 Mapping v3'!D:D,"Error",0)</f>
        <v>Error</v>
      </c>
      <c r="AF6703" s="18" t="str">
        <f>_xlfn.XLOOKUP(L6703,'[3]2025 Mapping v3'!A:A,'[3]2025 Mapping v3'!E:E,"Error",0)</f>
        <v>Error</v>
      </c>
    </row>
    <row r="6704" spans="27:32">
      <c r="AA6704" s="18">
        <f>_xlfn.XLOOKUP(Y6704,'[2]Data Source'!A:A,'[2]Data Source'!B:B,"N/A",0)</f>
        <v>0</v>
      </c>
      <c r="AB6704" s="18">
        <f t="shared" si="24"/>
        <v>0</v>
      </c>
      <c r="AC6704" s="18" t="str">
        <f>_xlfn.XLOOKUP(L6704,'[3]2025 Mapping v3'!A:A,'[3]2025 Mapping v3'!B:B,"Error",0)</f>
        <v>Error</v>
      </c>
      <c r="AD6704" s="18" t="str">
        <f>_xlfn.XLOOKUP(L6704,'[3]2025 Mapping v3'!A:A,'[3]2025 Mapping v3'!C:C,"Error",0)</f>
        <v>Error</v>
      </c>
      <c r="AE6704" s="18" t="str">
        <f>_xlfn.XLOOKUP(L6704,'[3]2025 Mapping v3'!A:A,'[3]2025 Mapping v3'!D:D,"Error",0)</f>
        <v>Error</v>
      </c>
      <c r="AF6704" s="18" t="str">
        <f>_xlfn.XLOOKUP(L6704,'[3]2025 Mapping v3'!A:A,'[3]2025 Mapping v3'!E:E,"Error",0)</f>
        <v>Error</v>
      </c>
    </row>
    <row r="6705" spans="27:32">
      <c r="AA6705" s="18">
        <f>_xlfn.XLOOKUP(Y6705,'[2]Data Source'!A:A,'[2]Data Source'!B:B,"N/A",0)</f>
        <v>0</v>
      </c>
      <c r="AB6705" s="18">
        <f t="shared" si="24"/>
        <v>0</v>
      </c>
      <c r="AC6705" s="18" t="str">
        <f>_xlfn.XLOOKUP(L6705,'[3]2025 Mapping v3'!A:A,'[3]2025 Mapping v3'!B:B,"Error",0)</f>
        <v>Error</v>
      </c>
      <c r="AD6705" s="18" t="str">
        <f>_xlfn.XLOOKUP(L6705,'[3]2025 Mapping v3'!A:A,'[3]2025 Mapping v3'!C:C,"Error",0)</f>
        <v>Error</v>
      </c>
      <c r="AE6705" s="18" t="str">
        <f>_xlfn.XLOOKUP(L6705,'[3]2025 Mapping v3'!A:A,'[3]2025 Mapping v3'!D:D,"Error",0)</f>
        <v>Error</v>
      </c>
      <c r="AF6705" s="18" t="str">
        <f>_xlfn.XLOOKUP(L6705,'[3]2025 Mapping v3'!A:A,'[3]2025 Mapping v3'!E:E,"Error",0)</f>
        <v>Error</v>
      </c>
    </row>
    <row r="6706" spans="27:32">
      <c r="AA6706" s="18">
        <f>_xlfn.XLOOKUP(Y6706,'[2]Data Source'!A:A,'[2]Data Source'!B:B,"N/A",0)</f>
        <v>0</v>
      </c>
      <c r="AB6706" s="18">
        <f t="shared" si="24"/>
        <v>0</v>
      </c>
      <c r="AC6706" s="18" t="str">
        <f>_xlfn.XLOOKUP(L6706,'[3]2025 Mapping v3'!A:A,'[3]2025 Mapping v3'!B:B,"Error",0)</f>
        <v>Error</v>
      </c>
      <c r="AD6706" s="18" t="str">
        <f>_xlfn.XLOOKUP(L6706,'[3]2025 Mapping v3'!A:A,'[3]2025 Mapping v3'!C:C,"Error",0)</f>
        <v>Error</v>
      </c>
      <c r="AE6706" s="18" t="str">
        <f>_xlfn.XLOOKUP(L6706,'[3]2025 Mapping v3'!A:A,'[3]2025 Mapping v3'!D:D,"Error",0)</f>
        <v>Error</v>
      </c>
      <c r="AF6706" s="18" t="str">
        <f>_xlfn.XLOOKUP(L6706,'[3]2025 Mapping v3'!A:A,'[3]2025 Mapping v3'!E:E,"Error",0)</f>
        <v>Error</v>
      </c>
    </row>
    <row r="6707" spans="27:32">
      <c r="AA6707" s="18">
        <f>_xlfn.XLOOKUP(Y6707,'[2]Data Source'!A:A,'[2]Data Source'!B:B,"N/A",0)</f>
        <v>0</v>
      </c>
      <c r="AB6707" s="18">
        <f t="shared" si="24"/>
        <v>0</v>
      </c>
      <c r="AC6707" s="18" t="str">
        <f>_xlfn.XLOOKUP(L6707,'[3]2025 Mapping v3'!A:A,'[3]2025 Mapping v3'!B:B,"Error",0)</f>
        <v>Error</v>
      </c>
      <c r="AD6707" s="18" t="str">
        <f>_xlfn.XLOOKUP(L6707,'[3]2025 Mapping v3'!A:A,'[3]2025 Mapping v3'!C:C,"Error",0)</f>
        <v>Error</v>
      </c>
      <c r="AE6707" s="18" t="str">
        <f>_xlfn.XLOOKUP(L6707,'[3]2025 Mapping v3'!A:A,'[3]2025 Mapping v3'!D:D,"Error",0)</f>
        <v>Error</v>
      </c>
      <c r="AF6707" s="18" t="str">
        <f>_xlfn.XLOOKUP(L6707,'[3]2025 Mapping v3'!A:A,'[3]2025 Mapping v3'!E:E,"Error",0)</f>
        <v>Error</v>
      </c>
    </row>
    <row r="6708" spans="27:32">
      <c r="AA6708" s="18">
        <f>_xlfn.XLOOKUP(Y6708,'[2]Data Source'!A:A,'[2]Data Source'!B:B,"N/A",0)</f>
        <v>0</v>
      </c>
      <c r="AB6708" s="18">
        <f t="shared" si="24"/>
        <v>0</v>
      </c>
      <c r="AC6708" s="18" t="str">
        <f>_xlfn.XLOOKUP(L6708,'[3]2025 Mapping v3'!A:A,'[3]2025 Mapping v3'!B:B,"Error",0)</f>
        <v>Error</v>
      </c>
      <c r="AD6708" s="18" t="str">
        <f>_xlfn.XLOOKUP(L6708,'[3]2025 Mapping v3'!A:A,'[3]2025 Mapping v3'!C:C,"Error",0)</f>
        <v>Error</v>
      </c>
      <c r="AE6708" s="18" t="str">
        <f>_xlfn.XLOOKUP(L6708,'[3]2025 Mapping v3'!A:A,'[3]2025 Mapping v3'!D:D,"Error",0)</f>
        <v>Error</v>
      </c>
      <c r="AF6708" s="18" t="str">
        <f>_xlfn.XLOOKUP(L6708,'[3]2025 Mapping v3'!A:A,'[3]2025 Mapping v3'!E:E,"Error",0)</f>
        <v>Error</v>
      </c>
    </row>
    <row r="6709" spans="27:32">
      <c r="AA6709" s="18">
        <f>_xlfn.XLOOKUP(Y6709,'[2]Data Source'!A:A,'[2]Data Source'!B:B,"N/A",0)</f>
        <v>0</v>
      </c>
      <c r="AB6709" s="18">
        <f t="shared" si="24"/>
        <v>0</v>
      </c>
      <c r="AC6709" s="18" t="str">
        <f>_xlfn.XLOOKUP(L6709,'[3]2025 Mapping v3'!A:A,'[3]2025 Mapping v3'!B:B,"Error",0)</f>
        <v>Error</v>
      </c>
      <c r="AD6709" s="18" t="str">
        <f>_xlfn.XLOOKUP(L6709,'[3]2025 Mapping v3'!A:A,'[3]2025 Mapping v3'!C:C,"Error",0)</f>
        <v>Error</v>
      </c>
      <c r="AE6709" s="18" t="str">
        <f>_xlfn.XLOOKUP(L6709,'[3]2025 Mapping v3'!A:A,'[3]2025 Mapping v3'!D:D,"Error",0)</f>
        <v>Error</v>
      </c>
      <c r="AF6709" s="18" t="str">
        <f>_xlfn.XLOOKUP(L6709,'[3]2025 Mapping v3'!A:A,'[3]2025 Mapping v3'!E:E,"Error",0)</f>
        <v>Error</v>
      </c>
    </row>
    <row r="6710" spans="27:32">
      <c r="AA6710" s="18">
        <f>_xlfn.XLOOKUP(Y6710,'[2]Data Source'!A:A,'[2]Data Source'!B:B,"N/A",0)</f>
        <v>0</v>
      </c>
      <c r="AB6710" s="18">
        <f t="shared" si="24"/>
        <v>0</v>
      </c>
      <c r="AC6710" s="18" t="str">
        <f>_xlfn.XLOOKUP(L6710,'[3]2025 Mapping v3'!A:A,'[3]2025 Mapping v3'!B:B,"Error",0)</f>
        <v>Error</v>
      </c>
      <c r="AD6710" s="18" t="str">
        <f>_xlfn.XLOOKUP(L6710,'[3]2025 Mapping v3'!A:A,'[3]2025 Mapping v3'!C:C,"Error",0)</f>
        <v>Error</v>
      </c>
      <c r="AE6710" s="18" t="str">
        <f>_xlfn.XLOOKUP(L6710,'[3]2025 Mapping v3'!A:A,'[3]2025 Mapping v3'!D:D,"Error",0)</f>
        <v>Error</v>
      </c>
      <c r="AF6710" s="18" t="str">
        <f>_xlfn.XLOOKUP(L6710,'[3]2025 Mapping v3'!A:A,'[3]2025 Mapping v3'!E:E,"Error",0)</f>
        <v>Error</v>
      </c>
    </row>
    <row r="6711" spans="27:32">
      <c r="AA6711" s="18">
        <f>_xlfn.XLOOKUP(Y6711,'[2]Data Source'!A:A,'[2]Data Source'!B:B,"N/A",0)</f>
        <v>0</v>
      </c>
      <c r="AB6711" s="18">
        <f t="shared" si="24"/>
        <v>0</v>
      </c>
      <c r="AC6711" s="18" t="str">
        <f>_xlfn.XLOOKUP(L6711,'[3]2025 Mapping v3'!A:A,'[3]2025 Mapping v3'!B:B,"Error",0)</f>
        <v>Error</v>
      </c>
      <c r="AD6711" s="18" t="str">
        <f>_xlfn.XLOOKUP(L6711,'[3]2025 Mapping v3'!A:A,'[3]2025 Mapping v3'!C:C,"Error",0)</f>
        <v>Error</v>
      </c>
      <c r="AE6711" s="18" t="str">
        <f>_xlfn.XLOOKUP(L6711,'[3]2025 Mapping v3'!A:A,'[3]2025 Mapping v3'!D:D,"Error",0)</f>
        <v>Error</v>
      </c>
      <c r="AF6711" s="18" t="str">
        <f>_xlfn.XLOOKUP(L6711,'[3]2025 Mapping v3'!A:A,'[3]2025 Mapping v3'!E:E,"Error",0)</f>
        <v>Error</v>
      </c>
    </row>
    <row r="6712" spans="27:32">
      <c r="AA6712" s="18">
        <f>_xlfn.XLOOKUP(Y6712,'[2]Data Source'!A:A,'[2]Data Source'!B:B,"N/A",0)</f>
        <v>0</v>
      </c>
      <c r="AB6712" s="18">
        <f t="shared" si="24"/>
        <v>0</v>
      </c>
      <c r="AC6712" s="18" t="str">
        <f>_xlfn.XLOOKUP(L6712,'[3]2025 Mapping v3'!A:A,'[3]2025 Mapping v3'!B:B,"Error",0)</f>
        <v>Error</v>
      </c>
      <c r="AD6712" s="18" t="str">
        <f>_xlfn.XLOOKUP(L6712,'[3]2025 Mapping v3'!A:A,'[3]2025 Mapping v3'!C:C,"Error",0)</f>
        <v>Error</v>
      </c>
      <c r="AE6712" s="18" t="str">
        <f>_xlfn.XLOOKUP(L6712,'[3]2025 Mapping v3'!A:A,'[3]2025 Mapping v3'!D:D,"Error",0)</f>
        <v>Error</v>
      </c>
      <c r="AF6712" s="18" t="str">
        <f>_xlfn.XLOOKUP(L6712,'[3]2025 Mapping v3'!A:A,'[3]2025 Mapping v3'!E:E,"Error",0)</f>
        <v>Error</v>
      </c>
    </row>
    <row r="6713" spans="27:32">
      <c r="AA6713" s="18">
        <f>_xlfn.XLOOKUP(Y6713,'[2]Data Source'!A:A,'[2]Data Source'!B:B,"N/A",0)</f>
        <v>0</v>
      </c>
      <c r="AB6713" s="18">
        <f t="shared" si="24"/>
        <v>0</v>
      </c>
      <c r="AC6713" s="18" t="str">
        <f>_xlfn.XLOOKUP(L6713,'[3]2025 Mapping v3'!A:A,'[3]2025 Mapping v3'!B:B,"Error",0)</f>
        <v>Error</v>
      </c>
      <c r="AD6713" s="18" t="str">
        <f>_xlfn.XLOOKUP(L6713,'[3]2025 Mapping v3'!A:A,'[3]2025 Mapping v3'!C:C,"Error",0)</f>
        <v>Error</v>
      </c>
      <c r="AE6713" s="18" t="str">
        <f>_xlfn.XLOOKUP(L6713,'[3]2025 Mapping v3'!A:A,'[3]2025 Mapping v3'!D:D,"Error",0)</f>
        <v>Error</v>
      </c>
      <c r="AF6713" s="18" t="str">
        <f>_xlfn.XLOOKUP(L6713,'[3]2025 Mapping v3'!A:A,'[3]2025 Mapping v3'!E:E,"Error",0)</f>
        <v>Error</v>
      </c>
    </row>
    <row r="6714" spans="27:32">
      <c r="AA6714" s="18">
        <f>_xlfn.XLOOKUP(Y6714,'[2]Data Source'!A:A,'[2]Data Source'!B:B,"N/A",0)</f>
        <v>0</v>
      </c>
      <c r="AB6714" s="18">
        <f t="shared" si="24"/>
        <v>0</v>
      </c>
      <c r="AC6714" s="18" t="str">
        <f>_xlfn.XLOOKUP(L6714,'[3]2025 Mapping v3'!A:A,'[3]2025 Mapping v3'!B:B,"Error",0)</f>
        <v>Error</v>
      </c>
      <c r="AD6714" s="18" t="str">
        <f>_xlfn.XLOOKUP(L6714,'[3]2025 Mapping v3'!A:A,'[3]2025 Mapping v3'!C:C,"Error",0)</f>
        <v>Error</v>
      </c>
      <c r="AE6714" s="18" t="str">
        <f>_xlfn.XLOOKUP(L6714,'[3]2025 Mapping v3'!A:A,'[3]2025 Mapping v3'!D:D,"Error",0)</f>
        <v>Error</v>
      </c>
      <c r="AF6714" s="18" t="str">
        <f>_xlfn.XLOOKUP(L6714,'[3]2025 Mapping v3'!A:A,'[3]2025 Mapping v3'!E:E,"Error",0)</f>
        <v>Error</v>
      </c>
    </row>
    <row r="6715" spans="27:32">
      <c r="AA6715" s="18">
        <f>_xlfn.XLOOKUP(Y6715,'[2]Data Source'!A:A,'[2]Data Source'!B:B,"N/A",0)</f>
        <v>0</v>
      </c>
      <c r="AB6715" s="18">
        <f t="shared" si="24"/>
        <v>0</v>
      </c>
      <c r="AC6715" s="18" t="str">
        <f>_xlfn.XLOOKUP(L6715,'[3]2025 Mapping v3'!A:A,'[3]2025 Mapping v3'!B:B,"Error",0)</f>
        <v>Error</v>
      </c>
      <c r="AD6715" s="18" t="str">
        <f>_xlfn.XLOOKUP(L6715,'[3]2025 Mapping v3'!A:A,'[3]2025 Mapping v3'!C:C,"Error",0)</f>
        <v>Error</v>
      </c>
      <c r="AE6715" s="18" t="str">
        <f>_xlfn.XLOOKUP(L6715,'[3]2025 Mapping v3'!A:A,'[3]2025 Mapping v3'!D:D,"Error",0)</f>
        <v>Error</v>
      </c>
      <c r="AF6715" s="18" t="str">
        <f>_xlfn.XLOOKUP(L6715,'[3]2025 Mapping v3'!A:A,'[3]2025 Mapping v3'!E:E,"Error",0)</f>
        <v>Error</v>
      </c>
    </row>
    <row r="6716" spans="27:32">
      <c r="AA6716" s="18">
        <f>_xlfn.XLOOKUP(Y6716,'[2]Data Source'!A:A,'[2]Data Source'!B:B,"N/A",0)</f>
        <v>0</v>
      </c>
      <c r="AB6716" s="18">
        <f t="shared" si="24"/>
        <v>0</v>
      </c>
      <c r="AC6716" s="18" t="str">
        <f>_xlfn.XLOOKUP(L6716,'[3]2025 Mapping v3'!A:A,'[3]2025 Mapping v3'!B:B,"Error",0)</f>
        <v>Error</v>
      </c>
      <c r="AD6716" s="18" t="str">
        <f>_xlfn.XLOOKUP(L6716,'[3]2025 Mapping v3'!A:A,'[3]2025 Mapping v3'!C:C,"Error",0)</f>
        <v>Error</v>
      </c>
      <c r="AE6716" s="18" t="str">
        <f>_xlfn.XLOOKUP(L6716,'[3]2025 Mapping v3'!A:A,'[3]2025 Mapping v3'!D:D,"Error",0)</f>
        <v>Error</v>
      </c>
      <c r="AF6716" s="18" t="str">
        <f>_xlfn.XLOOKUP(L6716,'[3]2025 Mapping v3'!A:A,'[3]2025 Mapping v3'!E:E,"Error",0)</f>
        <v>Error</v>
      </c>
    </row>
    <row r="6717" spans="27:32">
      <c r="AA6717" s="18">
        <f>_xlfn.XLOOKUP(Y6717,'[2]Data Source'!A:A,'[2]Data Source'!B:B,"N/A",0)</f>
        <v>0</v>
      </c>
      <c r="AB6717" s="18">
        <f t="shared" si="24"/>
        <v>0</v>
      </c>
      <c r="AC6717" s="18" t="str">
        <f>_xlfn.XLOOKUP(L6717,'[3]2025 Mapping v3'!A:A,'[3]2025 Mapping v3'!B:B,"Error",0)</f>
        <v>Error</v>
      </c>
      <c r="AD6717" s="18" t="str">
        <f>_xlfn.XLOOKUP(L6717,'[3]2025 Mapping v3'!A:A,'[3]2025 Mapping v3'!C:C,"Error",0)</f>
        <v>Error</v>
      </c>
      <c r="AE6717" s="18" t="str">
        <f>_xlfn.XLOOKUP(L6717,'[3]2025 Mapping v3'!A:A,'[3]2025 Mapping v3'!D:D,"Error",0)</f>
        <v>Error</v>
      </c>
      <c r="AF6717" s="18" t="str">
        <f>_xlfn.XLOOKUP(L6717,'[3]2025 Mapping v3'!A:A,'[3]2025 Mapping v3'!E:E,"Error",0)</f>
        <v>Error</v>
      </c>
    </row>
    <row r="6718" spans="27:32">
      <c r="AA6718" s="18">
        <f>_xlfn.XLOOKUP(Y6718,'[2]Data Source'!A:A,'[2]Data Source'!B:B,"N/A",0)</f>
        <v>0</v>
      </c>
      <c r="AB6718" s="18">
        <f t="shared" si="24"/>
        <v>0</v>
      </c>
      <c r="AC6718" s="18" t="str">
        <f>_xlfn.XLOOKUP(L6718,'[3]2025 Mapping v3'!A:A,'[3]2025 Mapping v3'!B:B,"Error",0)</f>
        <v>Error</v>
      </c>
      <c r="AD6718" s="18" t="str">
        <f>_xlfn.XLOOKUP(L6718,'[3]2025 Mapping v3'!A:A,'[3]2025 Mapping v3'!C:C,"Error",0)</f>
        <v>Error</v>
      </c>
      <c r="AE6718" s="18" t="str">
        <f>_xlfn.XLOOKUP(L6718,'[3]2025 Mapping v3'!A:A,'[3]2025 Mapping v3'!D:D,"Error",0)</f>
        <v>Error</v>
      </c>
      <c r="AF6718" s="18" t="str">
        <f>_xlfn.XLOOKUP(L6718,'[3]2025 Mapping v3'!A:A,'[3]2025 Mapping v3'!E:E,"Error",0)</f>
        <v>Error</v>
      </c>
    </row>
    <row r="6719" spans="27:32">
      <c r="AA6719" s="18">
        <f>_xlfn.XLOOKUP(Y6719,'[2]Data Source'!A:A,'[2]Data Source'!B:B,"N/A",0)</f>
        <v>0</v>
      </c>
      <c r="AB6719" s="18">
        <f t="shared" si="24"/>
        <v>0</v>
      </c>
      <c r="AC6719" s="18" t="str">
        <f>_xlfn.XLOOKUP(L6719,'[3]2025 Mapping v3'!A:A,'[3]2025 Mapping v3'!B:B,"Error",0)</f>
        <v>Error</v>
      </c>
      <c r="AD6719" s="18" t="str">
        <f>_xlfn.XLOOKUP(L6719,'[3]2025 Mapping v3'!A:A,'[3]2025 Mapping v3'!C:C,"Error",0)</f>
        <v>Error</v>
      </c>
      <c r="AE6719" s="18" t="str">
        <f>_xlfn.XLOOKUP(L6719,'[3]2025 Mapping v3'!A:A,'[3]2025 Mapping v3'!D:D,"Error",0)</f>
        <v>Error</v>
      </c>
      <c r="AF6719" s="18" t="str">
        <f>_xlfn.XLOOKUP(L6719,'[3]2025 Mapping v3'!A:A,'[3]2025 Mapping v3'!E:E,"Error",0)</f>
        <v>Error</v>
      </c>
    </row>
    <row r="6720" spans="27:32">
      <c r="AA6720" s="18">
        <f>_xlfn.XLOOKUP(Y6720,'[2]Data Source'!A:A,'[2]Data Source'!B:B,"N/A",0)</f>
        <v>0</v>
      </c>
      <c r="AB6720" s="18">
        <f t="shared" si="24"/>
        <v>0</v>
      </c>
      <c r="AC6720" s="18" t="str">
        <f>_xlfn.XLOOKUP(L6720,'[3]2025 Mapping v3'!A:A,'[3]2025 Mapping v3'!B:B,"Error",0)</f>
        <v>Error</v>
      </c>
      <c r="AD6720" s="18" t="str">
        <f>_xlfn.XLOOKUP(L6720,'[3]2025 Mapping v3'!A:A,'[3]2025 Mapping v3'!C:C,"Error",0)</f>
        <v>Error</v>
      </c>
      <c r="AE6720" s="18" t="str">
        <f>_xlfn.XLOOKUP(L6720,'[3]2025 Mapping v3'!A:A,'[3]2025 Mapping v3'!D:D,"Error",0)</f>
        <v>Error</v>
      </c>
      <c r="AF6720" s="18" t="str">
        <f>_xlfn.XLOOKUP(L6720,'[3]2025 Mapping v3'!A:A,'[3]2025 Mapping v3'!E:E,"Error",0)</f>
        <v>Error</v>
      </c>
    </row>
    <row r="6721" spans="27:32">
      <c r="AA6721" s="18">
        <f>_xlfn.XLOOKUP(Y6721,'[2]Data Source'!A:A,'[2]Data Source'!B:B,"N/A",0)</f>
        <v>0</v>
      </c>
      <c r="AB6721" s="18">
        <f t="shared" si="24"/>
        <v>0</v>
      </c>
      <c r="AC6721" s="18" t="str">
        <f>_xlfn.XLOOKUP(L6721,'[3]2025 Mapping v3'!A:A,'[3]2025 Mapping v3'!B:B,"Error",0)</f>
        <v>Error</v>
      </c>
      <c r="AD6721" s="18" t="str">
        <f>_xlfn.XLOOKUP(L6721,'[3]2025 Mapping v3'!A:A,'[3]2025 Mapping v3'!C:C,"Error",0)</f>
        <v>Error</v>
      </c>
      <c r="AE6721" s="18" t="str">
        <f>_xlfn.XLOOKUP(L6721,'[3]2025 Mapping v3'!A:A,'[3]2025 Mapping v3'!D:D,"Error",0)</f>
        <v>Error</v>
      </c>
      <c r="AF6721" s="18" t="str">
        <f>_xlfn.XLOOKUP(L6721,'[3]2025 Mapping v3'!A:A,'[3]2025 Mapping v3'!E:E,"Error",0)</f>
        <v>Error</v>
      </c>
    </row>
    <row r="6722" spans="27:32">
      <c r="AA6722" s="18">
        <f>_xlfn.XLOOKUP(Y6722,'[2]Data Source'!A:A,'[2]Data Source'!B:B,"N/A",0)</f>
        <v>0</v>
      </c>
      <c r="AB6722" s="18">
        <f t="shared" si="24"/>
        <v>0</v>
      </c>
      <c r="AC6722" s="18" t="str">
        <f>_xlfn.XLOOKUP(L6722,'[3]2025 Mapping v3'!A:A,'[3]2025 Mapping v3'!B:B,"Error",0)</f>
        <v>Error</v>
      </c>
      <c r="AD6722" s="18" t="str">
        <f>_xlfn.XLOOKUP(L6722,'[3]2025 Mapping v3'!A:A,'[3]2025 Mapping v3'!C:C,"Error",0)</f>
        <v>Error</v>
      </c>
      <c r="AE6722" s="18" t="str">
        <f>_xlfn.XLOOKUP(L6722,'[3]2025 Mapping v3'!A:A,'[3]2025 Mapping v3'!D:D,"Error",0)</f>
        <v>Error</v>
      </c>
      <c r="AF6722" s="18" t="str">
        <f>_xlfn.XLOOKUP(L6722,'[3]2025 Mapping v3'!A:A,'[3]2025 Mapping v3'!E:E,"Error",0)</f>
        <v>Error</v>
      </c>
    </row>
    <row r="6723" spans="27:32">
      <c r="AA6723" s="18">
        <f>_xlfn.XLOOKUP(Y6723,'[2]Data Source'!A:A,'[2]Data Source'!B:B,"N/A",0)</f>
        <v>0</v>
      </c>
      <c r="AB6723" s="18">
        <f t="shared" si="24"/>
        <v>0</v>
      </c>
      <c r="AC6723" s="18" t="str">
        <f>_xlfn.XLOOKUP(L6723,'[3]2025 Mapping v3'!A:A,'[3]2025 Mapping v3'!B:B,"Error",0)</f>
        <v>Error</v>
      </c>
      <c r="AD6723" s="18" t="str">
        <f>_xlfn.XLOOKUP(L6723,'[3]2025 Mapping v3'!A:A,'[3]2025 Mapping v3'!C:C,"Error",0)</f>
        <v>Error</v>
      </c>
      <c r="AE6723" s="18" t="str">
        <f>_xlfn.XLOOKUP(L6723,'[3]2025 Mapping v3'!A:A,'[3]2025 Mapping v3'!D:D,"Error",0)</f>
        <v>Error</v>
      </c>
      <c r="AF6723" s="18" t="str">
        <f>_xlfn.XLOOKUP(L6723,'[3]2025 Mapping v3'!A:A,'[3]2025 Mapping v3'!E:E,"Error",0)</f>
        <v>Error</v>
      </c>
    </row>
    <row r="6724" spans="27:32">
      <c r="AA6724" s="18">
        <f>_xlfn.XLOOKUP(Y6724,'[2]Data Source'!A:A,'[2]Data Source'!B:B,"N/A",0)</f>
        <v>0</v>
      </c>
      <c r="AB6724" s="18">
        <f t="shared" si="24"/>
        <v>0</v>
      </c>
      <c r="AC6724" s="18" t="str">
        <f>_xlfn.XLOOKUP(L6724,'[3]2025 Mapping v3'!A:A,'[3]2025 Mapping v3'!B:B,"Error",0)</f>
        <v>Error</v>
      </c>
      <c r="AD6724" s="18" t="str">
        <f>_xlfn.XLOOKUP(L6724,'[3]2025 Mapping v3'!A:A,'[3]2025 Mapping v3'!C:C,"Error",0)</f>
        <v>Error</v>
      </c>
      <c r="AE6724" s="18" t="str">
        <f>_xlfn.XLOOKUP(L6724,'[3]2025 Mapping v3'!A:A,'[3]2025 Mapping v3'!D:D,"Error",0)</f>
        <v>Error</v>
      </c>
      <c r="AF6724" s="18" t="str">
        <f>_xlfn.XLOOKUP(L6724,'[3]2025 Mapping v3'!A:A,'[3]2025 Mapping v3'!E:E,"Error",0)</f>
        <v>Error</v>
      </c>
    </row>
    <row r="6725" spans="27:32">
      <c r="AA6725" s="18">
        <f>_xlfn.XLOOKUP(Y6725,'[2]Data Source'!A:A,'[2]Data Source'!B:B,"N/A",0)</f>
        <v>0</v>
      </c>
      <c r="AB6725" s="18">
        <f t="shared" si="24"/>
        <v>0</v>
      </c>
      <c r="AC6725" s="18" t="str">
        <f>_xlfn.XLOOKUP(L6725,'[3]2025 Mapping v3'!A:A,'[3]2025 Mapping v3'!B:B,"Error",0)</f>
        <v>Error</v>
      </c>
      <c r="AD6725" s="18" t="str">
        <f>_xlfn.XLOOKUP(L6725,'[3]2025 Mapping v3'!A:A,'[3]2025 Mapping v3'!C:C,"Error",0)</f>
        <v>Error</v>
      </c>
      <c r="AE6725" s="18" t="str">
        <f>_xlfn.XLOOKUP(L6725,'[3]2025 Mapping v3'!A:A,'[3]2025 Mapping v3'!D:D,"Error",0)</f>
        <v>Error</v>
      </c>
      <c r="AF6725" s="18" t="str">
        <f>_xlfn.XLOOKUP(L6725,'[3]2025 Mapping v3'!A:A,'[3]2025 Mapping v3'!E:E,"Error",0)</f>
        <v>Error</v>
      </c>
    </row>
    <row r="6726" spans="27:32">
      <c r="AA6726" s="18">
        <f>_xlfn.XLOOKUP(Y6726,'[2]Data Source'!A:A,'[2]Data Source'!B:B,"N/A",0)</f>
        <v>0</v>
      </c>
      <c r="AB6726" s="18">
        <f t="shared" si="24"/>
        <v>0</v>
      </c>
      <c r="AC6726" s="18" t="str">
        <f>_xlfn.XLOOKUP(L6726,'[3]2025 Mapping v3'!A:A,'[3]2025 Mapping v3'!B:B,"Error",0)</f>
        <v>Error</v>
      </c>
      <c r="AD6726" s="18" t="str">
        <f>_xlfn.XLOOKUP(L6726,'[3]2025 Mapping v3'!A:A,'[3]2025 Mapping v3'!C:C,"Error",0)</f>
        <v>Error</v>
      </c>
      <c r="AE6726" s="18" t="str">
        <f>_xlfn.XLOOKUP(L6726,'[3]2025 Mapping v3'!A:A,'[3]2025 Mapping v3'!D:D,"Error",0)</f>
        <v>Error</v>
      </c>
      <c r="AF6726" s="18" t="str">
        <f>_xlfn.XLOOKUP(L6726,'[3]2025 Mapping v3'!A:A,'[3]2025 Mapping v3'!E:E,"Error",0)</f>
        <v>Error</v>
      </c>
    </row>
    <row r="6727" spans="27:32">
      <c r="AA6727" s="18">
        <f>_xlfn.XLOOKUP(Y6727,'[2]Data Source'!A:A,'[2]Data Source'!B:B,"N/A",0)</f>
        <v>0</v>
      </c>
      <c r="AB6727" s="18">
        <f t="shared" si="24"/>
        <v>0</v>
      </c>
      <c r="AC6727" s="18" t="str">
        <f>_xlfn.XLOOKUP(L6727,'[3]2025 Mapping v3'!A:A,'[3]2025 Mapping v3'!B:B,"Error",0)</f>
        <v>Error</v>
      </c>
      <c r="AD6727" s="18" t="str">
        <f>_xlfn.XLOOKUP(L6727,'[3]2025 Mapping v3'!A:A,'[3]2025 Mapping v3'!C:C,"Error",0)</f>
        <v>Error</v>
      </c>
      <c r="AE6727" s="18" t="str">
        <f>_xlfn.XLOOKUP(L6727,'[3]2025 Mapping v3'!A:A,'[3]2025 Mapping v3'!D:D,"Error",0)</f>
        <v>Error</v>
      </c>
      <c r="AF6727" s="18" t="str">
        <f>_xlfn.XLOOKUP(L6727,'[3]2025 Mapping v3'!A:A,'[3]2025 Mapping v3'!E:E,"Error",0)</f>
        <v>Error</v>
      </c>
    </row>
    <row r="6728" spans="27:32">
      <c r="AA6728" s="18">
        <f>_xlfn.XLOOKUP(Y6728,'[2]Data Source'!A:A,'[2]Data Source'!B:B,"N/A",0)</f>
        <v>0</v>
      </c>
      <c r="AB6728" s="18">
        <f t="shared" si="24"/>
        <v>0</v>
      </c>
      <c r="AC6728" s="18" t="str">
        <f>_xlfn.XLOOKUP(L6728,'[3]2025 Mapping v3'!A:A,'[3]2025 Mapping v3'!B:B,"Error",0)</f>
        <v>Error</v>
      </c>
      <c r="AD6728" s="18" t="str">
        <f>_xlfn.XLOOKUP(L6728,'[3]2025 Mapping v3'!A:A,'[3]2025 Mapping v3'!C:C,"Error",0)</f>
        <v>Error</v>
      </c>
      <c r="AE6728" s="18" t="str">
        <f>_xlfn.XLOOKUP(L6728,'[3]2025 Mapping v3'!A:A,'[3]2025 Mapping v3'!D:D,"Error",0)</f>
        <v>Error</v>
      </c>
      <c r="AF6728" s="18" t="str">
        <f>_xlfn.XLOOKUP(L6728,'[3]2025 Mapping v3'!A:A,'[3]2025 Mapping v3'!E:E,"Error",0)</f>
        <v>Error</v>
      </c>
    </row>
    <row r="6729" spans="27:32">
      <c r="AA6729" s="18">
        <f>_xlfn.XLOOKUP(Y6729,'[2]Data Source'!A:A,'[2]Data Source'!B:B,"N/A",0)</f>
        <v>0</v>
      </c>
      <c r="AB6729" s="18">
        <f t="shared" ref="AB6729:AB6792" si="25">L6729</f>
        <v>0</v>
      </c>
      <c r="AC6729" s="18" t="str">
        <f>_xlfn.XLOOKUP(L6729,'[3]2025 Mapping v3'!A:A,'[3]2025 Mapping v3'!B:B,"Error",0)</f>
        <v>Error</v>
      </c>
      <c r="AD6729" s="18" t="str">
        <f>_xlfn.XLOOKUP(L6729,'[3]2025 Mapping v3'!A:A,'[3]2025 Mapping v3'!C:C,"Error",0)</f>
        <v>Error</v>
      </c>
      <c r="AE6729" s="18" t="str">
        <f>_xlfn.XLOOKUP(L6729,'[3]2025 Mapping v3'!A:A,'[3]2025 Mapping v3'!D:D,"Error",0)</f>
        <v>Error</v>
      </c>
      <c r="AF6729" s="18" t="str">
        <f>_xlfn.XLOOKUP(L6729,'[3]2025 Mapping v3'!A:A,'[3]2025 Mapping v3'!E:E,"Error",0)</f>
        <v>Error</v>
      </c>
    </row>
    <row r="6730" spans="27:32">
      <c r="AA6730" s="18">
        <f>_xlfn.XLOOKUP(Y6730,'[2]Data Source'!A:A,'[2]Data Source'!B:B,"N/A",0)</f>
        <v>0</v>
      </c>
      <c r="AB6730" s="18">
        <f t="shared" si="25"/>
        <v>0</v>
      </c>
      <c r="AC6730" s="18" t="str">
        <f>_xlfn.XLOOKUP(L6730,'[3]2025 Mapping v3'!A:A,'[3]2025 Mapping v3'!B:B,"Error",0)</f>
        <v>Error</v>
      </c>
      <c r="AD6730" s="18" t="str">
        <f>_xlfn.XLOOKUP(L6730,'[3]2025 Mapping v3'!A:A,'[3]2025 Mapping v3'!C:C,"Error",0)</f>
        <v>Error</v>
      </c>
      <c r="AE6730" s="18" t="str">
        <f>_xlfn.XLOOKUP(L6730,'[3]2025 Mapping v3'!A:A,'[3]2025 Mapping v3'!D:D,"Error",0)</f>
        <v>Error</v>
      </c>
      <c r="AF6730" s="18" t="str">
        <f>_xlfn.XLOOKUP(L6730,'[3]2025 Mapping v3'!A:A,'[3]2025 Mapping v3'!E:E,"Error",0)</f>
        <v>Error</v>
      </c>
    </row>
    <row r="6731" spans="27:32">
      <c r="AA6731" s="18">
        <f>_xlfn.XLOOKUP(Y6731,'[2]Data Source'!A:A,'[2]Data Source'!B:B,"N/A",0)</f>
        <v>0</v>
      </c>
      <c r="AB6731" s="18">
        <f t="shared" si="25"/>
        <v>0</v>
      </c>
      <c r="AC6731" s="18" t="str">
        <f>_xlfn.XLOOKUP(L6731,'[3]2025 Mapping v3'!A:A,'[3]2025 Mapping v3'!B:B,"Error",0)</f>
        <v>Error</v>
      </c>
      <c r="AD6731" s="18" t="str">
        <f>_xlfn.XLOOKUP(L6731,'[3]2025 Mapping v3'!A:A,'[3]2025 Mapping v3'!C:C,"Error",0)</f>
        <v>Error</v>
      </c>
      <c r="AE6731" s="18" t="str">
        <f>_xlfn.XLOOKUP(L6731,'[3]2025 Mapping v3'!A:A,'[3]2025 Mapping v3'!D:D,"Error",0)</f>
        <v>Error</v>
      </c>
      <c r="AF6731" s="18" t="str">
        <f>_xlfn.XLOOKUP(L6731,'[3]2025 Mapping v3'!A:A,'[3]2025 Mapping v3'!E:E,"Error",0)</f>
        <v>Error</v>
      </c>
    </row>
    <row r="6732" spans="27:32">
      <c r="AA6732" s="18">
        <f>_xlfn.XLOOKUP(Y6732,'[2]Data Source'!A:A,'[2]Data Source'!B:B,"N/A",0)</f>
        <v>0</v>
      </c>
      <c r="AB6732" s="18">
        <f t="shared" si="25"/>
        <v>0</v>
      </c>
      <c r="AC6732" s="18" t="str">
        <f>_xlfn.XLOOKUP(L6732,'[3]2025 Mapping v3'!A:A,'[3]2025 Mapping v3'!B:B,"Error",0)</f>
        <v>Error</v>
      </c>
      <c r="AD6732" s="18" t="str">
        <f>_xlfn.XLOOKUP(L6732,'[3]2025 Mapping v3'!A:A,'[3]2025 Mapping v3'!C:C,"Error",0)</f>
        <v>Error</v>
      </c>
      <c r="AE6732" s="18" t="str">
        <f>_xlfn.XLOOKUP(L6732,'[3]2025 Mapping v3'!A:A,'[3]2025 Mapping v3'!D:D,"Error",0)</f>
        <v>Error</v>
      </c>
      <c r="AF6732" s="18" t="str">
        <f>_xlfn.XLOOKUP(L6732,'[3]2025 Mapping v3'!A:A,'[3]2025 Mapping v3'!E:E,"Error",0)</f>
        <v>Error</v>
      </c>
    </row>
    <row r="6733" spans="27:32">
      <c r="AA6733" s="18">
        <f>_xlfn.XLOOKUP(Y6733,'[2]Data Source'!A:A,'[2]Data Source'!B:B,"N/A",0)</f>
        <v>0</v>
      </c>
      <c r="AB6733" s="18">
        <f t="shared" si="25"/>
        <v>0</v>
      </c>
      <c r="AC6733" s="18" t="str">
        <f>_xlfn.XLOOKUP(L6733,'[3]2025 Mapping v3'!A:A,'[3]2025 Mapping v3'!B:B,"Error",0)</f>
        <v>Error</v>
      </c>
      <c r="AD6733" s="18" t="str">
        <f>_xlfn.XLOOKUP(L6733,'[3]2025 Mapping v3'!A:A,'[3]2025 Mapping v3'!C:C,"Error",0)</f>
        <v>Error</v>
      </c>
      <c r="AE6733" s="18" t="str">
        <f>_xlfn.XLOOKUP(L6733,'[3]2025 Mapping v3'!A:A,'[3]2025 Mapping v3'!D:D,"Error",0)</f>
        <v>Error</v>
      </c>
      <c r="AF6733" s="18" t="str">
        <f>_xlfn.XLOOKUP(L6733,'[3]2025 Mapping v3'!A:A,'[3]2025 Mapping v3'!E:E,"Error",0)</f>
        <v>Error</v>
      </c>
    </row>
    <row r="6734" spans="27:32">
      <c r="AA6734" s="18">
        <f>_xlfn.XLOOKUP(Y6734,'[2]Data Source'!A:A,'[2]Data Source'!B:B,"N/A",0)</f>
        <v>0</v>
      </c>
      <c r="AB6734" s="18">
        <f t="shared" si="25"/>
        <v>0</v>
      </c>
      <c r="AC6734" s="18" t="str">
        <f>_xlfn.XLOOKUP(L6734,'[3]2025 Mapping v3'!A:A,'[3]2025 Mapping v3'!B:B,"Error",0)</f>
        <v>Error</v>
      </c>
      <c r="AD6734" s="18" t="str">
        <f>_xlfn.XLOOKUP(L6734,'[3]2025 Mapping v3'!A:A,'[3]2025 Mapping v3'!C:C,"Error",0)</f>
        <v>Error</v>
      </c>
      <c r="AE6734" s="18" t="str">
        <f>_xlfn.XLOOKUP(L6734,'[3]2025 Mapping v3'!A:A,'[3]2025 Mapping v3'!D:D,"Error",0)</f>
        <v>Error</v>
      </c>
      <c r="AF6734" s="18" t="str">
        <f>_xlfn.XLOOKUP(L6734,'[3]2025 Mapping v3'!A:A,'[3]2025 Mapping v3'!E:E,"Error",0)</f>
        <v>Error</v>
      </c>
    </row>
    <row r="6735" spans="27:32">
      <c r="AA6735" s="18">
        <f>_xlfn.XLOOKUP(Y6735,'[2]Data Source'!A:A,'[2]Data Source'!B:B,"N/A",0)</f>
        <v>0</v>
      </c>
      <c r="AB6735" s="18">
        <f t="shared" si="25"/>
        <v>0</v>
      </c>
      <c r="AC6735" s="18" t="str">
        <f>_xlfn.XLOOKUP(L6735,'[3]2025 Mapping v3'!A:A,'[3]2025 Mapping v3'!B:B,"Error",0)</f>
        <v>Error</v>
      </c>
      <c r="AD6735" s="18" t="str">
        <f>_xlfn.XLOOKUP(L6735,'[3]2025 Mapping v3'!A:A,'[3]2025 Mapping v3'!C:C,"Error",0)</f>
        <v>Error</v>
      </c>
      <c r="AE6735" s="18" t="str">
        <f>_xlfn.XLOOKUP(L6735,'[3]2025 Mapping v3'!A:A,'[3]2025 Mapping v3'!D:D,"Error",0)</f>
        <v>Error</v>
      </c>
      <c r="AF6735" s="18" t="str">
        <f>_xlfn.XLOOKUP(L6735,'[3]2025 Mapping v3'!A:A,'[3]2025 Mapping v3'!E:E,"Error",0)</f>
        <v>Error</v>
      </c>
    </row>
    <row r="6736" spans="27:32">
      <c r="AA6736" s="18">
        <f>_xlfn.XLOOKUP(Y6736,'[2]Data Source'!A:A,'[2]Data Source'!B:B,"N/A",0)</f>
        <v>0</v>
      </c>
      <c r="AB6736" s="18">
        <f t="shared" si="25"/>
        <v>0</v>
      </c>
      <c r="AC6736" s="18" t="str">
        <f>_xlfn.XLOOKUP(L6736,'[3]2025 Mapping v3'!A:A,'[3]2025 Mapping v3'!B:B,"Error",0)</f>
        <v>Error</v>
      </c>
      <c r="AD6736" s="18" t="str">
        <f>_xlfn.XLOOKUP(L6736,'[3]2025 Mapping v3'!A:A,'[3]2025 Mapping v3'!C:C,"Error",0)</f>
        <v>Error</v>
      </c>
      <c r="AE6736" s="18" t="str">
        <f>_xlfn.XLOOKUP(L6736,'[3]2025 Mapping v3'!A:A,'[3]2025 Mapping v3'!D:D,"Error",0)</f>
        <v>Error</v>
      </c>
      <c r="AF6736" s="18" t="str">
        <f>_xlfn.XLOOKUP(L6736,'[3]2025 Mapping v3'!A:A,'[3]2025 Mapping v3'!E:E,"Error",0)</f>
        <v>Error</v>
      </c>
    </row>
    <row r="6737" spans="27:32">
      <c r="AA6737" s="18">
        <f>_xlfn.XLOOKUP(Y6737,'[2]Data Source'!A:A,'[2]Data Source'!B:B,"N/A",0)</f>
        <v>0</v>
      </c>
      <c r="AB6737" s="18">
        <f t="shared" si="25"/>
        <v>0</v>
      </c>
      <c r="AC6737" s="18" t="str">
        <f>_xlfn.XLOOKUP(L6737,'[3]2025 Mapping v3'!A:A,'[3]2025 Mapping v3'!B:B,"Error",0)</f>
        <v>Error</v>
      </c>
      <c r="AD6737" s="18" t="str">
        <f>_xlfn.XLOOKUP(L6737,'[3]2025 Mapping v3'!A:A,'[3]2025 Mapping v3'!C:C,"Error",0)</f>
        <v>Error</v>
      </c>
      <c r="AE6737" s="18" t="str">
        <f>_xlfn.XLOOKUP(L6737,'[3]2025 Mapping v3'!A:A,'[3]2025 Mapping v3'!D:D,"Error",0)</f>
        <v>Error</v>
      </c>
      <c r="AF6737" s="18" t="str">
        <f>_xlfn.XLOOKUP(L6737,'[3]2025 Mapping v3'!A:A,'[3]2025 Mapping v3'!E:E,"Error",0)</f>
        <v>Error</v>
      </c>
    </row>
    <row r="6738" spans="27:32">
      <c r="AA6738" s="18">
        <f>_xlfn.XLOOKUP(Y6738,'[2]Data Source'!A:A,'[2]Data Source'!B:B,"N/A",0)</f>
        <v>0</v>
      </c>
      <c r="AB6738" s="18">
        <f t="shared" si="25"/>
        <v>0</v>
      </c>
      <c r="AC6738" s="18" t="str">
        <f>_xlfn.XLOOKUP(L6738,'[3]2025 Mapping v3'!A:A,'[3]2025 Mapping v3'!B:B,"Error",0)</f>
        <v>Error</v>
      </c>
      <c r="AD6738" s="18" t="str">
        <f>_xlfn.XLOOKUP(L6738,'[3]2025 Mapping v3'!A:A,'[3]2025 Mapping v3'!C:C,"Error",0)</f>
        <v>Error</v>
      </c>
      <c r="AE6738" s="18" t="str">
        <f>_xlfn.XLOOKUP(L6738,'[3]2025 Mapping v3'!A:A,'[3]2025 Mapping v3'!D:D,"Error",0)</f>
        <v>Error</v>
      </c>
      <c r="AF6738" s="18" t="str">
        <f>_xlfn.XLOOKUP(L6738,'[3]2025 Mapping v3'!A:A,'[3]2025 Mapping v3'!E:E,"Error",0)</f>
        <v>Error</v>
      </c>
    </row>
    <row r="6739" spans="27:32">
      <c r="AA6739" s="18">
        <f>_xlfn.XLOOKUP(Y6739,'[2]Data Source'!A:A,'[2]Data Source'!B:B,"N/A",0)</f>
        <v>0</v>
      </c>
      <c r="AB6739" s="18">
        <f t="shared" si="25"/>
        <v>0</v>
      </c>
      <c r="AC6739" s="18" t="str">
        <f>_xlfn.XLOOKUP(L6739,'[3]2025 Mapping v3'!A:A,'[3]2025 Mapping v3'!B:B,"Error",0)</f>
        <v>Error</v>
      </c>
      <c r="AD6739" s="18" t="str">
        <f>_xlfn.XLOOKUP(L6739,'[3]2025 Mapping v3'!A:A,'[3]2025 Mapping v3'!C:C,"Error",0)</f>
        <v>Error</v>
      </c>
      <c r="AE6739" s="18" t="str">
        <f>_xlfn.XLOOKUP(L6739,'[3]2025 Mapping v3'!A:A,'[3]2025 Mapping v3'!D:D,"Error",0)</f>
        <v>Error</v>
      </c>
      <c r="AF6739" s="18" t="str">
        <f>_xlfn.XLOOKUP(L6739,'[3]2025 Mapping v3'!A:A,'[3]2025 Mapping v3'!E:E,"Error",0)</f>
        <v>Error</v>
      </c>
    </row>
    <row r="6740" spans="27:32">
      <c r="AA6740" s="18">
        <f>_xlfn.XLOOKUP(Y6740,'[2]Data Source'!A:A,'[2]Data Source'!B:B,"N/A",0)</f>
        <v>0</v>
      </c>
      <c r="AB6740" s="18">
        <f t="shared" si="25"/>
        <v>0</v>
      </c>
      <c r="AC6740" s="18" t="str">
        <f>_xlfn.XLOOKUP(L6740,'[3]2025 Mapping v3'!A:A,'[3]2025 Mapping v3'!B:B,"Error",0)</f>
        <v>Error</v>
      </c>
      <c r="AD6740" s="18" t="str">
        <f>_xlfn.XLOOKUP(L6740,'[3]2025 Mapping v3'!A:A,'[3]2025 Mapping v3'!C:C,"Error",0)</f>
        <v>Error</v>
      </c>
      <c r="AE6740" s="18" t="str">
        <f>_xlfn.XLOOKUP(L6740,'[3]2025 Mapping v3'!A:A,'[3]2025 Mapping v3'!D:D,"Error",0)</f>
        <v>Error</v>
      </c>
      <c r="AF6740" s="18" t="str">
        <f>_xlfn.XLOOKUP(L6740,'[3]2025 Mapping v3'!A:A,'[3]2025 Mapping v3'!E:E,"Error",0)</f>
        <v>Error</v>
      </c>
    </row>
    <row r="6741" spans="27:32">
      <c r="AA6741" s="18">
        <f>_xlfn.XLOOKUP(Y6741,'[2]Data Source'!A:A,'[2]Data Source'!B:B,"N/A",0)</f>
        <v>0</v>
      </c>
      <c r="AB6741" s="18">
        <f t="shared" si="25"/>
        <v>0</v>
      </c>
      <c r="AC6741" s="18" t="str">
        <f>_xlfn.XLOOKUP(L6741,'[3]2025 Mapping v3'!A:A,'[3]2025 Mapping v3'!B:B,"Error",0)</f>
        <v>Error</v>
      </c>
      <c r="AD6741" s="18" t="str">
        <f>_xlfn.XLOOKUP(L6741,'[3]2025 Mapping v3'!A:A,'[3]2025 Mapping v3'!C:C,"Error",0)</f>
        <v>Error</v>
      </c>
      <c r="AE6741" s="18" t="str">
        <f>_xlfn.XLOOKUP(L6741,'[3]2025 Mapping v3'!A:A,'[3]2025 Mapping v3'!D:D,"Error",0)</f>
        <v>Error</v>
      </c>
      <c r="AF6741" s="18" t="str">
        <f>_xlfn.XLOOKUP(L6741,'[3]2025 Mapping v3'!A:A,'[3]2025 Mapping v3'!E:E,"Error",0)</f>
        <v>Error</v>
      </c>
    </row>
    <row r="6742" spans="27:32">
      <c r="AA6742" s="18">
        <f>_xlfn.XLOOKUP(Y6742,'[2]Data Source'!A:A,'[2]Data Source'!B:B,"N/A",0)</f>
        <v>0</v>
      </c>
      <c r="AB6742" s="18">
        <f t="shared" si="25"/>
        <v>0</v>
      </c>
      <c r="AC6742" s="18" t="str">
        <f>_xlfn.XLOOKUP(L6742,'[3]2025 Mapping v3'!A:A,'[3]2025 Mapping v3'!B:B,"Error",0)</f>
        <v>Error</v>
      </c>
      <c r="AD6742" s="18" t="str">
        <f>_xlfn.XLOOKUP(L6742,'[3]2025 Mapping v3'!A:A,'[3]2025 Mapping v3'!C:C,"Error",0)</f>
        <v>Error</v>
      </c>
      <c r="AE6742" s="18" t="str">
        <f>_xlfn.XLOOKUP(L6742,'[3]2025 Mapping v3'!A:A,'[3]2025 Mapping v3'!D:D,"Error",0)</f>
        <v>Error</v>
      </c>
      <c r="AF6742" s="18" t="str">
        <f>_xlfn.XLOOKUP(L6742,'[3]2025 Mapping v3'!A:A,'[3]2025 Mapping v3'!E:E,"Error",0)</f>
        <v>Error</v>
      </c>
    </row>
    <row r="6743" spans="27:32">
      <c r="AA6743" s="18">
        <f>_xlfn.XLOOKUP(Y6743,'[2]Data Source'!A:A,'[2]Data Source'!B:B,"N/A",0)</f>
        <v>0</v>
      </c>
      <c r="AB6743" s="18">
        <f t="shared" si="25"/>
        <v>0</v>
      </c>
      <c r="AC6743" s="18" t="str">
        <f>_xlfn.XLOOKUP(L6743,'[3]2025 Mapping v3'!A:A,'[3]2025 Mapping v3'!B:B,"Error",0)</f>
        <v>Error</v>
      </c>
      <c r="AD6743" s="18" t="str">
        <f>_xlfn.XLOOKUP(L6743,'[3]2025 Mapping v3'!A:A,'[3]2025 Mapping v3'!C:C,"Error",0)</f>
        <v>Error</v>
      </c>
      <c r="AE6743" s="18" t="str">
        <f>_xlfn.XLOOKUP(L6743,'[3]2025 Mapping v3'!A:A,'[3]2025 Mapping v3'!D:D,"Error",0)</f>
        <v>Error</v>
      </c>
      <c r="AF6743" s="18" t="str">
        <f>_xlfn.XLOOKUP(L6743,'[3]2025 Mapping v3'!A:A,'[3]2025 Mapping v3'!E:E,"Error",0)</f>
        <v>Error</v>
      </c>
    </row>
    <row r="6744" spans="27:32">
      <c r="AA6744" s="18">
        <f>_xlfn.XLOOKUP(Y6744,'[2]Data Source'!A:A,'[2]Data Source'!B:B,"N/A",0)</f>
        <v>0</v>
      </c>
      <c r="AB6744" s="18">
        <f t="shared" si="25"/>
        <v>0</v>
      </c>
      <c r="AC6744" s="18" t="str">
        <f>_xlfn.XLOOKUP(L6744,'[3]2025 Mapping v3'!A:A,'[3]2025 Mapping v3'!B:B,"Error",0)</f>
        <v>Error</v>
      </c>
      <c r="AD6744" s="18" t="str">
        <f>_xlfn.XLOOKUP(L6744,'[3]2025 Mapping v3'!A:A,'[3]2025 Mapping v3'!C:C,"Error",0)</f>
        <v>Error</v>
      </c>
      <c r="AE6744" s="18" t="str">
        <f>_xlfn.XLOOKUP(L6744,'[3]2025 Mapping v3'!A:A,'[3]2025 Mapping v3'!D:D,"Error",0)</f>
        <v>Error</v>
      </c>
      <c r="AF6744" s="18" t="str">
        <f>_xlfn.XLOOKUP(L6744,'[3]2025 Mapping v3'!A:A,'[3]2025 Mapping v3'!E:E,"Error",0)</f>
        <v>Error</v>
      </c>
    </row>
    <row r="6745" spans="27:32">
      <c r="AA6745" s="18">
        <f>_xlfn.XLOOKUP(Y6745,'[2]Data Source'!A:A,'[2]Data Source'!B:B,"N/A",0)</f>
        <v>0</v>
      </c>
      <c r="AB6745" s="18">
        <f t="shared" si="25"/>
        <v>0</v>
      </c>
      <c r="AC6745" s="18" t="str">
        <f>_xlfn.XLOOKUP(L6745,'[3]2025 Mapping v3'!A:A,'[3]2025 Mapping v3'!B:B,"Error",0)</f>
        <v>Error</v>
      </c>
      <c r="AD6745" s="18" t="str">
        <f>_xlfn.XLOOKUP(L6745,'[3]2025 Mapping v3'!A:A,'[3]2025 Mapping v3'!C:C,"Error",0)</f>
        <v>Error</v>
      </c>
      <c r="AE6745" s="18" t="str">
        <f>_xlfn.XLOOKUP(L6745,'[3]2025 Mapping v3'!A:A,'[3]2025 Mapping v3'!D:D,"Error",0)</f>
        <v>Error</v>
      </c>
      <c r="AF6745" s="18" t="str">
        <f>_xlfn.XLOOKUP(L6745,'[3]2025 Mapping v3'!A:A,'[3]2025 Mapping v3'!E:E,"Error",0)</f>
        <v>Error</v>
      </c>
    </row>
    <row r="6746" spans="27:32">
      <c r="AA6746" s="18">
        <f>_xlfn.XLOOKUP(Y6746,'[2]Data Source'!A:A,'[2]Data Source'!B:B,"N/A",0)</f>
        <v>0</v>
      </c>
      <c r="AB6746" s="18">
        <f t="shared" si="25"/>
        <v>0</v>
      </c>
      <c r="AC6746" s="18" t="str">
        <f>_xlfn.XLOOKUP(L6746,'[3]2025 Mapping v3'!A:A,'[3]2025 Mapping v3'!B:B,"Error",0)</f>
        <v>Error</v>
      </c>
      <c r="AD6746" s="18" t="str">
        <f>_xlfn.XLOOKUP(L6746,'[3]2025 Mapping v3'!A:A,'[3]2025 Mapping v3'!C:C,"Error",0)</f>
        <v>Error</v>
      </c>
      <c r="AE6746" s="18" t="str">
        <f>_xlfn.XLOOKUP(L6746,'[3]2025 Mapping v3'!A:A,'[3]2025 Mapping v3'!D:D,"Error",0)</f>
        <v>Error</v>
      </c>
      <c r="AF6746" s="18" t="str">
        <f>_xlfn.XLOOKUP(L6746,'[3]2025 Mapping v3'!A:A,'[3]2025 Mapping v3'!E:E,"Error",0)</f>
        <v>Error</v>
      </c>
    </row>
    <row r="6747" spans="27:32">
      <c r="AA6747" s="18">
        <f>_xlfn.XLOOKUP(Y6747,'[2]Data Source'!A:A,'[2]Data Source'!B:B,"N/A",0)</f>
        <v>0</v>
      </c>
      <c r="AB6747" s="18">
        <f t="shared" si="25"/>
        <v>0</v>
      </c>
      <c r="AC6747" s="18" t="str">
        <f>_xlfn.XLOOKUP(L6747,'[3]2025 Mapping v3'!A:A,'[3]2025 Mapping v3'!B:B,"Error",0)</f>
        <v>Error</v>
      </c>
      <c r="AD6747" s="18" t="str">
        <f>_xlfn.XLOOKUP(L6747,'[3]2025 Mapping v3'!A:A,'[3]2025 Mapping v3'!C:C,"Error",0)</f>
        <v>Error</v>
      </c>
      <c r="AE6747" s="18" t="str">
        <f>_xlfn.XLOOKUP(L6747,'[3]2025 Mapping v3'!A:A,'[3]2025 Mapping v3'!D:D,"Error",0)</f>
        <v>Error</v>
      </c>
      <c r="AF6747" s="18" t="str">
        <f>_xlfn.XLOOKUP(L6747,'[3]2025 Mapping v3'!A:A,'[3]2025 Mapping v3'!E:E,"Error",0)</f>
        <v>Error</v>
      </c>
    </row>
    <row r="6748" spans="27:32">
      <c r="AA6748" s="18" t="str">
        <f>_xlfn.XLOOKUP(Y6748,'[2]Data Source'!A:A,'[2]Data Source'!B:B,"N/A",0)</f>
        <v>Brian Mitchie Njoroge</v>
      </c>
      <c r="AB6748" s="18">
        <f t="shared" si="25"/>
        <v>0</v>
      </c>
      <c r="AC6748" s="18" t="str">
        <f>_xlfn.XLOOKUP(L6748,'[3]2025 Mapping v3'!A:A,'[3]2025 Mapping v3'!B:B,"Error",0)</f>
        <v>Error</v>
      </c>
      <c r="AD6748" s="18" t="str">
        <f>_xlfn.XLOOKUP(L6748,'[3]2025 Mapping v3'!A:A,'[3]2025 Mapping v3'!C:C,"Error",0)</f>
        <v>Error</v>
      </c>
      <c r="AE6748" s="18" t="str">
        <f>_xlfn.XLOOKUP(L6748,'[3]2025 Mapping v3'!A:A,'[3]2025 Mapping v3'!D:D,"Error",0)</f>
        <v>Error</v>
      </c>
      <c r="AF6748" s="18" t="str">
        <f>_xlfn.XLOOKUP(L6748,'[3]2025 Mapping v3'!A:A,'[3]2025 Mapping v3'!E:E,"Error",0)</f>
        <v>Error</v>
      </c>
    </row>
    <row r="6749" spans="27:32">
      <c r="AA6749" s="18">
        <f>_xlfn.XLOOKUP(Y6749,'[2]Data Source'!A:A,'[2]Data Source'!B:B,"N/A",0)</f>
        <v>0</v>
      </c>
      <c r="AB6749" s="18">
        <f t="shared" si="25"/>
        <v>0</v>
      </c>
      <c r="AC6749" s="18" t="str">
        <f>_xlfn.XLOOKUP(L6749,'[3]2025 Mapping v3'!A:A,'[3]2025 Mapping v3'!B:B,"Error",0)</f>
        <v>Error</v>
      </c>
      <c r="AD6749" s="18" t="str">
        <f>_xlfn.XLOOKUP(L6749,'[3]2025 Mapping v3'!A:A,'[3]2025 Mapping v3'!C:C,"Error",0)</f>
        <v>Error</v>
      </c>
      <c r="AE6749" s="18" t="str">
        <f>_xlfn.XLOOKUP(L6749,'[3]2025 Mapping v3'!A:A,'[3]2025 Mapping v3'!D:D,"Error",0)</f>
        <v>Error</v>
      </c>
      <c r="AF6749" s="18" t="str">
        <f>_xlfn.XLOOKUP(L6749,'[3]2025 Mapping v3'!A:A,'[3]2025 Mapping v3'!E:E,"Error",0)</f>
        <v>Error</v>
      </c>
    </row>
    <row r="6750" spans="27:32">
      <c r="AA6750" s="18">
        <f>_xlfn.XLOOKUP(Y6750,'[2]Data Source'!A:A,'[2]Data Source'!B:B,"N/A",0)</f>
        <v>0</v>
      </c>
      <c r="AB6750" s="18">
        <f t="shared" si="25"/>
        <v>0</v>
      </c>
      <c r="AC6750" s="18" t="str">
        <f>_xlfn.XLOOKUP(L6750,'[3]2025 Mapping v3'!A:A,'[3]2025 Mapping v3'!B:B,"Error",0)</f>
        <v>Error</v>
      </c>
      <c r="AD6750" s="18" t="str">
        <f>_xlfn.XLOOKUP(L6750,'[3]2025 Mapping v3'!A:A,'[3]2025 Mapping v3'!C:C,"Error",0)</f>
        <v>Error</v>
      </c>
      <c r="AE6750" s="18" t="str">
        <f>_xlfn.XLOOKUP(L6750,'[3]2025 Mapping v3'!A:A,'[3]2025 Mapping v3'!D:D,"Error",0)</f>
        <v>Error</v>
      </c>
      <c r="AF6750" s="18" t="str">
        <f>_xlfn.XLOOKUP(L6750,'[3]2025 Mapping v3'!A:A,'[3]2025 Mapping v3'!E:E,"Error",0)</f>
        <v>Error</v>
      </c>
    </row>
    <row r="6751" spans="27:32">
      <c r="AA6751" s="18">
        <f>_xlfn.XLOOKUP(Y6751,'[2]Data Source'!A:A,'[2]Data Source'!B:B,"N/A",0)</f>
        <v>0</v>
      </c>
      <c r="AB6751" s="18">
        <f t="shared" si="25"/>
        <v>0</v>
      </c>
      <c r="AC6751" s="18" t="str">
        <f>_xlfn.XLOOKUP(L6751,'[3]2025 Mapping v3'!A:A,'[3]2025 Mapping v3'!B:B,"Error",0)</f>
        <v>Error</v>
      </c>
      <c r="AD6751" s="18" t="str">
        <f>_xlfn.XLOOKUP(L6751,'[3]2025 Mapping v3'!A:A,'[3]2025 Mapping v3'!C:C,"Error",0)</f>
        <v>Error</v>
      </c>
      <c r="AE6751" s="18" t="str">
        <f>_xlfn.XLOOKUP(L6751,'[3]2025 Mapping v3'!A:A,'[3]2025 Mapping v3'!D:D,"Error",0)</f>
        <v>Error</v>
      </c>
      <c r="AF6751" s="18" t="str">
        <f>_xlfn.XLOOKUP(L6751,'[3]2025 Mapping v3'!A:A,'[3]2025 Mapping v3'!E:E,"Error",0)</f>
        <v>Error</v>
      </c>
    </row>
    <row r="6752" spans="27:32">
      <c r="AA6752" s="18">
        <f>_xlfn.XLOOKUP(Y6752,'[2]Data Source'!A:A,'[2]Data Source'!B:B,"N/A",0)</f>
        <v>0</v>
      </c>
      <c r="AB6752" s="18">
        <f t="shared" si="25"/>
        <v>0</v>
      </c>
      <c r="AC6752" s="18" t="str">
        <f>_xlfn.XLOOKUP(L6752,'[3]2025 Mapping v3'!A:A,'[3]2025 Mapping v3'!B:B,"Error",0)</f>
        <v>Error</v>
      </c>
      <c r="AD6752" s="18" t="str">
        <f>_xlfn.XLOOKUP(L6752,'[3]2025 Mapping v3'!A:A,'[3]2025 Mapping v3'!C:C,"Error",0)</f>
        <v>Error</v>
      </c>
      <c r="AE6752" s="18" t="str">
        <f>_xlfn.XLOOKUP(L6752,'[3]2025 Mapping v3'!A:A,'[3]2025 Mapping v3'!D:D,"Error",0)</f>
        <v>Error</v>
      </c>
      <c r="AF6752" s="18" t="str">
        <f>_xlfn.XLOOKUP(L6752,'[3]2025 Mapping v3'!A:A,'[3]2025 Mapping v3'!E:E,"Error",0)</f>
        <v>Error</v>
      </c>
    </row>
    <row r="6753" spans="27:32">
      <c r="AA6753" s="18">
        <f>_xlfn.XLOOKUP(Y6753,'[2]Data Source'!A:A,'[2]Data Source'!B:B,"N/A",0)</f>
        <v>0</v>
      </c>
      <c r="AB6753" s="18">
        <f t="shared" si="25"/>
        <v>0</v>
      </c>
      <c r="AC6753" s="18" t="str">
        <f>_xlfn.XLOOKUP(L6753,'[3]2025 Mapping v3'!A:A,'[3]2025 Mapping v3'!B:B,"Error",0)</f>
        <v>Error</v>
      </c>
      <c r="AD6753" s="18" t="str">
        <f>_xlfn.XLOOKUP(L6753,'[3]2025 Mapping v3'!A:A,'[3]2025 Mapping v3'!C:C,"Error",0)</f>
        <v>Error</v>
      </c>
      <c r="AE6753" s="18" t="str">
        <f>_xlfn.XLOOKUP(L6753,'[3]2025 Mapping v3'!A:A,'[3]2025 Mapping v3'!D:D,"Error",0)</f>
        <v>Error</v>
      </c>
      <c r="AF6753" s="18" t="str">
        <f>_xlfn.XLOOKUP(L6753,'[3]2025 Mapping v3'!A:A,'[3]2025 Mapping v3'!E:E,"Error",0)</f>
        <v>Error</v>
      </c>
    </row>
    <row r="6754" spans="27:32">
      <c r="AA6754" s="18">
        <f>_xlfn.XLOOKUP(Y6754,'[2]Data Source'!A:A,'[2]Data Source'!B:B,"N/A",0)</f>
        <v>0</v>
      </c>
      <c r="AB6754" s="18">
        <f t="shared" si="25"/>
        <v>0</v>
      </c>
      <c r="AC6754" s="18" t="str">
        <f>_xlfn.XLOOKUP(L6754,'[3]2025 Mapping v3'!A:A,'[3]2025 Mapping v3'!B:B,"Error",0)</f>
        <v>Error</v>
      </c>
      <c r="AD6754" s="18" t="str">
        <f>_xlfn.XLOOKUP(L6754,'[3]2025 Mapping v3'!A:A,'[3]2025 Mapping v3'!C:C,"Error",0)</f>
        <v>Error</v>
      </c>
      <c r="AE6754" s="18" t="str">
        <f>_xlfn.XLOOKUP(L6754,'[3]2025 Mapping v3'!A:A,'[3]2025 Mapping v3'!D:D,"Error",0)</f>
        <v>Error</v>
      </c>
      <c r="AF6754" s="18" t="str">
        <f>_xlfn.XLOOKUP(L6754,'[3]2025 Mapping v3'!A:A,'[3]2025 Mapping v3'!E:E,"Error",0)</f>
        <v>Error</v>
      </c>
    </row>
    <row r="6755" spans="27:32">
      <c r="AA6755" s="18">
        <f>_xlfn.XLOOKUP(Y6755,'[2]Data Source'!A:A,'[2]Data Source'!B:B,"N/A",0)</f>
        <v>0</v>
      </c>
      <c r="AB6755" s="18">
        <f t="shared" si="25"/>
        <v>0</v>
      </c>
      <c r="AC6755" s="18" t="str">
        <f>_xlfn.XLOOKUP(L6755,'[3]2025 Mapping v3'!A:A,'[3]2025 Mapping v3'!B:B,"Error",0)</f>
        <v>Error</v>
      </c>
      <c r="AD6755" s="18" t="str">
        <f>_xlfn.XLOOKUP(L6755,'[3]2025 Mapping v3'!A:A,'[3]2025 Mapping v3'!C:C,"Error",0)</f>
        <v>Error</v>
      </c>
      <c r="AE6755" s="18" t="str">
        <f>_xlfn.XLOOKUP(L6755,'[3]2025 Mapping v3'!A:A,'[3]2025 Mapping v3'!D:D,"Error",0)</f>
        <v>Error</v>
      </c>
      <c r="AF6755" s="18" t="str">
        <f>_xlfn.XLOOKUP(L6755,'[3]2025 Mapping v3'!A:A,'[3]2025 Mapping v3'!E:E,"Error",0)</f>
        <v>Error</v>
      </c>
    </row>
    <row r="6756" spans="27:32">
      <c r="AA6756" s="18">
        <f>_xlfn.XLOOKUP(Y6756,'[2]Data Source'!A:A,'[2]Data Source'!B:B,"N/A",0)</f>
        <v>0</v>
      </c>
      <c r="AB6756" s="18">
        <f t="shared" si="25"/>
        <v>0</v>
      </c>
      <c r="AC6756" s="18" t="str">
        <f>_xlfn.XLOOKUP(L6756,'[3]2025 Mapping v3'!A:A,'[3]2025 Mapping v3'!B:B,"Error",0)</f>
        <v>Error</v>
      </c>
      <c r="AD6756" s="18" t="str">
        <f>_xlfn.XLOOKUP(L6756,'[3]2025 Mapping v3'!A:A,'[3]2025 Mapping v3'!C:C,"Error",0)</f>
        <v>Error</v>
      </c>
      <c r="AE6756" s="18" t="str">
        <f>_xlfn.XLOOKUP(L6756,'[3]2025 Mapping v3'!A:A,'[3]2025 Mapping v3'!D:D,"Error",0)</f>
        <v>Error</v>
      </c>
      <c r="AF6756" s="18" t="str">
        <f>_xlfn.XLOOKUP(L6756,'[3]2025 Mapping v3'!A:A,'[3]2025 Mapping v3'!E:E,"Error",0)</f>
        <v>Error</v>
      </c>
    </row>
    <row r="6757" spans="27:32">
      <c r="AA6757" s="18">
        <f>_xlfn.XLOOKUP(Y6757,'[2]Data Source'!A:A,'[2]Data Source'!B:B,"N/A",0)</f>
        <v>0</v>
      </c>
      <c r="AB6757" s="18">
        <f t="shared" si="25"/>
        <v>0</v>
      </c>
      <c r="AC6757" s="18" t="str">
        <f>_xlfn.XLOOKUP(L6757,'[3]2025 Mapping v3'!A:A,'[3]2025 Mapping v3'!B:B,"Error",0)</f>
        <v>Error</v>
      </c>
      <c r="AD6757" s="18" t="str">
        <f>_xlfn.XLOOKUP(L6757,'[3]2025 Mapping v3'!A:A,'[3]2025 Mapping v3'!C:C,"Error",0)</f>
        <v>Error</v>
      </c>
      <c r="AE6757" s="18" t="str">
        <f>_xlfn.XLOOKUP(L6757,'[3]2025 Mapping v3'!A:A,'[3]2025 Mapping v3'!D:D,"Error",0)</f>
        <v>Error</v>
      </c>
      <c r="AF6757" s="18" t="str">
        <f>_xlfn.XLOOKUP(L6757,'[3]2025 Mapping v3'!A:A,'[3]2025 Mapping v3'!E:E,"Error",0)</f>
        <v>Error</v>
      </c>
    </row>
    <row r="6758" spans="27:32">
      <c r="AA6758" s="18">
        <f>_xlfn.XLOOKUP(Y6758,'[2]Data Source'!A:A,'[2]Data Source'!B:B,"N/A",0)</f>
        <v>0</v>
      </c>
      <c r="AB6758" s="18">
        <f t="shared" si="25"/>
        <v>0</v>
      </c>
      <c r="AC6758" s="18" t="str">
        <f>_xlfn.XLOOKUP(L6758,'[3]2025 Mapping v3'!A:A,'[3]2025 Mapping v3'!B:B,"Error",0)</f>
        <v>Error</v>
      </c>
      <c r="AD6758" s="18" t="str">
        <f>_xlfn.XLOOKUP(L6758,'[3]2025 Mapping v3'!A:A,'[3]2025 Mapping v3'!C:C,"Error",0)</f>
        <v>Error</v>
      </c>
      <c r="AE6758" s="18" t="str">
        <f>_xlfn.XLOOKUP(L6758,'[3]2025 Mapping v3'!A:A,'[3]2025 Mapping v3'!D:D,"Error",0)</f>
        <v>Error</v>
      </c>
      <c r="AF6758" s="18" t="str">
        <f>_xlfn.XLOOKUP(L6758,'[3]2025 Mapping v3'!A:A,'[3]2025 Mapping v3'!E:E,"Error",0)</f>
        <v>Error</v>
      </c>
    </row>
    <row r="6759" spans="27:32">
      <c r="AA6759" s="18" t="str">
        <f>_xlfn.XLOOKUP(Y6759,'[2]Data Source'!A:A,'[2]Data Source'!B:B,"N/A",0)</f>
        <v>Eliud Ng'ang'a</v>
      </c>
      <c r="AB6759" s="18">
        <f t="shared" si="25"/>
        <v>0</v>
      </c>
      <c r="AC6759" s="18" t="str">
        <f>_xlfn.XLOOKUP(L6759,'[3]2025 Mapping v3'!A:A,'[3]2025 Mapping v3'!B:B,"Error",0)</f>
        <v>Error</v>
      </c>
      <c r="AD6759" s="18" t="str">
        <f>_xlfn.XLOOKUP(L6759,'[3]2025 Mapping v3'!A:A,'[3]2025 Mapping v3'!C:C,"Error",0)</f>
        <v>Error</v>
      </c>
      <c r="AE6759" s="18" t="str">
        <f>_xlfn.XLOOKUP(L6759,'[3]2025 Mapping v3'!A:A,'[3]2025 Mapping v3'!D:D,"Error",0)</f>
        <v>Error</v>
      </c>
      <c r="AF6759" s="18" t="str">
        <f>_xlfn.XLOOKUP(L6759,'[3]2025 Mapping v3'!A:A,'[3]2025 Mapping v3'!E:E,"Error",0)</f>
        <v>Error</v>
      </c>
    </row>
    <row r="6760" spans="27:32">
      <c r="AA6760" s="18">
        <f>_xlfn.XLOOKUP(Y6760,'[2]Data Source'!A:A,'[2]Data Source'!B:B,"N/A",0)</f>
        <v>0</v>
      </c>
      <c r="AB6760" s="18">
        <f t="shared" si="25"/>
        <v>0</v>
      </c>
      <c r="AC6760" s="18" t="str">
        <f>_xlfn.XLOOKUP(L6760,'[3]2025 Mapping v3'!A:A,'[3]2025 Mapping v3'!B:B,"Error",0)</f>
        <v>Error</v>
      </c>
      <c r="AD6760" s="18" t="str">
        <f>_xlfn.XLOOKUP(L6760,'[3]2025 Mapping v3'!A:A,'[3]2025 Mapping v3'!C:C,"Error",0)</f>
        <v>Error</v>
      </c>
      <c r="AE6760" s="18" t="str">
        <f>_xlfn.XLOOKUP(L6760,'[3]2025 Mapping v3'!A:A,'[3]2025 Mapping v3'!D:D,"Error",0)</f>
        <v>Error</v>
      </c>
      <c r="AF6760" s="18" t="str">
        <f>_xlfn.XLOOKUP(L6760,'[3]2025 Mapping v3'!A:A,'[3]2025 Mapping v3'!E:E,"Error",0)</f>
        <v>Error</v>
      </c>
    </row>
    <row r="6761" spans="27:32">
      <c r="AA6761" s="18">
        <f>_xlfn.XLOOKUP(Y6761,'[2]Data Source'!A:A,'[2]Data Source'!B:B,"N/A",0)</f>
        <v>0</v>
      </c>
      <c r="AB6761" s="18">
        <f t="shared" si="25"/>
        <v>0</v>
      </c>
      <c r="AC6761" s="18" t="str">
        <f>_xlfn.XLOOKUP(L6761,'[3]2025 Mapping v3'!A:A,'[3]2025 Mapping v3'!B:B,"Error",0)</f>
        <v>Error</v>
      </c>
      <c r="AD6761" s="18" t="str">
        <f>_xlfn.XLOOKUP(L6761,'[3]2025 Mapping v3'!A:A,'[3]2025 Mapping v3'!C:C,"Error",0)</f>
        <v>Error</v>
      </c>
      <c r="AE6761" s="18" t="str">
        <f>_xlfn.XLOOKUP(L6761,'[3]2025 Mapping v3'!A:A,'[3]2025 Mapping v3'!D:D,"Error",0)</f>
        <v>Error</v>
      </c>
      <c r="AF6761" s="18" t="str">
        <f>_xlfn.XLOOKUP(L6761,'[3]2025 Mapping v3'!A:A,'[3]2025 Mapping v3'!E:E,"Error",0)</f>
        <v>Error</v>
      </c>
    </row>
    <row r="6762" spans="27:32">
      <c r="AA6762" s="18">
        <f>_xlfn.XLOOKUP(Y6762,'[2]Data Source'!A:A,'[2]Data Source'!B:B,"N/A",0)</f>
        <v>0</v>
      </c>
      <c r="AB6762" s="18">
        <f t="shared" si="25"/>
        <v>0</v>
      </c>
      <c r="AC6762" s="18" t="str">
        <f>_xlfn.XLOOKUP(L6762,'[3]2025 Mapping v3'!A:A,'[3]2025 Mapping v3'!B:B,"Error",0)</f>
        <v>Error</v>
      </c>
      <c r="AD6762" s="18" t="str">
        <f>_xlfn.XLOOKUP(L6762,'[3]2025 Mapping v3'!A:A,'[3]2025 Mapping v3'!C:C,"Error",0)</f>
        <v>Error</v>
      </c>
      <c r="AE6762" s="18" t="str">
        <f>_xlfn.XLOOKUP(L6762,'[3]2025 Mapping v3'!A:A,'[3]2025 Mapping v3'!D:D,"Error",0)</f>
        <v>Error</v>
      </c>
      <c r="AF6762" s="18" t="str">
        <f>_xlfn.XLOOKUP(L6762,'[3]2025 Mapping v3'!A:A,'[3]2025 Mapping v3'!E:E,"Error",0)</f>
        <v>Error</v>
      </c>
    </row>
    <row r="6763" spans="27:32">
      <c r="AA6763" s="18">
        <f>_xlfn.XLOOKUP(Y6763,'[2]Data Source'!A:A,'[2]Data Source'!B:B,"N/A",0)</f>
        <v>0</v>
      </c>
      <c r="AB6763" s="18">
        <f t="shared" si="25"/>
        <v>0</v>
      </c>
      <c r="AC6763" s="18" t="str">
        <f>_xlfn.XLOOKUP(L6763,'[3]2025 Mapping v3'!A:A,'[3]2025 Mapping v3'!B:B,"Error",0)</f>
        <v>Error</v>
      </c>
      <c r="AD6763" s="18" t="str">
        <f>_xlfn.XLOOKUP(L6763,'[3]2025 Mapping v3'!A:A,'[3]2025 Mapping v3'!C:C,"Error",0)</f>
        <v>Error</v>
      </c>
      <c r="AE6763" s="18" t="str">
        <f>_xlfn.XLOOKUP(L6763,'[3]2025 Mapping v3'!A:A,'[3]2025 Mapping v3'!D:D,"Error",0)</f>
        <v>Error</v>
      </c>
      <c r="AF6763" s="18" t="str">
        <f>_xlfn.XLOOKUP(L6763,'[3]2025 Mapping v3'!A:A,'[3]2025 Mapping v3'!E:E,"Error",0)</f>
        <v>Error</v>
      </c>
    </row>
    <row r="6764" spans="27:32">
      <c r="AA6764" s="18">
        <f>_xlfn.XLOOKUP(Y6764,'[2]Data Source'!A:A,'[2]Data Source'!B:B,"N/A",0)</f>
        <v>0</v>
      </c>
      <c r="AB6764" s="18">
        <f t="shared" si="25"/>
        <v>0</v>
      </c>
      <c r="AC6764" s="18" t="str">
        <f>_xlfn.XLOOKUP(L6764,'[3]2025 Mapping v3'!A:A,'[3]2025 Mapping v3'!B:B,"Error",0)</f>
        <v>Error</v>
      </c>
      <c r="AD6764" s="18" t="str">
        <f>_xlfn.XLOOKUP(L6764,'[3]2025 Mapping v3'!A:A,'[3]2025 Mapping v3'!C:C,"Error",0)</f>
        <v>Error</v>
      </c>
      <c r="AE6764" s="18" t="str">
        <f>_xlfn.XLOOKUP(L6764,'[3]2025 Mapping v3'!A:A,'[3]2025 Mapping v3'!D:D,"Error",0)</f>
        <v>Error</v>
      </c>
      <c r="AF6764" s="18" t="str">
        <f>_xlfn.XLOOKUP(L6764,'[3]2025 Mapping v3'!A:A,'[3]2025 Mapping v3'!E:E,"Error",0)</f>
        <v>Error</v>
      </c>
    </row>
    <row r="6765" spans="27:32">
      <c r="AA6765" s="18">
        <f>_xlfn.XLOOKUP(Y6765,'[2]Data Source'!A:A,'[2]Data Source'!B:B,"N/A",0)</f>
        <v>0</v>
      </c>
      <c r="AB6765" s="18">
        <f t="shared" si="25"/>
        <v>0</v>
      </c>
      <c r="AC6765" s="18" t="str">
        <f>_xlfn.XLOOKUP(L6765,'[3]2025 Mapping v3'!A:A,'[3]2025 Mapping v3'!B:B,"Error",0)</f>
        <v>Error</v>
      </c>
      <c r="AD6765" s="18" t="str">
        <f>_xlfn.XLOOKUP(L6765,'[3]2025 Mapping v3'!A:A,'[3]2025 Mapping v3'!C:C,"Error",0)</f>
        <v>Error</v>
      </c>
      <c r="AE6765" s="18" t="str">
        <f>_xlfn.XLOOKUP(L6765,'[3]2025 Mapping v3'!A:A,'[3]2025 Mapping v3'!D:D,"Error",0)</f>
        <v>Error</v>
      </c>
      <c r="AF6765" s="18" t="str">
        <f>_xlfn.XLOOKUP(L6765,'[3]2025 Mapping v3'!A:A,'[3]2025 Mapping v3'!E:E,"Error",0)</f>
        <v>Error</v>
      </c>
    </row>
    <row r="6766" spans="27:32">
      <c r="AA6766" s="18">
        <f>_xlfn.XLOOKUP(Y6766,'[2]Data Source'!A:A,'[2]Data Source'!B:B,"N/A",0)</f>
        <v>0</v>
      </c>
      <c r="AB6766" s="18">
        <f t="shared" si="25"/>
        <v>0</v>
      </c>
      <c r="AC6766" s="18" t="str">
        <f>_xlfn.XLOOKUP(L6766,'[3]2025 Mapping v3'!A:A,'[3]2025 Mapping v3'!B:B,"Error",0)</f>
        <v>Error</v>
      </c>
      <c r="AD6766" s="18" t="str">
        <f>_xlfn.XLOOKUP(L6766,'[3]2025 Mapping v3'!A:A,'[3]2025 Mapping v3'!C:C,"Error",0)</f>
        <v>Error</v>
      </c>
      <c r="AE6766" s="18" t="str">
        <f>_xlfn.XLOOKUP(L6766,'[3]2025 Mapping v3'!A:A,'[3]2025 Mapping v3'!D:D,"Error",0)</f>
        <v>Error</v>
      </c>
      <c r="AF6766" s="18" t="str">
        <f>_xlfn.XLOOKUP(L6766,'[3]2025 Mapping v3'!A:A,'[3]2025 Mapping v3'!E:E,"Error",0)</f>
        <v>Error</v>
      </c>
    </row>
    <row r="6767" spans="27:32">
      <c r="AA6767" s="18">
        <f>_xlfn.XLOOKUP(Y6767,'[2]Data Source'!A:A,'[2]Data Source'!B:B,"N/A",0)</f>
        <v>0</v>
      </c>
      <c r="AB6767" s="18">
        <f t="shared" si="25"/>
        <v>0</v>
      </c>
      <c r="AC6767" s="18" t="str">
        <f>_xlfn.XLOOKUP(L6767,'[3]2025 Mapping v3'!A:A,'[3]2025 Mapping v3'!B:B,"Error",0)</f>
        <v>Error</v>
      </c>
      <c r="AD6767" s="18" t="str">
        <f>_xlfn.XLOOKUP(L6767,'[3]2025 Mapping v3'!A:A,'[3]2025 Mapping v3'!C:C,"Error",0)</f>
        <v>Error</v>
      </c>
      <c r="AE6767" s="18" t="str">
        <f>_xlfn.XLOOKUP(L6767,'[3]2025 Mapping v3'!A:A,'[3]2025 Mapping v3'!D:D,"Error",0)</f>
        <v>Error</v>
      </c>
      <c r="AF6767" s="18" t="str">
        <f>_xlfn.XLOOKUP(L6767,'[3]2025 Mapping v3'!A:A,'[3]2025 Mapping v3'!E:E,"Error",0)</f>
        <v>Error</v>
      </c>
    </row>
    <row r="6768" spans="27:32">
      <c r="AA6768" s="18">
        <f>_xlfn.XLOOKUP(Y6768,'[2]Data Source'!A:A,'[2]Data Source'!B:B,"N/A",0)</f>
        <v>0</v>
      </c>
      <c r="AB6768" s="18">
        <f t="shared" si="25"/>
        <v>0</v>
      </c>
      <c r="AC6768" s="18" t="str">
        <f>_xlfn.XLOOKUP(L6768,'[3]2025 Mapping v3'!A:A,'[3]2025 Mapping v3'!B:B,"Error",0)</f>
        <v>Error</v>
      </c>
      <c r="AD6768" s="18" t="str">
        <f>_xlfn.XLOOKUP(L6768,'[3]2025 Mapping v3'!A:A,'[3]2025 Mapping v3'!C:C,"Error",0)</f>
        <v>Error</v>
      </c>
      <c r="AE6768" s="18" t="str">
        <f>_xlfn.XLOOKUP(L6768,'[3]2025 Mapping v3'!A:A,'[3]2025 Mapping v3'!D:D,"Error",0)</f>
        <v>Error</v>
      </c>
      <c r="AF6768" s="18" t="str">
        <f>_xlfn.XLOOKUP(L6768,'[3]2025 Mapping v3'!A:A,'[3]2025 Mapping v3'!E:E,"Error",0)</f>
        <v>Error</v>
      </c>
    </row>
    <row r="6769" spans="27:32">
      <c r="AA6769" s="18">
        <f>_xlfn.XLOOKUP(Y6769,'[2]Data Source'!A:A,'[2]Data Source'!B:B,"N/A",0)</f>
        <v>0</v>
      </c>
      <c r="AB6769" s="18">
        <f t="shared" si="25"/>
        <v>0</v>
      </c>
      <c r="AC6769" s="18" t="str">
        <f>_xlfn.XLOOKUP(L6769,'[3]2025 Mapping v3'!A:A,'[3]2025 Mapping v3'!B:B,"Error",0)</f>
        <v>Error</v>
      </c>
      <c r="AD6769" s="18" t="str">
        <f>_xlfn.XLOOKUP(L6769,'[3]2025 Mapping v3'!A:A,'[3]2025 Mapping v3'!C:C,"Error",0)</f>
        <v>Error</v>
      </c>
      <c r="AE6769" s="18" t="str">
        <f>_xlfn.XLOOKUP(L6769,'[3]2025 Mapping v3'!A:A,'[3]2025 Mapping v3'!D:D,"Error",0)</f>
        <v>Error</v>
      </c>
      <c r="AF6769" s="18" t="str">
        <f>_xlfn.XLOOKUP(L6769,'[3]2025 Mapping v3'!A:A,'[3]2025 Mapping v3'!E:E,"Error",0)</f>
        <v>Error</v>
      </c>
    </row>
    <row r="6770" spans="27:32">
      <c r="AA6770" s="18">
        <f>_xlfn.XLOOKUP(Y6770,'[2]Data Source'!A:A,'[2]Data Source'!B:B,"N/A",0)</f>
        <v>0</v>
      </c>
      <c r="AB6770" s="18">
        <f t="shared" si="25"/>
        <v>0</v>
      </c>
      <c r="AC6770" s="18" t="str">
        <f>_xlfn.XLOOKUP(L6770,'[3]2025 Mapping v3'!A:A,'[3]2025 Mapping v3'!B:B,"Error",0)</f>
        <v>Error</v>
      </c>
      <c r="AD6770" s="18" t="str">
        <f>_xlfn.XLOOKUP(L6770,'[3]2025 Mapping v3'!A:A,'[3]2025 Mapping v3'!C:C,"Error",0)</f>
        <v>Error</v>
      </c>
      <c r="AE6770" s="18" t="str">
        <f>_xlfn.XLOOKUP(L6770,'[3]2025 Mapping v3'!A:A,'[3]2025 Mapping v3'!D:D,"Error",0)</f>
        <v>Error</v>
      </c>
      <c r="AF6770" s="18" t="str">
        <f>_xlfn.XLOOKUP(L6770,'[3]2025 Mapping v3'!A:A,'[3]2025 Mapping v3'!E:E,"Error",0)</f>
        <v>Error</v>
      </c>
    </row>
    <row r="6771" spans="27:32">
      <c r="AA6771" s="18">
        <f>_xlfn.XLOOKUP(Y6771,'[2]Data Source'!A:A,'[2]Data Source'!B:B,"N/A",0)</f>
        <v>0</v>
      </c>
      <c r="AB6771" s="18">
        <f t="shared" si="25"/>
        <v>0</v>
      </c>
      <c r="AC6771" s="18" t="str">
        <f>_xlfn.XLOOKUP(L6771,'[3]2025 Mapping v3'!A:A,'[3]2025 Mapping v3'!B:B,"Error",0)</f>
        <v>Error</v>
      </c>
      <c r="AD6771" s="18" t="str">
        <f>_xlfn.XLOOKUP(L6771,'[3]2025 Mapping v3'!A:A,'[3]2025 Mapping v3'!C:C,"Error",0)</f>
        <v>Error</v>
      </c>
      <c r="AE6771" s="18" t="str">
        <f>_xlfn.XLOOKUP(L6771,'[3]2025 Mapping v3'!A:A,'[3]2025 Mapping v3'!D:D,"Error",0)</f>
        <v>Error</v>
      </c>
      <c r="AF6771" s="18" t="str">
        <f>_xlfn.XLOOKUP(L6771,'[3]2025 Mapping v3'!A:A,'[3]2025 Mapping v3'!E:E,"Error",0)</f>
        <v>Error</v>
      </c>
    </row>
    <row r="6772" spans="27:32">
      <c r="AA6772" s="18">
        <f>_xlfn.XLOOKUP(Y6772,'[2]Data Source'!A:A,'[2]Data Source'!B:B,"N/A",0)</f>
        <v>0</v>
      </c>
      <c r="AB6772" s="18">
        <f t="shared" si="25"/>
        <v>0</v>
      </c>
      <c r="AC6772" s="18" t="str">
        <f>_xlfn.XLOOKUP(L6772,'[3]2025 Mapping v3'!A:A,'[3]2025 Mapping v3'!B:B,"Error",0)</f>
        <v>Error</v>
      </c>
      <c r="AD6772" s="18" t="str">
        <f>_xlfn.XLOOKUP(L6772,'[3]2025 Mapping v3'!A:A,'[3]2025 Mapping v3'!C:C,"Error",0)</f>
        <v>Error</v>
      </c>
      <c r="AE6772" s="18" t="str">
        <f>_xlfn.XLOOKUP(L6772,'[3]2025 Mapping v3'!A:A,'[3]2025 Mapping v3'!D:D,"Error",0)</f>
        <v>Error</v>
      </c>
      <c r="AF6772" s="18" t="str">
        <f>_xlfn.XLOOKUP(L6772,'[3]2025 Mapping v3'!A:A,'[3]2025 Mapping v3'!E:E,"Error",0)</f>
        <v>Error</v>
      </c>
    </row>
    <row r="6773" spans="27:32">
      <c r="AA6773" s="18">
        <f>_xlfn.XLOOKUP(Y6773,'[2]Data Source'!A:A,'[2]Data Source'!B:B,"N/A",0)</f>
        <v>0</v>
      </c>
      <c r="AB6773" s="18">
        <f t="shared" si="25"/>
        <v>0</v>
      </c>
      <c r="AC6773" s="18" t="str">
        <f>_xlfn.XLOOKUP(L6773,'[3]2025 Mapping v3'!A:A,'[3]2025 Mapping v3'!B:B,"Error",0)</f>
        <v>Error</v>
      </c>
      <c r="AD6773" s="18" t="str">
        <f>_xlfn.XLOOKUP(L6773,'[3]2025 Mapping v3'!A:A,'[3]2025 Mapping v3'!C:C,"Error",0)</f>
        <v>Error</v>
      </c>
      <c r="AE6773" s="18" t="str">
        <f>_xlfn.XLOOKUP(L6773,'[3]2025 Mapping v3'!A:A,'[3]2025 Mapping v3'!D:D,"Error",0)</f>
        <v>Error</v>
      </c>
      <c r="AF6773" s="18" t="str">
        <f>_xlfn.XLOOKUP(L6773,'[3]2025 Mapping v3'!A:A,'[3]2025 Mapping v3'!E:E,"Error",0)</f>
        <v>Error</v>
      </c>
    </row>
    <row r="6774" spans="27:32">
      <c r="AA6774" s="18">
        <f>_xlfn.XLOOKUP(Y6774,'[2]Data Source'!A:A,'[2]Data Source'!B:B,"N/A",0)</f>
        <v>0</v>
      </c>
      <c r="AB6774" s="18">
        <f t="shared" si="25"/>
        <v>0</v>
      </c>
      <c r="AC6774" s="18" t="str">
        <f>_xlfn.XLOOKUP(L6774,'[3]2025 Mapping v3'!A:A,'[3]2025 Mapping v3'!B:B,"Error",0)</f>
        <v>Error</v>
      </c>
      <c r="AD6774" s="18" t="str">
        <f>_xlfn.XLOOKUP(L6774,'[3]2025 Mapping v3'!A:A,'[3]2025 Mapping v3'!C:C,"Error",0)</f>
        <v>Error</v>
      </c>
      <c r="AE6774" s="18" t="str">
        <f>_xlfn.XLOOKUP(L6774,'[3]2025 Mapping v3'!A:A,'[3]2025 Mapping v3'!D:D,"Error",0)</f>
        <v>Error</v>
      </c>
      <c r="AF6774" s="18" t="str">
        <f>_xlfn.XLOOKUP(L6774,'[3]2025 Mapping v3'!A:A,'[3]2025 Mapping v3'!E:E,"Error",0)</f>
        <v>Error</v>
      </c>
    </row>
    <row r="6775" spans="27:32">
      <c r="AA6775" s="18">
        <f>_xlfn.XLOOKUP(Y6775,'[2]Data Source'!A:A,'[2]Data Source'!B:B,"N/A",0)</f>
        <v>0</v>
      </c>
      <c r="AB6775" s="18">
        <f t="shared" si="25"/>
        <v>0</v>
      </c>
      <c r="AC6775" s="18" t="str">
        <f>_xlfn.XLOOKUP(L6775,'[3]2025 Mapping v3'!A:A,'[3]2025 Mapping v3'!B:B,"Error",0)</f>
        <v>Error</v>
      </c>
      <c r="AD6775" s="18" t="str">
        <f>_xlfn.XLOOKUP(L6775,'[3]2025 Mapping v3'!A:A,'[3]2025 Mapping v3'!C:C,"Error",0)</f>
        <v>Error</v>
      </c>
      <c r="AE6775" s="18" t="str">
        <f>_xlfn.XLOOKUP(L6775,'[3]2025 Mapping v3'!A:A,'[3]2025 Mapping v3'!D:D,"Error",0)</f>
        <v>Error</v>
      </c>
      <c r="AF6775" s="18" t="str">
        <f>_xlfn.XLOOKUP(L6775,'[3]2025 Mapping v3'!A:A,'[3]2025 Mapping v3'!E:E,"Error",0)</f>
        <v>Error</v>
      </c>
    </row>
    <row r="6776" spans="27:32">
      <c r="AA6776" s="18">
        <f>_xlfn.XLOOKUP(Y6776,'[2]Data Source'!A:A,'[2]Data Source'!B:B,"N/A",0)</f>
        <v>0</v>
      </c>
      <c r="AB6776" s="18">
        <f t="shared" si="25"/>
        <v>0</v>
      </c>
      <c r="AC6776" s="18" t="str">
        <f>_xlfn.XLOOKUP(L6776,'[3]2025 Mapping v3'!A:A,'[3]2025 Mapping v3'!B:B,"Error",0)</f>
        <v>Error</v>
      </c>
      <c r="AD6776" s="18" t="str">
        <f>_xlfn.XLOOKUP(L6776,'[3]2025 Mapping v3'!A:A,'[3]2025 Mapping v3'!C:C,"Error",0)</f>
        <v>Error</v>
      </c>
      <c r="AE6776" s="18" t="str">
        <f>_xlfn.XLOOKUP(L6776,'[3]2025 Mapping v3'!A:A,'[3]2025 Mapping v3'!D:D,"Error",0)</f>
        <v>Error</v>
      </c>
      <c r="AF6776" s="18" t="str">
        <f>_xlfn.XLOOKUP(L6776,'[3]2025 Mapping v3'!A:A,'[3]2025 Mapping v3'!E:E,"Error",0)</f>
        <v>Error</v>
      </c>
    </row>
    <row r="6777" spans="27:32">
      <c r="AA6777" s="18">
        <f>_xlfn.XLOOKUP(Y6777,'[2]Data Source'!A:A,'[2]Data Source'!B:B,"N/A",0)</f>
        <v>0</v>
      </c>
      <c r="AB6777" s="18">
        <f t="shared" si="25"/>
        <v>0</v>
      </c>
      <c r="AC6777" s="18" t="str">
        <f>_xlfn.XLOOKUP(L6777,'[3]2025 Mapping v3'!A:A,'[3]2025 Mapping v3'!B:B,"Error",0)</f>
        <v>Error</v>
      </c>
      <c r="AD6777" s="18" t="str">
        <f>_xlfn.XLOOKUP(L6777,'[3]2025 Mapping v3'!A:A,'[3]2025 Mapping v3'!C:C,"Error",0)</f>
        <v>Error</v>
      </c>
      <c r="AE6777" s="18" t="str">
        <f>_xlfn.XLOOKUP(L6777,'[3]2025 Mapping v3'!A:A,'[3]2025 Mapping v3'!D:D,"Error",0)</f>
        <v>Error</v>
      </c>
      <c r="AF6777" s="18" t="str">
        <f>_xlfn.XLOOKUP(L6777,'[3]2025 Mapping v3'!A:A,'[3]2025 Mapping v3'!E:E,"Error",0)</f>
        <v>Error</v>
      </c>
    </row>
    <row r="6778" spans="27:32">
      <c r="AA6778" s="18">
        <f>_xlfn.XLOOKUP(Y6778,'[2]Data Source'!A:A,'[2]Data Source'!B:B,"N/A",0)</f>
        <v>0</v>
      </c>
      <c r="AB6778" s="18">
        <f t="shared" si="25"/>
        <v>0</v>
      </c>
      <c r="AC6778" s="18" t="str">
        <f>_xlfn.XLOOKUP(L6778,'[3]2025 Mapping v3'!A:A,'[3]2025 Mapping v3'!B:B,"Error",0)</f>
        <v>Error</v>
      </c>
      <c r="AD6778" s="18" t="str">
        <f>_xlfn.XLOOKUP(L6778,'[3]2025 Mapping v3'!A:A,'[3]2025 Mapping v3'!C:C,"Error",0)</f>
        <v>Error</v>
      </c>
      <c r="AE6778" s="18" t="str">
        <f>_xlfn.XLOOKUP(L6778,'[3]2025 Mapping v3'!A:A,'[3]2025 Mapping v3'!D:D,"Error",0)</f>
        <v>Error</v>
      </c>
      <c r="AF6778" s="18" t="str">
        <f>_xlfn.XLOOKUP(L6778,'[3]2025 Mapping v3'!A:A,'[3]2025 Mapping v3'!E:E,"Error",0)</f>
        <v>Error</v>
      </c>
    </row>
    <row r="6779" spans="27:32">
      <c r="AA6779" s="18">
        <f>_xlfn.XLOOKUP(Y6779,'[2]Data Source'!A:A,'[2]Data Source'!B:B,"N/A",0)</f>
        <v>0</v>
      </c>
      <c r="AB6779" s="18">
        <f t="shared" si="25"/>
        <v>0</v>
      </c>
      <c r="AC6779" s="18" t="str">
        <f>_xlfn.XLOOKUP(L6779,'[3]2025 Mapping v3'!A:A,'[3]2025 Mapping v3'!B:B,"Error",0)</f>
        <v>Error</v>
      </c>
      <c r="AD6779" s="18" t="str">
        <f>_xlfn.XLOOKUP(L6779,'[3]2025 Mapping v3'!A:A,'[3]2025 Mapping v3'!C:C,"Error",0)</f>
        <v>Error</v>
      </c>
      <c r="AE6779" s="18" t="str">
        <f>_xlfn.XLOOKUP(L6779,'[3]2025 Mapping v3'!A:A,'[3]2025 Mapping v3'!D:D,"Error",0)</f>
        <v>Error</v>
      </c>
      <c r="AF6779" s="18" t="str">
        <f>_xlfn.XLOOKUP(L6779,'[3]2025 Mapping v3'!A:A,'[3]2025 Mapping v3'!E:E,"Error",0)</f>
        <v>Error</v>
      </c>
    </row>
    <row r="6780" spans="27:32">
      <c r="AA6780" s="18">
        <f>_xlfn.XLOOKUP(Y6780,'[2]Data Source'!A:A,'[2]Data Source'!B:B,"N/A",0)</f>
        <v>0</v>
      </c>
      <c r="AB6780" s="18">
        <f t="shared" si="25"/>
        <v>0</v>
      </c>
      <c r="AC6780" s="18" t="str">
        <f>_xlfn.XLOOKUP(L6780,'[3]2025 Mapping v3'!A:A,'[3]2025 Mapping v3'!B:B,"Error",0)</f>
        <v>Error</v>
      </c>
      <c r="AD6780" s="18" t="str">
        <f>_xlfn.XLOOKUP(L6780,'[3]2025 Mapping v3'!A:A,'[3]2025 Mapping v3'!C:C,"Error",0)</f>
        <v>Error</v>
      </c>
      <c r="AE6780" s="18" t="str">
        <f>_xlfn.XLOOKUP(L6780,'[3]2025 Mapping v3'!A:A,'[3]2025 Mapping v3'!D:D,"Error",0)</f>
        <v>Error</v>
      </c>
      <c r="AF6780" s="18" t="str">
        <f>_xlfn.XLOOKUP(L6780,'[3]2025 Mapping v3'!A:A,'[3]2025 Mapping v3'!E:E,"Error",0)</f>
        <v>Error</v>
      </c>
    </row>
    <row r="6781" spans="27:32">
      <c r="AA6781" s="18">
        <f>_xlfn.XLOOKUP(Y6781,'[2]Data Source'!A:A,'[2]Data Source'!B:B,"N/A",0)</f>
        <v>0</v>
      </c>
      <c r="AB6781" s="18">
        <f t="shared" si="25"/>
        <v>0</v>
      </c>
      <c r="AC6781" s="18" t="str">
        <f>_xlfn.XLOOKUP(L6781,'[3]2025 Mapping v3'!A:A,'[3]2025 Mapping v3'!B:B,"Error",0)</f>
        <v>Error</v>
      </c>
      <c r="AD6781" s="18" t="str">
        <f>_xlfn.XLOOKUP(L6781,'[3]2025 Mapping v3'!A:A,'[3]2025 Mapping v3'!C:C,"Error",0)</f>
        <v>Error</v>
      </c>
      <c r="AE6781" s="18" t="str">
        <f>_xlfn.XLOOKUP(L6781,'[3]2025 Mapping v3'!A:A,'[3]2025 Mapping v3'!D:D,"Error",0)</f>
        <v>Error</v>
      </c>
      <c r="AF6781" s="18" t="str">
        <f>_xlfn.XLOOKUP(L6781,'[3]2025 Mapping v3'!A:A,'[3]2025 Mapping v3'!E:E,"Error",0)</f>
        <v>Error</v>
      </c>
    </row>
    <row r="6782" spans="27:32">
      <c r="AA6782" s="18">
        <f>_xlfn.XLOOKUP(Y6782,'[2]Data Source'!A:A,'[2]Data Source'!B:B,"N/A",0)</f>
        <v>0</v>
      </c>
      <c r="AB6782" s="18">
        <f t="shared" si="25"/>
        <v>0</v>
      </c>
      <c r="AC6782" s="18" t="str">
        <f>_xlfn.XLOOKUP(L6782,'[3]2025 Mapping v3'!A:A,'[3]2025 Mapping v3'!B:B,"Error",0)</f>
        <v>Error</v>
      </c>
      <c r="AD6782" s="18" t="str">
        <f>_xlfn.XLOOKUP(L6782,'[3]2025 Mapping v3'!A:A,'[3]2025 Mapping v3'!C:C,"Error",0)</f>
        <v>Error</v>
      </c>
      <c r="AE6782" s="18" t="str">
        <f>_xlfn.XLOOKUP(L6782,'[3]2025 Mapping v3'!A:A,'[3]2025 Mapping v3'!D:D,"Error",0)</f>
        <v>Error</v>
      </c>
      <c r="AF6782" s="18" t="str">
        <f>_xlfn.XLOOKUP(L6782,'[3]2025 Mapping v3'!A:A,'[3]2025 Mapping v3'!E:E,"Error",0)</f>
        <v>Error</v>
      </c>
    </row>
    <row r="6783" spans="27:32">
      <c r="AA6783" s="18">
        <f>_xlfn.XLOOKUP(Y6783,'[2]Data Source'!A:A,'[2]Data Source'!B:B,"N/A",0)</f>
        <v>0</v>
      </c>
      <c r="AB6783" s="18">
        <f t="shared" si="25"/>
        <v>0</v>
      </c>
      <c r="AC6783" s="18" t="str">
        <f>_xlfn.XLOOKUP(L6783,'[3]2025 Mapping v3'!A:A,'[3]2025 Mapping v3'!B:B,"Error",0)</f>
        <v>Error</v>
      </c>
      <c r="AD6783" s="18" t="str">
        <f>_xlfn.XLOOKUP(L6783,'[3]2025 Mapping v3'!A:A,'[3]2025 Mapping v3'!C:C,"Error",0)</f>
        <v>Error</v>
      </c>
      <c r="AE6783" s="18" t="str">
        <f>_xlfn.XLOOKUP(L6783,'[3]2025 Mapping v3'!A:A,'[3]2025 Mapping v3'!D:D,"Error",0)</f>
        <v>Error</v>
      </c>
      <c r="AF6783" s="18" t="str">
        <f>_xlfn.XLOOKUP(L6783,'[3]2025 Mapping v3'!A:A,'[3]2025 Mapping v3'!E:E,"Error",0)</f>
        <v>Error</v>
      </c>
    </row>
    <row r="6784" spans="27:32">
      <c r="AA6784" s="18">
        <f>_xlfn.XLOOKUP(Y6784,'[2]Data Source'!A:A,'[2]Data Source'!B:B,"N/A",0)</f>
        <v>0</v>
      </c>
      <c r="AB6784" s="18">
        <f t="shared" si="25"/>
        <v>0</v>
      </c>
      <c r="AC6784" s="18" t="str">
        <f>_xlfn.XLOOKUP(L6784,'[3]2025 Mapping v3'!A:A,'[3]2025 Mapping v3'!B:B,"Error",0)</f>
        <v>Error</v>
      </c>
      <c r="AD6784" s="18" t="str">
        <f>_xlfn.XLOOKUP(L6784,'[3]2025 Mapping v3'!A:A,'[3]2025 Mapping v3'!C:C,"Error",0)</f>
        <v>Error</v>
      </c>
      <c r="AE6784" s="18" t="str">
        <f>_xlfn.XLOOKUP(L6784,'[3]2025 Mapping v3'!A:A,'[3]2025 Mapping v3'!D:D,"Error",0)</f>
        <v>Error</v>
      </c>
      <c r="AF6784" s="18" t="str">
        <f>_xlfn.XLOOKUP(L6784,'[3]2025 Mapping v3'!A:A,'[3]2025 Mapping v3'!E:E,"Error",0)</f>
        <v>Error</v>
      </c>
    </row>
    <row r="6785" spans="27:32">
      <c r="AA6785" s="18">
        <f>_xlfn.XLOOKUP(Y6785,'[2]Data Source'!A:A,'[2]Data Source'!B:B,"N/A",0)</f>
        <v>0</v>
      </c>
      <c r="AB6785" s="18">
        <f t="shared" si="25"/>
        <v>0</v>
      </c>
      <c r="AC6785" s="18" t="str">
        <f>_xlfn.XLOOKUP(L6785,'[3]2025 Mapping v3'!A:A,'[3]2025 Mapping v3'!B:B,"Error",0)</f>
        <v>Error</v>
      </c>
      <c r="AD6785" s="18" t="str">
        <f>_xlfn.XLOOKUP(L6785,'[3]2025 Mapping v3'!A:A,'[3]2025 Mapping v3'!C:C,"Error",0)</f>
        <v>Error</v>
      </c>
      <c r="AE6785" s="18" t="str">
        <f>_xlfn.XLOOKUP(L6785,'[3]2025 Mapping v3'!A:A,'[3]2025 Mapping v3'!D:D,"Error",0)</f>
        <v>Error</v>
      </c>
      <c r="AF6785" s="18" t="str">
        <f>_xlfn.XLOOKUP(L6785,'[3]2025 Mapping v3'!A:A,'[3]2025 Mapping v3'!E:E,"Error",0)</f>
        <v>Error</v>
      </c>
    </row>
    <row r="6786" spans="27:32">
      <c r="AA6786" s="18">
        <f>_xlfn.XLOOKUP(Y6786,'[2]Data Source'!A:A,'[2]Data Source'!B:B,"N/A",0)</f>
        <v>0</v>
      </c>
      <c r="AB6786" s="18">
        <f t="shared" si="25"/>
        <v>0</v>
      </c>
      <c r="AC6786" s="18" t="str">
        <f>_xlfn.XLOOKUP(L6786,'[3]2025 Mapping v3'!A:A,'[3]2025 Mapping v3'!B:B,"Error",0)</f>
        <v>Error</v>
      </c>
      <c r="AD6786" s="18" t="str">
        <f>_xlfn.XLOOKUP(L6786,'[3]2025 Mapping v3'!A:A,'[3]2025 Mapping v3'!C:C,"Error",0)</f>
        <v>Error</v>
      </c>
      <c r="AE6786" s="18" t="str">
        <f>_xlfn.XLOOKUP(L6786,'[3]2025 Mapping v3'!A:A,'[3]2025 Mapping v3'!D:D,"Error",0)</f>
        <v>Error</v>
      </c>
      <c r="AF6786" s="18" t="str">
        <f>_xlfn.XLOOKUP(L6786,'[3]2025 Mapping v3'!A:A,'[3]2025 Mapping v3'!E:E,"Error",0)</f>
        <v>Error</v>
      </c>
    </row>
    <row r="6787" spans="27:32">
      <c r="AA6787" s="18">
        <f>_xlfn.XLOOKUP(Y6787,'[2]Data Source'!A:A,'[2]Data Source'!B:B,"N/A",0)</f>
        <v>0</v>
      </c>
      <c r="AB6787" s="18">
        <f t="shared" si="25"/>
        <v>0</v>
      </c>
      <c r="AC6787" s="18" t="str">
        <f>_xlfn.XLOOKUP(L6787,'[3]2025 Mapping v3'!A:A,'[3]2025 Mapping v3'!B:B,"Error",0)</f>
        <v>Error</v>
      </c>
      <c r="AD6787" s="18" t="str">
        <f>_xlfn.XLOOKUP(L6787,'[3]2025 Mapping v3'!A:A,'[3]2025 Mapping v3'!C:C,"Error",0)</f>
        <v>Error</v>
      </c>
      <c r="AE6787" s="18" t="str">
        <f>_xlfn.XLOOKUP(L6787,'[3]2025 Mapping v3'!A:A,'[3]2025 Mapping v3'!D:D,"Error",0)</f>
        <v>Error</v>
      </c>
      <c r="AF6787" s="18" t="str">
        <f>_xlfn.XLOOKUP(L6787,'[3]2025 Mapping v3'!A:A,'[3]2025 Mapping v3'!E:E,"Error",0)</f>
        <v>Error</v>
      </c>
    </row>
    <row r="6788" spans="27:32">
      <c r="AA6788" s="18">
        <f>_xlfn.XLOOKUP(Y6788,'[2]Data Source'!A:A,'[2]Data Source'!B:B,"N/A",0)</f>
        <v>0</v>
      </c>
      <c r="AB6788" s="18">
        <f t="shared" si="25"/>
        <v>0</v>
      </c>
      <c r="AC6788" s="18" t="str">
        <f>_xlfn.XLOOKUP(L6788,'[3]2025 Mapping v3'!A:A,'[3]2025 Mapping v3'!B:B,"Error",0)</f>
        <v>Error</v>
      </c>
      <c r="AD6788" s="18" t="str">
        <f>_xlfn.XLOOKUP(L6788,'[3]2025 Mapping v3'!A:A,'[3]2025 Mapping v3'!C:C,"Error",0)</f>
        <v>Error</v>
      </c>
      <c r="AE6788" s="18" t="str">
        <f>_xlfn.XLOOKUP(L6788,'[3]2025 Mapping v3'!A:A,'[3]2025 Mapping v3'!D:D,"Error",0)</f>
        <v>Error</v>
      </c>
      <c r="AF6788" s="18" t="str">
        <f>_xlfn.XLOOKUP(L6788,'[3]2025 Mapping v3'!A:A,'[3]2025 Mapping v3'!E:E,"Error",0)</f>
        <v>Error</v>
      </c>
    </row>
    <row r="6789" spans="27:32">
      <c r="AA6789" s="18">
        <f>_xlfn.XLOOKUP(Y6789,'[2]Data Source'!A:A,'[2]Data Source'!B:B,"N/A",0)</f>
        <v>0</v>
      </c>
      <c r="AB6789" s="18">
        <f t="shared" si="25"/>
        <v>0</v>
      </c>
      <c r="AC6789" s="18" t="str">
        <f>_xlfn.XLOOKUP(L6789,'[3]2025 Mapping v3'!A:A,'[3]2025 Mapping v3'!B:B,"Error",0)</f>
        <v>Error</v>
      </c>
      <c r="AD6789" s="18" t="str">
        <f>_xlfn.XLOOKUP(L6789,'[3]2025 Mapping v3'!A:A,'[3]2025 Mapping v3'!C:C,"Error",0)</f>
        <v>Error</v>
      </c>
      <c r="AE6789" s="18" t="str">
        <f>_xlfn.XLOOKUP(L6789,'[3]2025 Mapping v3'!A:A,'[3]2025 Mapping v3'!D:D,"Error",0)</f>
        <v>Error</v>
      </c>
      <c r="AF6789" s="18" t="str">
        <f>_xlfn.XLOOKUP(L6789,'[3]2025 Mapping v3'!A:A,'[3]2025 Mapping v3'!E:E,"Error",0)</f>
        <v>Error</v>
      </c>
    </row>
    <row r="6790" spans="27:32">
      <c r="AA6790" s="18">
        <f>_xlfn.XLOOKUP(Y6790,'[2]Data Source'!A:A,'[2]Data Source'!B:B,"N/A",0)</f>
        <v>0</v>
      </c>
      <c r="AB6790" s="18">
        <f t="shared" si="25"/>
        <v>0</v>
      </c>
      <c r="AC6790" s="18" t="str">
        <f>_xlfn.XLOOKUP(L6790,'[3]2025 Mapping v3'!A:A,'[3]2025 Mapping v3'!B:B,"Error",0)</f>
        <v>Error</v>
      </c>
      <c r="AD6790" s="18" t="str">
        <f>_xlfn.XLOOKUP(L6790,'[3]2025 Mapping v3'!A:A,'[3]2025 Mapping v3'!C:C,"Error",0)</f>
        <v>Error</v>
      </c>
      <c r="AE6790" s="18" t="str">
        <f>_xlfn.XLOOKUP(L6790,'[3]2025 Mapping v3'!A:A,'[3]2025 Mapping v3'!D:D,"Error",0)</f>
        <v>Error</v>
      </c>
      <c r="AF6790" s="18" t="str">
        <f>_xlfn.XLOOKUP(L6790,'[3]2025 Mapping v3'!A:A,'[3]2025 Mapping v3'!E:E,"Error",0)</f>
        <v>Error</v>
      </c>
    </row>
    <row r="6791" spans="27:32">
      <c r="AA6791" s="18">
        <f>_xlfn.XLOOKUP(Y6791,'[2]Data Source'!A:A,'[2]Data Source'!B:B,"N/A",0)</f>
        <v>0</v>
      </c>
      <c r="AB6791" s="18">
        <f t="shared" si="25"/>
        <v>0</v>
      </c>
      <c r="AC6791" s="18" t="str">
        <f>_xlfn.XLOOKUP(L6791,'[3]2025 Mapping v3'!A:A,'[3]2025 Mapping v3'!B:B,"Error",0)</f>
        <v>Error</v>
      </c>
      <c r="AD6791" s="18" t="str">
        <f>_xlfn.XLOOKUP(L6791,'[3]2025 Mapping v3'!A:A,'[3]2025 Mapping v3'!C:C,"Error",0)</f>
        <v>Error</v>
      </c>
      <c r="AE6791" s="18" t="str">
        <f>_xlfn.XLOOKUP(L6791,'[3]2025 Mapping v3'!A:A,'[3]2025 Mapping v3'!D:D,"Error",0)</f>
        <v>Error</v>
      </c>
      <c r="AF6791" s="18" t="str">
        <f>_xlfn.XLOOKUP(L6791,'[3]2025 Mapping v3'!A:A,'[3]2025 Mapping v3'!E:E,"Error",0)</f>
        <v>Error</v>
      </c>
    </row>
    <row r="6792" spans="27:32">
      <c r="AA6792" s="18">
        <f>_xlfn.XLOOKUP(Y6792,'[2]Data Source'!A:A,'[2]Data Source'!B:B,"N/A",0)</f>
        <v>0</v>
      </c>
      <c r="AB6792" s="18">
        <f t="shared" si="25"/>
        <v>0</v>
      </c>
      <c r="AC6792" s="18" t="str">
        <f>_xlfn.XLOOKUP(L6792,'[3]2025 Mapping v3'!A:A,'[3]2025 Mapping v3'!B:B,"Error",0)</f>
        <v>Error</v>
      </c>
      <c r="AD6792" s="18" t="str">
        <f>_xlfn.XLOOKUP(L6792,'[3]2025 Mapping v3'!A:A,'[3]2025 Mapping v3'!C:C,"Error",0)</f>
        <v>Error</v>
      </c>
      <c r="AE6792" s="18" t="str">
        <f>_xlfn.XLOOKUP(L6792,'[3]2025 Mapping v3'!A:A,'[3]2025 Mapping v3'!D:D,"Error",0)</f>
        <v>Error</v>
      </c>
      <c r="AF6792" s="18" t="str">
        <f>_xlfn.XLOOKUP(L6792,'[3]2025 Mapping v3'!A:A,'[3]2025 Mapping v3'!E:E,"Error",0)</f>
        <v>Error</v>
      </c>
    </row>
    <row r="6793" spans="27:32">
      <c r="AA6793" s="18">
        <f>_xlfn.XLOOKUP(Y6793,'[2]Data Source'!A:A,'[2]Data Source'!B:B,"N/A",0)</f>
        <v>0</v>
      </c>
      <c r="AB6793" s="18">
        <f t="shared" ref="AB6793:AB6856" si="26">L6793</f>
        <v>0</v>
      </c>
      <c r="AC6793" s="18" t="str">
        <f>_xlfn.XLOOKUP(L6793,'[3]2025 Mapping v3'!A:A,'[3]2025 Mapping v3'!B:B,"Error",0)</f>
        <v>Error</v>
      </c>
      <c r="AD6793" s="18" t="str">
        <f>_xlfn.XLOOKUP(L6793,'[3]2025 Mapping v3'!A:A,'[3]2025 Mapping v3'!C:C,"Error",0)</f>
        <v>Error</v>
      </c>
      <c r="AE6793" s="18" t="str">
        <f>_xlfn.XLOOKUP(L6793,'[3]2025 Mapping v3'!A:A,'[3]2025 Mapping v3'!D:D,"Error",0)</f>
        <v>Error</v>
      </c>
      <c r="AF6793" s="18" t="str">
        <f>_xlfn.XLOOKUP(L6793,'[3]2025 Mapping v3'!A:A,'[3]2025 Mapping v3'!E:E,"Error",0)</f>
        <v>Error</v>
      </c>
    </row>
    <row r="6794" spans="27:32">
      <c r="AA6794" s="18">
        <f>_xlfn.XLOOKUP(Y6794,'[2]Data Source'!A:A,'[2]Data Source'!B:B,"N/A",0)</f>
        <v>0</v>
      </c>
      <c r="AB6794" s="18">
        <f t="shared" si="26"/>
        <v>0</v>
      </c>
      <c r="AC6794" s="18" t="str">
        <f>_xlfn.XLOOKUP(L6794,'[3]2025 Mapping v3'!A:A,'[3]2025 Mapping v3'!B:B,"Error",0)</f>
        <v>Error</v>
      </c>
      <c r="AD6794" s="18" t="str">
        <f>_xlfn.XLOOKUP(L6794,'[3]2025 Mapping v3'!A:A,'[3]2025 Mapping v3'!C:C,"Error",0)</f>
        <v>Error</v>
      </c>
      <c r="AE6794" s="18" t="str">
        <f>_xlfn.XLOOKUP(L6794,'[3]2025 Mapping v3'!A:A,'[3]2025 Mapping v3'!D:D,"Error",0)</f>
        <v>Error</v>
      </c>
      <c r="AF6794" s="18" t="str">
        <f>_xlfn.XLOOKUP(L6794,'[3]2025 Mapping v3'!A:A,'[3]2025 Mapping v3'!E:E,"Error",0)</f>
        <v>Error</v>
      </c>
    </row>
    <row r="6795" spans="27:32">
      <c r="AA6795" s="18">
        <f>_xlfn.XLOOKUP(Y6795,'[2]Data Source'!A:A,'[2]Data Source'!B:B,"N/A",0)</f>
        <v>0</v>
      </c>
      <c r="AB6795" s="18">
        <f t="shared" si="26"/>
        <v>0</v>
      </c>
      <c r="AC6795" s="18" t="str">
        <f>_xlfn.XLOOKUP(L6795,'[3]2025 Mapping v3'!A:A,'[3]2025 Mapping v3'!B:B,"Error",0)</f>
        <v>Error</v>
      </c>
      <c r="AD6795" s="18" t="str">
        <f>_xlfn.XLOOKUP(L6795,'[3]2025 Mapping v3'!A:A,'[3]2025 Mapping v3'!C:C,"Error",0)</f>
        <v>Error</v>
      </c>
      <c r="AE6795" s="18" t="str">
        <f>_xlfn.XLOOKUP(L6795,'[3]2025 Mapping v3'!A:A,'[3]2025 Mapping v3'!D:D,"Error",0)</f>
        <v>Error</v>
      </c>
      <c r="AF6795" s="18" t="str">
        <f>_xlfn.XLOOKUP(L6795,'[3]2025 Mapping v3'!A:A,'[3]2025 Mapping v3'!E:E,"Error",0)</f>
        <v>Error</v>
      </c>
    </row>
    <row r="6796" spans="27:32">
      <c r="AA6796" s="18">
        <f>_xlfn.XLOOKUP(Y6796,'[2]Data Source'!A:A,'[2]Data Source'!B:B,"N/A",0)</f>
        <v>0</v>
      </c>
      <c r="AB6796" s="18">
        <f t="shared" si="26"/>
        <v>0</v>
      </c>
      <c r="AC6796" s="18" t="str">
        <f>_xlfn.XLOOKUP(L6796,'[3]2025 Mapping v3'!A:A,'[3]2025 Mapping v3'!B:B,"Error",0)</f>
        <v>Error</v>
      </c>
      <c r="AD6796" s="18" t="str">
        <f>_xlfn.XLOOKUP(L6796,'[3]2025 Mapping v3'!A:A,'[3]2025 Mapping v3'!C:C,"Error",0)</f>
        <v>Error</v>
      </c>
      <c r="AE6796" s="18" t="str">
        <f>_xlfn.XLOOKUP(L6796,'[3]2025 Mapping v3'!A:A,'[3]2025 Mapping v3'!D:D,"Error",0)</f>
        <v>Error</v>
      </c>
      <c r="AF6796" s="18" t="str">
        <f>_xlfn.XLOOKUP(L6796,'[3]2025 Mapping v3'!A:A,'[3]2025 Mapping v3'!E:E,"Error",0)</f>
        <v>Error</v>
      </c>
    </row>
    <row r="6797" spans="27:32">
      <c r="AA6797" s="18">
        <f>_xlfn.XLOOKUP(Y6797,'[2]Data Source'!A:A,'[2]Data Source'!B:B,"N/A",0)</f>
        <v>0</v>
      </c>
      <c r="AB6797" s="18">
        <f t="shared" si="26"/>
        <v>0</v>
      </c>
      <c r="AC6797" s="18" t="str">
        <f>_xlfn.XLOOKUP(L6797,'[3]2025 Mapping v3'!A:A,'[3]2025 Mapping v3'!B:B,"Error",0)</f>
        <v>Error</v>
      </c>
      <c r="AD6797" s="18" t="str">
        <f>_xlfn.XLOOKUP(L6797,'[3]2025 Mapping v3'!A:A,'[3]2025 Mapping v3'!C:C,"Error",0)</f>
        <v>Error</v>
      </c>
      <c r="AE6797" s="18" t="str">
        <f>_xlfn.XLOOKUP(L6797,'[3]2025 Mapping v3'!A:A,'[3]2025 Mapping v3'!D:D,"Error",0)</f>
        <v>Error</v>
      </c>
      <c r="AF6797" s="18" t="str">
        <f>_xlfn.XLOOKUP(L6797,'[3]2025 Mapping v3'!A:A,'[3]2025 Mapping v3'!E:E,"Error",0)</f>
        <v>Error</v>
      </c>
    </row>
    <row r="6798" spans="27:32">
      <c r="AA6798" s="18">
        <f>_xlfn.XLOOKUP(Y6798,'[2]Data Source'!A:A,'[2]Data Source'!B:B,"N/A",0)</f>
        <v>0</v>
      </c>
      <c r="AB6798" s="18">
        <f t="shared" si="26"/>
        <v>0</v>
      </c>
      <c r="AC6798" s="18" t="str">
        <f>_xlfn.XLOOKUP(L6798,'[3]2025 Mapping v3'!A:A,'[3]2025 Mapping v3'!B:B,"Error",0)</f>
        <v>Error</v>
      </c>
      <c r="AD6798" s="18" t="str">
        <f>_xlfn.XLOOKUP(L6798,'[3]2025 Mapping v3'!A:A,'[3]2025 Mapping v3'!C:C,"Error",0)</f>
        <v>Error</v>
      </c>
      <c r="AE6798" s="18" t="str">
        <f>_xlfn.XLOOKUP(L6798,'[3]2025 Mapping v3'!A:A,'[3]2025 Mapping v3'!D:D,"Error",0)</f>
        <v>Error</v>
      </c>
      <c r="AF6798" s="18" t="str">
        <f>_xlfn.XLOOKUP(L6798,'[3]2025 Mapping v3'!A:A,'[3]2025 Mapping v3'!E:E,"Error",0)</f>
        <v>Error</v>
      </c>
    </row>
    <row r="6799" spans="27:32">
      <c r="AA6799" s="18">
        <f>_xlfn.XLOOKUP(Y6799,'[2]Data Source'!A:A,'[2]Data Source'!B:B,"N/A",0)</f>
        <v>0</v>
      </c>
      <c r="AB6799" s="18">
        <f t="shared" si="26"/>
        <v>0</v>
      </c>
      <c r="AC6799" s="18" t="str">
        <f>_xlfn.XLOOKUP(L6799,'[3]2025 Mapping v3'!A:A,'[3]2025 Mapping v3'!B:B,"Error",0)</f>
        <v>Error</v>
      </c>
      <c r="AD6799" s="18" t="str">
        <f>_xlfn.XLOOKUP(L6799,'[3]2025 Mapping v3'!A:A,'[3]2025 Mapping v3'!C:C,"Error",0)</f>
        <v>Error</v>
      </c>
      <c r="AE6799" s="18" t="str">
        <f>_xlfn.XLOOKUP(L6799,'[3]2025 Mapping v3'!A:A,'[3]2025 Mapping v3'!D:D,"Error",0)</f>
        <v>Error</v>
      </c>
      <c r="AF6799" s="18" t="str">
        <f>_xlfn.XLOOKUP(L6799,'[3]2025 Mapping v3'!A:A,'[3]2025 Mapping v3'!E:E,"Error",0)</f>
        <v>Error</v>
      </c>
    </row>
    <row r="6800" spans="27:32">
      <c r="AA6800" s="18">
        <f>_xlfn.XLOOKUP(Y6800,'[2]Data Source'!A:A,'[2]Data Source'!B:B,"N/A",0)</f>
        <v>0</v>
      </c>
      <c r="AB6800" s="18">
        <f t="shared" si="26"/>
        <v>0</v>
      </c>
      <c r="AC6800" s="18" t="str">
        <f>_xlfn.XLOOKUP(L6800,'[3]2025 Mapping v3'!A:A,'[3]2025 Mapping v3'!B:B,"Error",0)</f>
        <v>Error</v>
      </c>
      <c r="AD6800" s="18" t="str">
        <f>_xlfn.XLOOKUP(L6800,'[3]2025 Mapping v3'!A:A,'[3]2025 Mapping v3'!C:C,"Error",0)</f>
        <v>Error</v>
      </c>
      <c r="AE6800" s="18" t="str">
        <f>_xlfn.XLOOKUP(L6800,'[3]2025 Mapping v3'!A:A,'[3]2025 Mapping v3'!D:D,"Error",0)</f>
        <v>Error</v>
      </c>
      <c r="AF6800" s="18" t="str">
        <f>_xlfn.XLOOKUP(L6800,'[3]2025 Mapping v3'!A:A,'[3]2025 Mapping v3'!E:E,"Error",0)</f>
        <v>Error</v>
      </c>
    </row>
    <row r="6801" spans="27:32">
      <c r="AA6801" s="18">
        <f>_xlfn.XLOOKUP(Y6801,'[2]Data Source'!A:A,'[2]Data Source'!B:B,"N/A",0)</f>
        <v>0</v>
      </c>
      <c r="AB6801" s="18">
        <f t="shared" si="26"/>
        <v>0</v>
      </c>
      <c r="AC6801" s="18" t="str">
        <f>_xlfn.XLOOKUP(L6801,'[3]2025 Mapping v3'!A:A,'[3]2025 Mapping v3'!B:B,"Error",0)</f>
        <v>Error</v>
      </c>
      <c r="AD6801" s="18" t="str">
        <f>_xlfn.XLOOKUP(L6801,'[3]2025 Mapping v3'!A:A,'[3]2025 Mapping v3'!C:C,"Error",0)</f>
        <v>Error</v>
      </c>
      <c r="AE6801" s="18" t="str">
        <f>_xlfn.XLOOKUP(L6801,'[3]2025 Mapping v3'!A:A,'[3]2025 Mapping v3'!D:D,"Error",0)</f>
        <v>Error</v>
      </c>
      <c r="AF6801" s="18" t="str">
        <f>_xlfn.XLOOKUP(L6801,'[3]2025 Mapping v3'!A:A,'[3]2025 Mapping v3'!E:E,"Error",0)</f>
        <v>Error</v>
      </c>
    </row>
    <row r="6802" spans="27:32">
      <c r="AA6802" s="18">
        <f>_xlfn.XLOOKUP(Y6802,'[2]Data Source'!A:A,'[2]Data Source'!B:B,"N/A",0)</f>
        <v>0</v>
      </c>
      <c r="AB6802" s="18">
        <f t="shared" si="26"/>
        <v>0</v>
      </c>
      <c r="AC6802" s="18" t="str">
        <f>_xlfn.XLOOKUP(L6802,'[3]2025 Mapping v3'!A:A,'[3]2025 Mapping v3'!B:B,"Error",0)</f>
        <v>Error</v>
      </c>
      <c r="AD6802" s="18" t="str">
        <f>_xlfn.XLOOKUP(L6802,'[3]2025 Mapping v3'!A:A,'[3]2025 Mapping v3'!C:C,"Error",0)</f>
        <v>Error</v>
      </c>
      <c r="AE6802" s="18" t="str">
        <f>_xlfn.XLOOKUP(L6802,'[3]2025 Mapping v3'!A:A,'[3]2025 Mapping v3'!D:D,"Error",0)</f>
        <v>Error</v>
      </c>
      <c r="AF6802" s="18" t="str">
        <f>_xlfn.XLOOKUP(L6802,'[3]2025 Mapping v3'!A:A,'[3]2025 Mapping v3'!E:E,"Error",0)</f>
        <v>Error</v>
      </c>
    </row>
    <row r="6803" spans="27:32">
      <c r="AA6803" s="18">
        <f>_xlfn.XLOOKUP(Y6803,'[2]Data Source'!A:A,'[2]Data Source'!B:B,"N/A",0)</f>
        <v>0</v>
      </c>
      <c r="AB6803" s="18">
        <f t="shared" si="26"/>
        <v>0</v>
      </c>
      <c r="AC6803" s="18" t="str">
        <f>_xlfn.XLOOKUP(L6803,'[3]2025 Mapping v3'!A:A,'[3]2025 Mapping v3'!B:B,"Error",0)</f>
        <v>Error</v>
      </c>
      <c r="AD6803" s="18" t="str">
        <f>_xlfn.XLOOKUP(L6803,'[3]2025 Mapping v3'!A:A,'[3]2025 Mapping v3'!C:C,"Error",0)</f>
        <v>Error</v>
      </c>
      <c r="AE6803" s="18" t="str">
        <f>_xlfn.XLOOKUP(L6803,'[3]2025 Mapping v3'!A:A,'[3]2025 Mapping v3'!D:D,"Error",0)</f>
        <v>Error</v>
      </c>
      <c r="AF6803" s="18" t="str">
        <f>_xlfn.XLOOKUP(L6803,'[3]2025 Mapping v3'!A:A,'[3]2025 Mapping v3'!E:E,"Error",0)</f>
        <v>Error</v>
      </c>
    </row>
    <row r="6804" spans="27:32">
      <c r="AA6804" s="18">
        <f>_xlfn.XLOOKUP(Y6804,'[2]Data Source'!A:A,'[2]Data Source'!B:B,"N/A",0)</f>
        <v>0</v>
      </c>
      <c r="AB6804" s="18">
        <f t="shared" si="26"/>
        <v>0</v>
      </c>
      <c r="AC6804" s="18" t="str">
        <f>_xlfn.XLOOKUP(L6804,'[3]2025 Mapping v3'!A:A,'[3]2025 Mapping v3'!B:B,"Error",0)</f>
        <v>Error</v>
      </c>
      <c r="AD6804" s="18" t="str">
        <f>_xlfn.XLOOKUP(L6804,'[3]2025 Mapping v3'!A:A,'[3]2025 Mapping v3'!C:C,"Error",0)</f>
        <v>Error</v>
      </c>
      <c r="AE6804" s="18" t="str">
        <f>_xlfn.XLOOKUP(L6804,'[3]2025 Mapping v3'!A:A,'[3]2025 Mapping v3'!D:D,"Error",0)</f>
        <v>Error</v>
      </c>
      <c r="AF6804" s="18" t="str">
        <f>_xlfn.XLOOKUP(L6804,'[3]2025 Mapping v3'!A:A,'[3]2025 Mapping v3'!E:E,"Error",0)</f>
        <v>Error</v>
      </c>
    </row>
    <row r="6805" spans="27:32">
      <c r="AA6805" s="18">
        <f>_xlfn.XLOOKUP(Y6805,'[2]Data Source'!A:A,'[2]Data Source'!B:B,"N/A",0)</f>
        <v>0</v>
      </c>
      <c r="AB6805" s="18">
        <f t="shared" si="26"/>
        <v>0</v>
      </c>
      <c r="AC6805" s="18" t="str">
        <f>_xlfn.XLOOKUP(L6805,'[3]2025 Mapping v3'!A:A,'[3]2025 Mapping v3'!B:B,"Error",0)</f>
        <v>Error</v>
      </c>
      <c r="AD6805" s="18" t="str">
        <f>_xlfn.XLOOKUP(L6805,'[3]2025 Mapping v3'!A:A,'[3]2025 Mapping v3'!C:C,"Error",0)</f>
        <v>Error</v>
      </c>
      <c r="AE6805" s="18" t="str">
        <f>_xlfn.XLOOKUP(L6805,'[3]2025 Mapping v3'!A:A,'[3]2025 Mapping v3'!D:D,"Error",0)</f>
        <v>Error</v>
      </c>
      <c r="AF6805" s="18" t="str">
        <f>_xlfn.XLOOKUP(L6805,'[3]2025 Mapping v3'!A:A,'[3]2025 Mapping v3'!E:E,"Error",0)</f>
        <v>Error</v>
      </c>
    </row>
    <row r="6806" spans="27:32">
      <c r="AA6806" s="18">
        <f>_xlfn.XLOOKUP(Y6806,'[2]Data Source'!A:A,'[2]Data Source'!B:B,"N/A",0)</f>
        <v>0</v>
      </c>
      <c r="AB6806" s="18">
        <f t="shared" si="26"/>
        <v>0</v>
      </c>
      <c r="AC6806" s="18" t="str">
        <f>_xlfn.XLOOKUP(L6806,'[3]2025 Mapping v3'!A:A,'[3]2025 Mapping v3'!B:B,"Error",0)</f>
        <v>Error</v>
      </c>
      <c r="AD6806" s="18" t="str">
        <f>_xlfn.XLOOKUP(L6806,'[3]2025 Mapping v3'!A:A,'[3]2025 Mapping v3'!C:C,"Error",0)</f>
        <v>Error</v>
      </c>
      <c r="AE6806" s="18" t="str">
        <f>_xlfn.XLOOKUP(L6806,'[3]2025 Mapping v3'!A:A,'[3]2025 Mapping v3'!D:D,"Error",0)</f>
        <v>Error</v>
      </c>
      <c r="AF6806" s="18" t="str">
        <f>_xlfn.XLOOKUP(L6806,'[3]2025 Mapping v3'!A:A,'[3]2025 Mapping v3'!E:E,"Error",0)</f>
        <v>Error</v>
      </c>
    </row>
    <row r="6807" spans="27:32">
      <c r="AA6807" s="18">
        <f>_xlfn.XLOOKUP(Y6807,'[2]Data Source'!A:A,'[2]Data Source'!B:B,"N/A",0)</f>
        <v>0</v>
      </c>
      <c r="AB6807" s="18">
        <f t="shared" si="26"/>
        <v>0</v>
      </c>
      <c r="AC6807" s="18" t="str">
        <f>_xlfn.XLOOKUP(L6807,'[3]2025 Mapping v3'!A:A,'[3]2025 Mapping v3'!B:B,"Error",0)</f>
        <v>Error</v>
      </c>
      <c r="AD6807" s="18" t="str">
        <f>_xlfn.XLOOKUP(L6807,'[3]2025 Mapping v3'!A:A,'[3]2025 Mapping v3'!C:C,"Error",0)</f>
        <v>Error</v>
      </c>
      <c r="AE6807" s="18" t="str">
        <f>_xlfn.XLOOKUP(L6807,'[3]2025 Mapping v3'!A:A,'[3]2025 Mapping v3'!D:D,"Error",0)</f>
        <v>Error</v>
      </c>
      <c r="AF6807" s="18" t="str">
        <f>_xlfn.XLOOKUP(L6807,'[3]2025 Mapping v3'!A:A,'[3]2025 Mapping v3'!E:E,"Error",0)</f>
        <v>Error</v>
      </c>
    </row>
    <row r="6808" spans="27:32">
      <c r="AA6808" s="18">
        <f>_xlfn.XLOOKUP(Y6808,'[2]Data Source'!A:A,'[2]Data Source'!B:B,"N/A",0)</f>
        <v>0</v>
      </c>
      <c r="AB6808" s="18">
        <f t="shared" si="26"/>
        <v>0</v>
      </c>
      <c r="AC6808" s="18" t="str">
        <f>_xlfn.XLOOKUP(L6808,'[3]2025 Mapping v3'!A:A,'[3]2025 Mapping v3'!B:B,"Error",0)</f>
        <v>Error</v>
      </c>
      <c r="AD6808" s="18" t="str">
        <f>_xlfn.XLOOKUP(L6808,'[3]2025 Mapping v3'!A:A,'[3]2025 Mapping v3'!C:C,"Error",0)</f>
        <v>Error</v>
      </c>
      <c r="AE6808" s="18" t="str">
        <f>_xlfn.XLOOKUP(L6808,'[3]2025 Mapping v3'!A:A,'[3]2025 Mapping v3'!D:D,"Error",0)</f>
        <v>Error</v>
      </c>
      <c r="AF6808" s="18" t="str">
        <f>_xlfn.XLOOKUP(L6808,'[3]2025 Mapping v3'!A:A,'[3]2025 Mapping v3'!E:E,"Error",0)</f>
        <v>Error</v>
      </c>
    </row>
    <row r="6809" spans="27:32">
      <c r="AA6809" s="18">
        <f>_xlfn.XLOOKUP(Y6809,'[2]Data Source'!A:A,'[2]Data Source'!B:B,"N/A",0)</f>
        <v>0</v>
      </c>
      <c r="AB6809" s="18">
        <f t="shared" si="26"/>
        <v>0</v>
      </c>
      <c r="AC6809" s="18" t="str">
        <f>_xlfn.XLOOKUP(L6809,'[3]2025 Mapping v3'!A:A,'[3]2025 Mapping v3'!B:B,"Error",0)</f>
        <v>Error</v>
      </c>
      <c r="AD6809" s="18" t="str">
        <f>_xlfn.XLOOKUP(L6809,'[3]2025 Mapping v3'!A:A,'[3]2025 Mapping v3'!C:C,"Error",0)</f>
        <v>Error</v>
      </c>
      <c r="AE6809" s="18" t="str">
        <f>_xlfn.XLOOKUP(L6809,'[3]2025 Mapping v3'!A:A,'[3]2025 Mapping v3'!D:D,"Error",0)</f>
        <v>Error</v>
      </c>
      <c r="AF6809" s="18" t="str">
        <f>_xlfn.XLOOKUP(L6809,'[3]2025 Mapping v3'!A:A,'[3]2025 Mapping v3'!E:E,"Error",0)</f>
        <v>Error</v>
      </c>
    </row>
    <row r="6810" spans="27:32">
      <c r="AA6810" s="18">
        <f>_xlfn.XLOOKUP(Y6810,'[2]Data Source'!A:A,'[2]Data Source'!B:B,"N/A",0)</f>
        <v>0</v>
      </c>
      <c r="AB6810" s="18">
        <f t="shared" si="26"/>
        <v>0</v>
      </c>
      <c r="AC6810" s="18" t="str">
        <f>_xlfn.XLOOKUP(L6810,'[3]2025 Mapping v3'!A:A,'[3]2025 Mapping v3'!B:B,"Error",0)</f>
        <v>Error</v>
      </c>
      <c r="AD6810" s="18" t="str">
        <f>_xlfn.XLOOKUP(L6810,'[3]2025 Mapping v3'!A:A,'[3]2025 Mapping v3'!C:C,"Error",0)</f>
        <v>Error</v>
      </c>
      <c r="AE6810" s="18" t="str">
        <f>_xlfn.XLOOKUP(L6810,'[3]2025 Mapping v3'!A:A,'[3]2025 Mapping v3'!D:D,"Error",0)</f>
        <v>Error</v>
      </c>
      <c r="AF6810" s="18" t="str">
        <f>_xlfn.XLOOKUP(L6810,'[3]2025 Mapping v3'!A:A,'[3]2025 Mapping v3'!E:E,"Error",0)</f>
        <v>Error</v>
      </c>
    </row>
    <row r="6811" spans="27:32">
      <c r="AA6811" s="18">
        <f>_xlfn.XLOOKUP(Y6811,'[2]Data Source'!A:A,'[2]Data Source'!B:B,"N/A",0)</f>
        <v>0</v>
      </c>
      <c r="AB6811" s="18">
        <f t="shared" si="26"/>
        <v>0</v>
      </c>
      <c r="AC6811" s="18" t="str">
        <f>_xlfn.XLOOKUP(L6811,'[3]2025 Mapping v3'!A:A,'[3]2025 Mapping v3'!B:B,"Error",0)</f>
        <v>Error</v>
      </c>
      <c r="AD6811" s="18" t="str">
        <f>_xlfn.XLOOKUP(L6811,'[3]2025 Mapping v3'!A:A,'[3]2025 Mapping v3'!C:C,"Error",0)</f>
        <v>Error</v>
      </c>
      <c r="AE6811" s="18" t="str">
        <f>_xlfn.XLOOKUP(L6811,'[3]2025 Mapping v3'!A:A,'[3]2025 Mapping v3'!D:D,"Error",0)</f>
        <v>Error</v>
      </c>
      <c r="AF6811" s="18" t="str">
        <f>_xlfn.XLOOKUP(L6811,'[3]2025 Mapping v3'!A:A,'[3]2025 Mapping v3'!E:E,"Error",0)</f>
        <v>Error</v>
      </c>
    </row>
    <row r="6812" spans="27:32">
      <c r="AA6812" s="18">
        <f>_xlfn.XLOOKUP(Y6812,'[2]Data Source'!A:A,'[2]Data Source'!B:B,"N/A",0)</f>
        <v>0</v>
      </c>
      <c r="AB6812" s="18">
        <f t="shared" si="26"/>
        <v>0</v>
      </c>
      <c r="AC6812" s="18" t="str">
        <f>_xlfn.XLOOKUP(L6812,'[3]2025 Mapping v3'!A:A,'[3]2025 Mapping v3'!B:B,"Error",0)</f>
        <v>Error</v>
      </c>
      <c r="AD6812" s="18" t="str">
        <f>_xlfn.XLOOKUP(L6812,'[3]2025 Mapping v3'!A:A,'[3]2025 Mapping v3'!C:C,"Error",0)</f>
        <v>Error</v>
      </c>
      <c r="AE6812" s="18" t="str">
        <f>_xlfn.XLOOKUP(L6812,'[3]2025 Mapping v3'!A:A,'[3]2025 Mapping v3'!D:D,"Error",0)</f>
        <v>Error</v>
      </c>
      <c r="AF6812" s="18" t="str">
        <f>_xlfn.XLOOKUP(L6812,'[3]2025 Mapping v3'!A:A,'[3]2025 Mapping v3'!E:E,"Error",0)</f>
        <v>Error</v>
      </c>
    </row>
    <row r="6813" spans="27:32">
      <c r="AA6813" s="18">
        <f>_xlfn.XLOOKUP(Y6813,'[2]Data Source'!A:A,'[2]Data Source'!B:B,"N/A",0)</f>
        <v>0</v>
      </c>
      <c r="AB6813" s="18">
        <f t="shared" si="26"/>
        <v>0</v>
      </c>
      <c r="AC6813" s="18" t="str">
        <f>_xlfn.XLOOKUP(L6813,'[3]2025 Mapping v3'!A:A,'[3]2025 Mapping v3'!B:B,"Error",0)</f>
        <v>Error</v>
      </c>
      <c r="AD6813" s="18" t="str">
        <f>_xlfn.XLOOKUP(L6813,'[3]2025 Mapping v3'!A:A,'[3]2025 Mapping v3'!C:C,"Error",0)</f>
        <v>Error</v>
      </c>
      <c r="AE6813" s="18" t="str">
        <f>_xlfn.XLOOKUP(L6813,'[3]2025 Mapping v3'!A:A,'[3]2025 Mapping v3'!D:D,"Error",0)</f>
        <v>Error</v>
      </c>
      <c r="AF6813" s="18" t="str">
        <f>_xlfn.XLOOKUP(L6813,'[3]2025 Mapping v3'!A:A,'[3]2025 Mapping v3'!E:E,"Error",0)</f>
        <v>Error</v>
      </c>
    </row>
    <row r="6814" spans="27:32">
      <c r="AA6814" s="18">
        <f>_xlfn.XLOOKUP(Y6814,'[2]Data Source'!A:A,'[2]Data Source'!B:B,"N/A",0)</f>
        <v>0</v>
      </c>
      <c r="AB6814" s="18">
        <f t="shared" si="26"/>
        <v>0</v>
      </c>
      <c r="AC6814" s="18" t="str">
        <f>_xlfn.XLOOKUP(L6814,'[3]2025 Mapping v3'!A:A,'[3]2025 Mapping v3'!B:B,"Error",0)</f>
        <v>Error</v>
      </c>
      <c r="AD6814" s="18" t="str">
        <f>_xlfn.XLOOKUP(L6814,'[3]2025 Mapping v3'!A:A,'[3]2025 Mapping v3'!C:C,"Error",0)</f>
        <v>Error</v>
      </c>
      <c r="AE6814" s="18" t="str">
        <f>_xlfn.XLOOKUP(L6814,'[3]2025 Mapping v3'!A:A,'[3]2025 Mapping v3'!D:D,"Error",0)</f>
        <v>Error</v>
      </c>
      <c r="AF6814" s="18" t="str">
        <f>_xlfn.XLOOKUP(L6814,'[3]2025 Mapping v3'!A:A,'[3]2025 Mapping v3'!E:E,"Error",0)</f>
        <v>Error</v>
      </c>
    </row>
    <row r="6815" spans="27:32">
      <c r="AA6815" s="18">
        <f>_xlfn.XLOOKUP(Y6815,'[2]Data Source'!A:A,'[2]Data Source'!B:B,"N/A",0)</f>
        <v>0</v>
      </c>
      <c r="AB6815" s="18">
        <f t="shared" si="26"/>
        <v>0</v>
      </c>
      <c r="AC6815" s="18" t="str">
        <f>_xlfn.XLOOKUP(L6815,'[3]2025 Mapping v3'!A:A,'[3]2025 Mapping v3'!B:B,"Error",0)</f>
        <v>Error</v>
      </c>
      <c r="AD6815" s="18" t="str">
        <f>_xlfn.XLOOKUP(L6815,'[3]2025 Mapping v3'!A:A,'[3]2025 Mapping v3'!C:C,"Error",0)</f>
        <v>Error</v>
      </c>
      <c r="AE6815" s="18" t="str">
        <f>_xlfn.XLOOKUP(L6815,'[3]2025 Mapping v3'!A:A,'[3]2025 Mapping v3'!D:D,"Error",0)</f>
        <v>Error</v>
      </c>
      <c r="AF6815" s="18" t="str">
        <f>_xlfn.XLOOKUP(L6815,'[3]2025 Mapping v3'!A:A,'[3]2025 Mapping v3'!E:E,"Error",0)</f>
        <v>Error</v>
      </c>
    </row>
    <row r="6816" spans="27:32">
      <c r="AA6816" s="18">
        <f>_xlfn.XLOOKUP(Y6816,'[2]Data Source'!A:A,'[2]Data Source'!B:B,"N/A",0)</f>
        <v>0</v>
      </c>
      <c r="AB6816" s="18">
        <f t="shared" si="26"/>
        <v>0</v>
      </c>
      <c r="AC6816" s="18" t="str">
        <f>_xlfn.XLOOKUP(L6816,'[3]2025 Mapping v3'!A:A,'[3]2025 Mapping v3'!B:B,"Error",0)</f>
        <v>Error</v>
      </c>
      <c r="AD6816" s="18" t="str">
        <f>_xlfn.XLOOKUP(L6816,'[3]2025 Mapping v3'!A:A,'[3]2025 Mapping v3'!C:C,"Error",0)</f>
        <v>Error</v>
      </c>
      <c r="AE6816" s="18" t="str">
        <f>_xlfn.XLOOKUP(L6816,'[3]2025 Mapping v3'!A:A,'[3]2025 Mapping v3'!D:D,"Error",0)</f>
        <v>Error</v>
      </c>
      <c r="AF6816" s="18" t="str">
        <f>_xlfn.XLOOKUP(L6816,'[3]2025 Mapping v3'!A:A,'[3]2025 Mapping v3'!E:E,"Error",0)</f>
        <v>Error</v>
      </c>
    </row>
    <row r="6817" spans="27:32">
      <c r="AA6817" s="18">
        <f>_xlfn.XLOOKUP(Y6817,'[2]Data Source'!A:A,'[2]Data Source'!B:B,"N/A",0)</f>
        <v>0</v>
      </c>
      <c r="AB6817" s="18">
        <f t="shared" si="26"/>
        <v>0</v>
      </c>
      <c r="AC6817" s="18" t="str">
        <f>_xlfn.XLOOKUP(L6817,'[3]2025 Mapping v3'!A:A,'[3]2025 Mapping v3'!B:B,"Error",0)</f>
        <v>Error</v>
      </c>
      <c r="AD6817" s="18" t="str">
        <f>_xlfn.XLOOKUP(L6817,'[3]2025 Mapping v3'!A:A,'[3]2025 Mapping v3'!C:C,"Error",0)</f>
        <v>Error</v>
      </c>
      <c r="AE6817" s="18" t="str">
        <f>_xlfn.XLOOKUP(L6817,'[3]2025 Mapping v3'!A:A,'[3]2025 Mapping v3'!D:D,"Error",0)</f>
        <v>Error</v>
      </c>
      <c r="AF6817" s="18" t="str">
        <f>_xlfn.XLOOKUP(L6817,'[3]2025 Mapping v3'!A:A,'[3]2025 Mapping v3'!E:E,"Error",0)</f>
        <v>Error</v>
      </c>
    </row>
    <row r="6818" spans="27:32">
      <c r="AA6818" s="18">
        <f>_xlfn.XLOOKUP(Y6818,'[2]Data Source'!A:A,'[2]Data Source'!B:B,"N/A",0)</f>
        <v>0</v>
      </c>
      <c r="AB6818" s="18">
        <f t="shared" si="26"/>
        <v>0</v>
      </c>
      <c r="AC6818" s="18" t="str">
        <f>_xlfn.XLOOKUP(L6818,'[3]2025 Mapping v3'!A:A,'[3]2025 Mapping v3'!B:B,"Error",0)</f>
        <v>Error</v>
      </c>
      <c r="AD6818" s="18" t="str">
        <f>_xlfn.XLOOKUP(L6818,'[3]2025 Mapping v3'!A:A,'[3]2025 Mapping v3'!C:C,"Error",0)</f>
        <v>Error</v>
      </c>
      <c r="AE6818" s="18" t="str">
        <f>_xlfn.XLOOKUP(L6818,'[3]2025 Mapping v3'!A:A,'[3]2025 Mapping v3'!D:D,"Error",0)</f>
        <v>Error</v>
      </c>
      <c r="AF6818" s="18" t="str">
        <f>_xlfn.XLOOKUP(L6818,'[3]2025 Mapping v3'!A:A,'[3]2025 Mapping v3'!E:E,"Error",0)</f>
        <v>Error</v>
      </c>
    </row>
    <row r="6819" spans="27:32">
      <c r="AA6819" s="18">
        <f>_xlfn.XLOOKUP(Y6819,'[2]Data Source'!A:A,'[2]Data Source'!B:B,"N/A",0)</f>
        <v>0</v>
      </c>
      <c r="AB6819" s="18">
        <f t="shared" si="26"/>
        <v>0</v>
      </c>
      <c r="AC6819" s="18" t="str">
        <f>_xlfn.XLOOKUP(L6819,'[3]2025 Mapping v3'!A:A,'[3]2025 Mapping v3'!B:B,"Error",0)</f>
        <v>Error</v>
      </c>
      <c r="AD6819" s="18" t="str">
        <f>_xlfn.XLOOKUP(L6819,'[3]2025 Mapping v3'!A:A,'[3]2025 Mapping v3'!C:C,"Error",0)</f>
        <v>Error</v>
      </c>
      <c r="AE6819" s="18" t="str">
        <f>_xlfn.XLOOKUP(L6819,'[3]2025 Mapping v3'!A:A,'[3]2025 Mapping v3'!D:D,"Error",0)</f>
        <v>Error</v>
      </c>
      <c r="AF6819" s="18" t="str">
        <f>_xlfn.XLOOKUP(L6819,'[3]2025 Mapping v3'!A:A,'[3]2025 Mapping v3'!E:E,"Error",0)</f>
        <v>Error</v>
      </c>
    </row>
    <row r="6820" spans="27:32">
      <c r="AA6820" s="18">
        <f>_xlfn.XLOOKUP(Y6820,'[2]Data Source'!A:A,'[2]Data Source'!B:B,"N/A",0)</f>
        <v>0</v>
      </c>
      <c r="AB6820" s="18">
        <f t="shared" si="26"/>
        <v>0</v>
      </c>
      <c r="AC6820" s="18" t="str">
        <f>_xlfn.XLOOKUP(L6820,'[3]2025 Mapping v3'!A:A,'[3]2025 Mapping v3'!B:B,"Error",0)</f>
        <v>Error</v>
      </c>
      <c r="AD6820" s="18" t="str">
        <f>_xlfn.XLOOKUP(L6820,'[3]2025 Mapping v3'!A:A,'[3]2025 Mapping v3'!C:C,"Error",0)</f>
        <v>Error</v>
      </c>
      <c r="AE6820" s="18" t="str">
        <f>_xlfn.XLOOKUP(L6820,'[3]2025 Mapping v3'!A:A,'[3]2025 Mapping v3'!D:D,"Error",0)</f>
        <v>Error</v>
      </c>
      <c r="AF6820" s="18" t="str">
        <f>_xlfn.XLOOKUP(L6820,'[3]2025 Mapping v3'!A:A,'[3]2025 Mapping v3'!E:E,"Error",0)</f>
        <v>Error</v>
      </c>
    </row>
    <row r="6821" spans="27:32">
      <c r="AA6821" s="18">
        <f>_xlfn.XLOOKUP(Y6821,'[2]Data Source'!A:A,'[2]Data Source'!B:B,"N/A",0)</f>
        <v>0</v>
      </c>
      <c r="AB6821" s="18">
        <f t="shared" si="26"/>
        <v>0</v>
      </c>
      <c r="AC6821" s="18" t="str">
        <f>_xlfn.XLOOKUP(L6821,'[3]2025 Mapping v3'!A:A,'[3]2025 Mapping v3'!B:B,"Error",0)</f>
        <v>Error</v>
      </c>
      <c r="AD6821" s="18" t="str">
        <f>_xlfn.XLOOKUP(L6821,'[3]2025 Mapping v3'!A:A,'[3]2025 Mapping v3'!C:C,"Error",0)</f>
        <v>Error</v>
      </c>
      <c r="AE6821" s="18" t="str">
        <f>_xlfn.XLOOKUP(L6821,'[3]2025 Mapping v3'!A:A,'[3]2025 Mapping v3'!D:D,"Error",0)</f>
        <v>Error</v>
      </c>
      <c r="AF6821" s="18" t="str">
        <f>_xlfn.XLOOKUP(L6821,'[3]2025 Mapping v3'!A:A,'[3]2025 Mapping v3'!E:E,"Error",0)</f>
        <v>Error</v>
      </c>
    </row>
    <row r="6822" spans="27:32">
      <c r="AA6822" s="18">
        <f>_xlfn.XLOOKUP(Y6822,'[2]Data Source'!A:A,'[2]Data Source'!B:B,"N/A",0)</f>
        <v>0</v>
      </c>
      <c r="AB6822" s="18">
        <f t="shared" si="26"/>
        <v>0</v>
      </c>
      <c r="AC6822" s="18" t="str">
        <f>_xlfn.XLOOKUP(L6822,'[3]2025 Mapping v3'!A:A,'[3]2025 Mapping v3'!B:B,"Error",0)</f>
        <v>Error</v>
      </c>
      <c r="AD6822" s="18" t="str">
        <f>_xlfn.XLOOKUP(L6822,'[3]2025 Mapping v3'!A:A,'[3]2025 Mapping v3'!C:C,"Error",0)</f>
        <v>Error</v>
      </c>
      <c r="AE6822" s="18" t="str">
        <f>_xlfn.XLOOKUP(L6822,'[3]2025 Mapping v3'!A:A,'[3]2025 Mapping v3'!D:D,"Error",0)</f>
        <v>Error</v>
      </c>
      <c r="AF6822" s="18" t="str">
        <f>_xlfn.XLOOKUP(L6822,'[3]2025 Mapping v3'!A:A,'[3]2025 Mapping v3'!E:E,"Error",0)</f>
        <v>Error</v>
      </c>
    </row>
    <row r="6823" spans="27:32">
      <c r="AA6823" s="18">
        <f>_xlfn.XLOOKUP(Y6823,'[2]Data Source'!A:A,'[2]Data Source'!B:B,"N/A",0)</f>
        <v>0</v>
      </c>
      <c r="AB6823" s="18">
        <f t="shared" si="26"/>
        <v>0</v>
      </c>
      <c r="AC6823" s="18" t="str">
        <f>_xlfn.XLOOKUP(L6823,'[3]2025 Mapping v3'!A:A,'[3]2025 Mapping v3'!B:B,"Error",0)</f>
        <v>Error</v>
      </c>
      <c r="AD6823" s="18" t="str">
        <f>_xlfn.XLOOKUP(L6823,'[3]2025 Mapping v3'!A:A,'[3]2025 Mapping v3'!C:C,"Error",0)</f>
        <v>Error</v>
      </c>
      <c r="AE6823" s="18" t="str">
        <f>_xlfn.XLOOKUP(L6823,'[3]2025 Mapping v3'!A:A,'[3]2025 Mapping v3'!D:D,"Error",0)</f>
        <v>Error</v>
      </c>
      <c r="AF6823" s="18" t="str">
        <f>_xlfn.XLOOKUP(L6823,'[3]2025 Mapping v3'!A:A,'[3]2025 Mapping v3'!E:E,"Error",0)</f>
        <v>Error</v>
      </c>
    </row>
    <row r="6824" spans="27:32">
      <c r="AA6824" s="18">
        <f>_xlfn.XLOOKUP(Y6824,'[2]Data Source'!A:A,'[2]Data Source'!B:B,"N/A",0)</f>
        <v>0</v>
      </c>
      <c r="AB6824" s="18">
        <f t="shared" si="26"/>
        <v>0</v>
      </c>
      <c r="AC6824" s="18" t="str">
        <f>_xlfn.XLOOKUP(L6824,'[3]2025 Mapping v3'!A:A,'[3]2025 Mapping v3'!B:B,"Error",0)</f>
        <v>Error</v>
      </c>
      <c r="AD6824" s="18" t="str">
        <f>_xlfn.XLOOKUP(L6824,'[3]2025 Mapping v3'!A:A,'[3]2025 Mapping v3'!C:C,"Error",0)</f>
        <v>Error</v>
      </c>
      <c r="AE6824" s="18" t="str">
        <f>_xlfn.XLOOKUP(L6824,'[3]2025 Mapping v3'!A:A,'[3]2025 Mapping v3'!D:D,"Error",0)</f>
        <v>Error</v>
      </c>
      <c r="AF6824" s="18" t="str">
        <f>_xlfn.XLOOKUP(L6824,'[3]2025 Mapping v3'!A:A,'[3]2025 Mapping v3'!E:E,"Error",0)</f>
        <v>Error</v>
      </c>
    </row>
    <row r="6825" spans="27:32">
      <c r="AA6825" s="18">
        <f>_xlfn.XLOOKUP(Y6825,'[2]Data Source'!A:A,'[2]Data Source'!B:B,"N/A",0)</f>
        <v>0</v>
      </c>
      <c r="AB6825" s="18">
        <f t="shared" si="26"/>
        <v>0</v>
      </c>
      <c r="AC6825" s="18" t="str">
        <f>_xlfn.XLOOKUP(L6825,'[3]2025 Mapping v3'!A:A,'[3]2025 Mapping v3'!B:B,"Error",0)</f>
        <v>Error</v>
      </c>
      <c r="AD6825" s="18" t="str">
        <f>_xlfn.XLOOKUP(L6825,'[3]2025 Mapping v3'!A:A,'[3]2025 Mapping v3'!C:C,"Error",0)</f>
        <v>Error</v>
      </c>
      <c r="AE6825" s="18" t="str">
        <f>_xlfn.XLOOKUP(L6825,'[3]2025 Mapping v3'!A:A,'[3]2025 Mapping v3'!D:D,"Error",0)</f>
        <v>Error</v>
      </c>
      <c r="AF6825" s="18" t="str">
        <f>_xlfn.XLOOKUP(L6825,'[3]2025 Mapping v3'!A:A,'[3]2025 Mapping v3'!E:E,"Error",0)</f>
        <v>Error</v>
      </c>
    </row>
    <row r="6826" spans="27:32">
      <c r="AA6826" s="18">
        <f>_xlfn.XLOOKUP(Y6826,'[2]Data Source'!A:A,'[2]Data Source'!B:B,"N/A",0)</f>
        <v>0</v>
      </c>
      <c r="AB6826" s="18">
        <f t="shared" si="26"/>
        <v>0</v>
      </c>
      <c r="AC6826" s="18" t="str">
        <f>_xlfn.XLOOKUP(L6826,'[3]2025 Mapping v3'!A:A,'[3]2025 Mapping v3'!B:B,"Error",0)</f>
        <v>Error</v>
      </c>
      <c r="AD6826" s="18" t="str">
        <f>_xlfn.XLOOKUP(L6826,'[3]2025 Mapping v3'!A:A,'[3]2025 Mapping v3'!C:C,"Error",0)</f>
        <v>Error</v>
      </c>
      <c r="AE6826" s="18" t="str">
        <f>_xlfn.XLOOKUP(L6826,'[3]2025 Mapping v3'!A:A,'[3]2025 Mapping v3'!D:D,"Error",0)</f>
        <v>Error</v>
      </c>
      <c r="AF6826" s="18" t="str">
        <f>_xlfn.XLOOKUP(L6826,'[3]2025 Mapping v3'!A:A,'[3]2025 Mapping v3'!E:E,"Error",0)</f>
        <v>Error</v>
      </c>
    </row>
    <row r="6827" spans="27:32">
      <c r="AA6827" s="18">
        <f>_xlfn.XLOOKUP(Y6827,'[2]Data Source'!A:A,'[2]Data Source'!B:B,"N/A",0)</f>
        <v>0</v>
      </c>
      <c r="AB6827" s="18">
        <f t="shared" si="26"/>
        <v>0</v>
      </c>
      <c r="AC6827" s="18" t="str">
        <f>_xlfn.XLOOKUP(L6827,'[3]2025 Mapping v3'!A:A,'[3]2025 Mapping v3'!B:B,"Error",0)</f>
        <v>Error</v>
      </c>
      <c r="AD6827" s="18" t="str">
        <f>_xlfn.XLOOKUP(L6827,'[3]2025 Mapping v3'!A:A,'[3]2025 Mapping v3'!C:C,"Error",0)</f>
        <v>Error</v>
      </c>
      <c r="AE6827" s="18" t="str">
        <f>_xlfn.XLOOKUP(L6827,'[3]2025 Mapping v3'!A:A,'[3]2025 Mapping v3'!D:D,"Error",0)</f>
        <v>Error</v>
      </c>
      <c r="AF6827" s="18" t="str">
        <f>_xlfn.XLOOKUP(L6827,'[3]2025 Mapping v3'!A:A,'[3]2025 Mapping v3'!E:E,"Error",0)</f>
        <v>Error</v>
      </c>
    </row>
    <row r="6828" spans="27:32">
      <c r="AA6828" s="18">
        <f>_xlfn.XLOOKUP(Y6828,'[2]Data Source'!A:A,'[2]Data Source'!B:B,"N/A",0)</f>
        <v>0</v>
      </c>
      <c r="AB6828" s="18">
        <f t="shared" si="26"/>
        <v>0</v>
      </c>
      <c r="AC6828" s="18" t="str">
        <f>_xlfn.XLOOKUP(L6828,'[3]2025 Mapping v3'!A:A,'[3]2025 Mapping v3'!B:B,"Error",0)</f>
        <v>Error</v>
      </c>
      <c r="AD6828" s="18" t="str">
        <f>_xlfn.XLOOKUP(L6828,'[3]2025 Mapping v3'!A:A,'[3]2025 Mapping v3'!C:C,"Error",0)</f>
        <v>Error</v>
      </c>
      <c r="AE6828" s="18" t="str">
        <f>_xlfn.XLOOKUP(L6828,'[3]2025 Mapping v3'!A:A,'[3]2025 Mapping v3'!D:D,"Error",0)</f>
        <v>Error</v>
      </c>
      <c r="AF6828" s="18" t="str">
        <f>_xlfn.XLOOKUP(L6828,'[3]2025 Mapping v3'!A:A,'[3]2025 Mapping v3'!E:E,"Error",0)</f>
        <v>Error</v>
      </c>
    </row>
    <row r="6829" spans="27:32">
      <c r="AA6829" s="18">
        <f>_xlfn.XLOOKUP(Y6829,'[2]Data Source'!A:A,'[2]Data Source'!B:B,"N/A",0)</f>
        <v>0</v>
      </c>
      <c r="AB6829" s="18">
        <f t="shared" si="26"/>
        <v>0</v>
      </c>
      <c r="AC6829" s="18" t="str">
        <f>_xlfn.XLOOKUP(L6829,'[3]2025 Mapping v3'!A:A,'[3]2025 Mapping v3'!B:B,"Error",0)</f>
        <v>Error</v>
      </c>
      <c r="AD6829" s="18" t="str">
        <f>_xlfn.XLOOKUP(L6829,'[3]2025 Mapping v3'!A:A,'[3]2025 Mapping v3'!C:C,"Error",0)</f>
        <v>Error</v>
      </c>
      <c r="AE6829" s="18" t="str">
        <f>_xlfn.XLOOKUP(L6829,'[3]2025 Mapping v3'!A:A,'[3]2025 Mapping v3'!D:D,"Error",0)</f>
        <v>Error</v>
      </c>
      <c r="AF6829" s="18" t="str">
        <f>_xlfn.XLOOKUP(L6829,'[3]2025 Mapping v3'!A:A,'[3]2025 Mapping v3'!E:E,"Error",0)</f>
        <v>Error</v>
      </c>
    </row>
    <row r="6830" spans="27:32">
      <c r="AA6830" s="18">
        <f>_xlfn.XLOOKUP(Y6830,'[2]Data Source'!A:A,'[2]Data Source'!B:B,"N/A",0)</f>
        <v>0</v>
      </c>
      <c r="AB6830" s="18">
        <f t="shared" si="26"/>
        <v>0</v>
      </c>
      <c r="AC6830" s="18" t="str">
        <f>_xlfn.XLOOKUP(L6830,'[3]2025 Mapping v3'!A:A,'[3]2025 Mapping v3'!B:B,"Error",0)</f>
        <v>Error</v>
      </c>
      <c r="AD6830" s="18" t="str">
        <f>_xlfn.XLOOKUP(L6830,'[3]2025 Mapping v3'!A:A,'[3]2025 Mapping v3'!C:C,"Error",0)</f>
        <v>Error</v>
      </c>
      <c r="AE6830" s="18" t="str">
        <f>_xlfn.XLOOKUP(L6830,'[3]2025 Mapping v3'!A:A,'[3]2025 Mapping v3'!D:D,"Error",0)</f>
        <v>Error</v>
      </c>
      <c r="AF6830" s="18" t="str">
        <f>_xlfn.XLOOKUP(L6830,'[3]2025 Mapping v3'!A:A,'[3]2025 Mapping v3'!E:E,"Error",0)</f>
        <v>Error</v>
      </c>
    </row>
    <row r="6831" spans="27:32">
      <c r="AA6831" s="18" t="str">
        <f>_xlfn.XLOOKUP(Y6831,'[2]Data Source'!A:A,'[2]Data Source'!B:B,"N/A",0)</f>
        <v>Brian Mitchie Njoroge</v>
      </c>
      <c r="AB6831" s="18">
        <f t="shared" si="26"/>
        <v>0</v>
      </c>
      <c r="AC6831" s="18" t="str">
        <f>_xlfn.XLOOKUP(L6831,'[3]2025 Mapping v3'!A:A,'[3]2025 Mapping v3'!B:B,"Error",0)</f>
        <v>Error</v>
      </c>
      <c r="AD6831" s="18" t="str">
        <f>_xlfn.XLOOKUP(L6831,'[3]2025 Mapping v3'!A:A,'[3]2025 Mapping v3'!C:C,"Error",0)</f>
        <v>Error</v>
      </c>
      <c r="AE6831" s="18" t="str">
        <f>_xlfn.XLOOKUP(L6831,'[3]2025 Mapping v3'!A:A,'[3]2025 Mapping v3'!D:D,"Error",0)</f>
        <v>Error</v>
      </c>
      <c r="AF6831" s="18" t="str">
        <f>_xlfn.XLOOKUP(L6831,'[3]2025 Mapping v3'!A:A,'[3]2025 Mapping v3'!E:E,"Error",0)</f>
        <v>Error</v>
      </c>
    </row>
    <row r="6832" spans="27:32">
      <c r="AA6832" s="18">
        <f>_xlfn.XLOOKUP(Y6832,'[2]Data Source'!A:A,'[2]Data Source'!B:B,"N/A",0)</f>
        <v>0</v>
      </c>
      <c r="AB6832" s="18">
        <f t="shared" si="26"/>
        <v>0</v>
      </c>
      <c r="AC6832" s="18" t="str">
        <f>_xlfn.XLOOKUP(L6832,'[3]2025 Mapping v3'!A:A,'[3]2025 Mapping v3'!B:B,"Error",0)</f>
        <v>Error</v>
      </c>
      <c r="AD6832" s="18" t="str">
        <f>_xlfn.XLOOKUP(L6832,'[3]2025 Mapping v3'!A:A,'[3]2025 Mapping v3'!C:C,"Error",0)</f>
        <v>Error</v>
      </c>
      <c r="AE6832" s="18" t="str">
        <f>_xlfn.XLOOKUP(L6832,'[3]2025 Mapping v3'!A:A,'[3]2025 Mapping v3'!D:D,"Error",0)</f>
        <v>Error</v>
      </c>
      <c r="AF6832" s="18" t="str">
        <f>_xlfn.XLOOKUP(L6832,'[3]2025 Mapping v3'!A:A,'[3]2025 Mapping v3'!E:E,"Error",0)</f>
        <v>Error</v>
      </c>
    </row>
    <row r="6833" spans="27:32">
      <c r="AA6833" s="18">
        <f>_xlfn.XLOOKUP(Y6833,'[2]Data Source'!A:A,'[2]Data Source'!B:B,"N/A",0)</f>
        <v>0</v>
      </c>
      <c r="AB6833" s="18">
        <f t="shared" si="26"/>
        <v>0</v>
      </c>
      <c r="AC6833" s="18" t="str">
        <f>_xlfn.XLOOKUP(L6833,'[3]2025 Mapping v3'!A:A,'[3]2025 Mapping v3'!B:B,"Error",0)</f>
        <v>Error</v>
      </c>
      <c r="AD6833" s="18" t="str">
        <f>_xlfn.XLOOKUP(L6833,'[3]2025 Mapping v3'!A:A,'[3]2025 Mapping v3'!C:C,"Error",0)</f>
        <v>Error</v>
      </c>
      <c r="AE6833" s="18" t="str">
        <f>_xlfn.XLOOKUP(L6833,'[3]2025 Mapping v3'!A:A,'[3]2025 Mapping v3'!D:D,"Error",0)</f>
        <v>Error</v>
      </c>
      <c r="AF6833" s="18" t="str">
        <f>_xlfn.XLOOKUP(L6833,'[3]2025 Mapping v3'!A:A,'[3]2025 Mapping v3'!E:E,"Error",0)</f>
        <v>Error</v>
      </c>
    </row>
    <row r="6834" spans="27:32">
      <c r="AA6834" s="18">
        <f>_xlfn.XLOOKUP(Y6834,'[2]Data Source'!A:A,'[2]Data Source'!B:B,"N/A",0)</f>
        <v>0</v>
      </c>
      <c r="AB6834" s="18">
        <f t="shared" si="26"/>
        <v>0</v>
      </c>
      <c r="AC6834" s="18" t="str">
        <f>_xlfn.XLOOKUP(L6834,'[3]2025 Mapping v3'!A:A,'[3]2025 Mapping v3'!B:B,"Error",0)</f>
        <v>Error</v>
      </c>
      <c r="AD6834" s="18" t="str">
        <f>_xlfn.XLOOKUP(L6834,'[3]2025 Mapping v3'!A:A,'[3]2025 Mapping v3'!C:C,"Error",0)</f>
        <v>Error</v>
      </c>
      <c r="AE6834" s="18" t="str">
        <f>_xlfn.XLOOKUP(L6834,'[3]2025 Mapping v3'!A:A,'[3]2025 Mapping v3'!D:D,"Error",0)</f>
        <v>Error</v>
      </c>
      <c r="AF6834" s="18" t="str">
        <f>_xlfn.XLOOKUP(L6834,'[3]2025 Mapping v3'!A:A,'[3]2025 Mapping v3'!E:E,"Error",0)</f>
        <v>Error</v>
      </c>
    </row>
    <row r="6835" spans="27:32">
      <c r="AA6835" s="18">
        <f>_xlfn.XLOOKUP(Y6835,'[2]Data Source'!A:A,'[2]Data Source'!B:B,"N/A",0)</f>
        <v>0</v>
      </c>
      <c r="AB6835" s="18">
        <f t="shared" si="26"/>
        <v>0</v>
      </c>
      <c r="AC6835" s="18" t="str">
        <f>_xlfn.XLOOKUP(L6835,'[3]2025 Mapping v3'!A:A,'[3]2025 Mapping v3'!B:B,"Error",0)</f>
        <v>Error</v>
      </c>
      <c r="AD6835" s="18" t="str">
        <f>_xlfn.XLOOKUP(L6835,'[3]2025 Mapping v3'!A:A,'[3]2025 Mapping v3'!C:C,"Error",0)</f>
        <v>Error</v>
      </c>
      <c r="AE6835" s="18" t="str">
        <f>_xlfn.XLOOKUP(L6835,'[3]2025 Mapping v3'!A:A,'[3]2025 Mapping v3'!D:D,"Error",0)</f>
        <v>Error</v>
      </c>
      <c r="AF6835" s="18" t="str">
        <f>_xlfn.XLOOKUP(L6835,'[3]2025 Mapping v3'!A:A,'[3]2025 Mapping v3'!E:E,"Error",0)</f>
        <v>Error</v>
      </c>
    </row>
    <row r="6836" spans="27:32">
      <c r="AA6836" s="18">
        <f>_xlfn.XLOOKUP(Y6836,'[2]Data Source'!A:A,'[2]Data Source'!B:B,"N/A",0)</f>
        <v>0</v>
      </c>
      <c r="AB6836" s="18">
        <f t="shared" si="26"/>
        <v>0</v>
      </c>
      <c r="AC6836" s="18" t="str">
        <f>_xlfn.XLOOKUP(L6836,'[3]2025 Mapping v3'!A:A,'[3]2025 Mapping v3'!B:B,"Error",0)</f>
        <v>Error</v>
      </c>
      <c r="AD6836" s="18" t="str">
        <f>_xlfn.XLOOKUP(L6836,'[3]2025 Mapping v3'!A:A,'[3]2025 Mapping v3'!C:C,"Error",0)</f>
        <v>Error</v>
      </c>
      <c r="AE6836" s="18" t="str">
        <f>_xlfn.XLOOKUP(L6836,'[3]2025 Mapping v3'!A:A,'[3]2025 Mapping v3'!D:D,"Error",0)</f>
        <v>Error</v>
      </c>
      <c r="AF6836" s="18" t="str">
        <f>_xlfn.XLOOKUP(L6836,'[3]2025 Mapping v3'!A:A,'[3]2025 Mapping v3'!E:E,"Error",0)</f>
        <v>Error</v>
      </c>
    </row>
    <row r="6837" spans="27:32">
      <c r="AA6837" s="18">
        <f>_xlfn.XLOOKUP(Y6837,'[2]Data Source'!A:A,'[2]Data Source'!B:B,"N/A",0)</f>
        <v>0</v>
      </c>
      <c r="AB6837" s="18">
        <f t="shared" si="26"/>
        <v>0</v>
      </c>
      <c r="AC6837" s="18" t="str">
        <f>_xlfn.XLOOKUP(L6837,'[3]2025 Mapping v3'!A:A,'[3]2025 Mapping v3'!B:B,"Error",0)</f>
        <v>Error</v>
      </c>
      <c r="AD6837" s="18" t="str">
        <f>_xlfn.XLOOKUP(L6837,'[3]2025 Mapping v3'!A:A,'[3]2025 Mapping v3'!C:C,"Error",0)</f>
        <v>Error</v>
      </c>
      <c r="AE6837" s="18" t="str">
        <f>_xlfn.XLOOKUP(L6837,'[3]2025 Mapping v3'!A:A,'[3]2025 Mapping v3'!D:D,"Error",0)</f>
        <v>Error</v>
      </c>
      <c r="AF6837" s="18" t="str">
        <f>_xlfn.XLOOKUP(L6837,'[3]2025 Mapping v3'!A:A,'[3]2025 Mapping v3'!E:E,"Error",0)</f>
        <v>Error</v>
      </c>
    </row>
    <row r="6838" spans="27:32">
      <c r="AA6838" s="18">
        <f>_xlfn.XLOOKUP(Y6838,'[2]Data Source'!A:A,'[2]Data Source'!B:B,"N/A",0)</f>
        <v>0</v>
      </c>
      <c r="AB6838" s="18">
        <f t="shared" si="26"/>
        <v>0</v>
      </c>
      <c r="AC6838" s="18" t="str">
        <f>_xlfn.XLOOKUP(L6838,'[3]2025 Mapping v3'!A:A,'[3]2025 Mapping v3'!B:B,"Error",0)</f>
        <v>Error</v>
      </c>
      <c r="AD6838" s="18" t="str">
        <f>_xlfn.XLOOKUP(L6838,'[3]2025 Mapping v3'!A:A,'[3]2025 Mapping v3'!C:C,"Error",0)</f>
        <v>Error</v>
      </c>
      <c r="AE6838" s="18" t="str">
        <f>_xlfn.XLOOKUP(L6838,'[3]2025 Mapping v3'!A:A,'[3]2025 Mapping v3'!D:D,"Error",0)</f>
        <v>Error</v>
      </c>
      <c r="AF6838" s="18" t="str">
        <f>_xlfn.XLOOKUP(L6838,'[3]2025 Mapping v3'!A:A,'[3]2025 Mapping v3'!E:E,"Error",0)</f>
        <v>Error</v>
      </c>
    </row>
    <row r="6839" spans="27:32">
      <c r="AA6839" s="18">
        <f>_xlfn.XLOOKUP(Y6839,'[2]Data Source'!A:A,'[2]Data Source'!B:B,"N/A",0)</f>
        <v>0</v>
      </c>
      <c r="AB6839" s="18">
        <f t="shared" si="26"/>
        <v>0</v>
      </c>
      <c r="AC6839" s="18" t="str">
        <f>_xlfn.XLOOKUP(L6839,'[3]2025 Mapping v3'!A:A,'[3]2025 Mapping v3'!B:B,"Error",0)</f>
        <v>Error</v>
      </c>
      <c r="AD6839" s="18" t="str">
        <f>_xlfn.XLOOKUP(L6839,'[3]2025 Mapping v3'!A:A,'[3]2025 Mapping v3'!C:C,"Error",0)</f>
        <v>Error</v>
      </c>
      <c r="AE6839" s="18" t="str">
        <f>_xlfn.XLOOKUP(L6839,'[3]2025 Mapping v3'!A:A,'[3]2025 Mapping v3'!D:D,"Error",0)</f>
        <v>Error</v>
      </c>
      <c r="AF6839" s="18" t="str">
        <f>_xlfn.XLOOKUP(L6839,'[3]2025 Mapping v3'!A:A,'[3]2025 Mapping v3'!E:E,"Error",0)</f>
        <v>Error</v>
      </c>
    </row>
    <row r="6840" spans="27:32">
      <c r="AA6840" s="18">
        <f>_xlfn.XLOOKUP(Y6840,'[2]Data Source'!A:A,'[2]Data Source'!B:B,"N/A",0)</f>
        <v>0</v>
      </c>
      <c r="AB6840" s="18">
        <f t="shared" si="26"/>
        <v>0</v>
      </c>
      <c r="AC6840" s="18" t="str">
        <f>_xlfn.XLOOKUP(L6840,'[3]2025 Mapping v3'!A:A,'[3]2025 Mapping v3'!B:B,"Error",0)</f>
        <v>Error</v>
      </c>
      <c r="AD6840" s="18" t="str">
        <f>_xlfn.XLOOKUP(L6840,'[3]2025 Mapping v3'!A:A,'[3]2025 Mapping v3'!C:C,"Error",0)</f>
        <v>Error</v>
      </c>
      <c r="AE6840" s="18" t="str">
        <f>_xlfn.XLOOKUP(L6840,'[3]2025 Mapping v3'!A:A,'[3]2025 Mapping v3'!D:D,"Error",0)</f>
        <v>Error</v>
      </c>
      <c r="AF6840" s="18" t="str">
        <f>_xlfn.XLOOKUP(L6840,'[3]2025 Mapping v3'!A:A,'[3]2025 Mapping v3'!E:E,"Error",0)</f>
        <v>Error</v>
      </c>
    </row>
    <row r="6841" spans="27:32">
      <c r="AA6841" s="18" t="str">
        <f>_xlfn.XLOOKUP(Y6841,'[2]Data Source'!A:A,'[2]Data Source'!B:B,"N/A",0)</f>
        <v>Brian Mitchie Njoroge</v>
      </c>
      <c r="AB6841" s="18">
        <f t="shared" si="26"/>
        <v>0</v>
      </c>
      <c r="AC6841" s="18" t="str">
        <f>_xlfn.XLOOKUP(L6841,'[3]2025 Mapping v3'!A:A,'[3]2025 Mapping v3'!B:B,"Error",0)</f>
        <v>Error</v>
      </c>
      <c r="AD6841" s="18" t="str">
        <f>_xlfn.XLOOKUP(L6841,'[3]2025 Mapping v3'!A:A,'[3]2025 Mapping v3'!C:C,"Error",0)</f>
        <v>Error</v>
      </c>
      <c r="AE6841" s="18" t="str">
        <f>_xlfn.XLOOKUP(L6841,'[3]2025 Mapping v3'!A:A,'[3]2025 Mapping v3'!D:D,"Error",0)</f>
        <v>Error</v>
      </c>
      <c r="AF6841" s="18" t="str">
        <f>_xlfn.XLOOKUP(L6841,'[3]2025 Mapping v3'!A:A,'[3]2025 Mapping v3'!E:E,"Error",0)</f>
        <v>Error</v>
      </c>
    </row>
    <row r="6842" spans="27:32">
      <c r="AA6842" s="18" t="str">
        <f>_xlfn.XLOOKUP(Y6842,'[2]Data Source'!A:A,'[2]Data Source'!B:B,"N/A",0)</f>
        <v>Eliud Ng'ang'a</v>
      </c>
      <c r="AB6842" s="18">
        <f t="shared" si="26"/>
        <v>0</v>
      </c>
      <c r="AC6842" s="18" t="str">
        <f>_xlfn.XLOOKUP(L6842,'[3]2025 Mapping v3'!A:A,'[3]2025 Mapping v3'!B:B,"Error",0)</f>
        <v>Error</v>
      </c>
      <c r="AD6842" s="18" t="str">
        <f>_xlfn.XLOOKUP(L6842,'[3]2025 Mapping v3'!A:A,'[3]2025 Mapping v3'!C:C,"Error",0)</f>
        <v>Error</v>
      </c>
      <c r="AE6842" s="18" t="str">
        <f>_xlfn.XLOOKUP(L6842,'[3]2025 Mapping v3'!A:A,'[3]2025 Mapping v3'!D:D,"Error",0)</f>
        <v>Error</v>
      </c>
      <c r="AF6842" s="18" t="str">
        <f>_xlfn.XLOOKUP(L6842,'[3]2025 Mapping v3'!A:A,'[3]2025 Mapping v3'!E:E,"Error",0)</f>
        <v>Error</v>
      </c>
    </row>
    <row r="6843" spans="27:32">
      <c r="AA6843" s="18">
        <f>_xlfn.XLOOKUP(Y6843,'[2]Data Source'!A:A,'[2]Data Source'!B:B,"N/A",0)</f>
        <v>0</v>
      </c>
      <c r="AB6843" s="18">
        <f t="shared" si="26"/>
        <v>0</v>
      </c>
      <c r="AC6843" s="18" t="str">
        <f>_xlfn.XLOOKUP(L6843,'[3]2025 Mapping v3'!A:A,'[3]2025 Mapping v3'!B:B,"Error",0)</f>
        <v>Error</v>
      </c>
      <c r="AD6843" s="18" t="str">
        <f>_xlfn.XLOOKUP(L6843,'[3]2025 Mapping v3'!A:A,'[3]2025 Mapping v3'!C:C,"Error",0)</f>
        <v>Error</v>
      </c>
      <c r="AE6843" s="18" t="str">
        <f>_xlfn.XLOOKUP(L6843,'[3]2025 Mapping v3'!A:A,'[3]2025 Mapping v3'!D:D,"Error",0)</f>
        <v>Error</v>
      </c>
      <c r="AF6843" s="18" t="str">
        <f>_xlfn.XLOOKUP(L6843,'[3]2025 Mapping v3'!A:A,'[3]2025 Mapping v3'!E:E,"Error",0)</f>
        <v>Error</v>
      </c>
    </row>
    <row r="6844" spans="27:32">
      <c r="AA6844" s="18">
        <f>_xlfn.XLOOKUP(Y6844,'[2]Data Source'!A:A,'[2]Data Source'!B:B,"N/A",0)</f>
        <v>0</v>
      </c>
      <c r="AB6844" s="18">
        <f t="shared" si="26"/>
        <v>0</v>
      </c>
      <c r="AC6844" s="18" t="str">
        <f>_xlfn.XLOOKUP(L6844,'[3]2025 Mapping v3'!A:A,'[3]2025 Mapping v3'!B:B,"Error",0)</f>
        <v>Error</v>
      </c>
      <c r="AD6844" s="18" t="str">
        <f>_xlfn.XLOOKUP(L6844,'[3]2025 Mapping v3'!A:A,'[3]2025 Mapping v3'!C:C,"Error",0)</f>
        <v>Error</v>
      </c>
      <c r="AE6844" s="18" t="str">
        <f>_xlfn.XLOOKUP(L6844,'[3]2025 Mapping v3'!A:A,'[3]2025 Mapping v3'!D:D,"Error",0)</f>
        <v>Error</v>
      </c>
      <c r="AF6844" s="18" t="str">
        <f>_xlfn.XLOOKUP(L6844,'[3]2025 Mapping v3'!A:A,'[3]2025 Mapping v3'!E:E,"Error",0)</f>
        <v>Error</v>
      </c>
    </row>
    <row r="6845" spans="27:32">
      <c r="AA6845" s="18">
        <f>_xlfn.XLOOKUP(Y6845,'[2]Data Source'!A:A,'[2]Data Source'!B:B,"N/A",0)</f>
        <v>0</v>
      </c>
      <c r="AB6845" s="18">
        <f t="shared" si="26"/>
        <v>0</v>
      </c>
      <c r="AC6845" s="18" t="str">
        <f>_xlfn.XLOOKUP(L6845,'[3]2025 Mapping v3'!A:A,'[3]2025 Mapping v3'!B:B,"Error",0)</f>
        <v>Error</v>
      </c>
      <c r="AD6845" s="18" t="str">
        <f>_xlfn.XLOOKUP(L6845,'[3]2025 Mapping v3'!A:A,'[3]2025 Mapping v3'!C:C,"Error",0)</f>
        <v>Error</v>
      </c>
      <c r="AE6845" s="18" t="str">
        <f>_xlfn.XLOOKUP(L6845,'[3]2025 Mapping v3'!A:A,'[3]2025 Mapping v3'!D:D,"Error",0)</f>
        <v>Error</v>
      </c>
      <c r="AF6845" s="18" t="str">
        <f>_xlfn.XLOOKUP(L6845,'[3]2025 Mapping v3'!A:A,'[3]2025 Mapping v3'!E:E,"Error",0)</f>
        <v>Error</v>
      </c>
    </row>
    <row r="6846" spans="27:32">
      <c r="AA6846" s="18">
        <f>_xlfn.XLOOKUP(Y6846,'[2]Data Source'!A:A,'[2]Data Source'!B:B,"N/A",0)</f>
        <v>0</v>
      </c>
      <c r="AB6846" s="18">
        <f t="shared" si="26"/>
        <v>0</v>
      </c>
      <c r="AC6846" s="18" t="str">
        <f>_xlfn.XLOOKUP(L6846,'[3]2025 Mapping v3'!A:A,'[3]2025 Mapping v3'!B:B,"Error",0)</f>
        <v>Error</v>
      </c>
      <c r="AD6846" s="18" t="str">
        <f>_xlfn.XLOOKUP(L6846,'[3]2025 Mapping v3'!A:A,'[3]2025 Mapping v3'!C:C,"Error",0)</f>
        <v>Error</v>
      </c>
      <c r="AE6846" s="18" t="str">
        <f>_xlfn.XLOOKUP(L6846,'[3]2025 Mapping v3'!A:A,'[3]2025 Mapping v3'!D:D,"Error",0)</f>
        <v>Error</v>
      </c>
      <c r="AF6846" s="18" t="str">
        <f>_xlfn.XLOOKUP(L6846,'[3]2025 Mapping v3'!A:A,'[3]2025 Mapping v3'!E:E,"Error",0)</f>
        <v>Error</v>
      </c>
    </row>
    <row r="6847" spans="27:32">
      <c r="AA6847" s="18">
        <f>_xlfn.XLOOKUP(Y6847,'[2]Data Source'!A:A,'[2]Data Source'!B:B,"N/A",0)</f>
        <v>0</v>
      </c>
      <c r="AB6847" s="18">
        <f t="shared" si="26"/>
        <v>0</v>
      </c>
      <c r="AC6847" s="18" t="str">
        <f>_xlfn.XLOOKUP(L6847,'[3]2025 Mapping v3'!A:A,'[3]2025 Mapping v3'!B:B,"Error",0)</f>
        <v>Error</v>
      </c>
      <c r="AD6847" s="18" t="str">
        <f>_xlfn.XLOOKUP(L6847,'[3]2025 Mapping v3'!A:A,'[3]2025 Mapping v3'!C:C,"Error",0)</f>
        <v>Error</v>
      </c>
      <c r="AE6847" s="18" t="str">
        <f>_xlfn.XLOOKUP(L6847,'[3]2025 Mapping v3'!A:A,'[3]2025 Mapping v3'!D:D,"Error",0)</f>
        <v>Error</v>
      </c>
      <c r="AF6847" s="18" t="str">
        <f>_xlfn.XLOOKUP(L6847,'[3]2025 Mapping v3'!A:A,'[3]2025 Mapping v3'!E:E,"Error",0)</f>
        <v>Error</v>
      </c>
    </row>
    <row r="6848" spans="27:32">
      <c r="AA6848" s="18">
        <f>_xlfn.XLOOKUP(Y6848,'[2]Data Source'!A:A,'[2]Data Source'!B:B,"N/A",0)</f>
        <v>0</v>
      </c>
      <c r="AB6848" s="18">
        <f t="shared" si="26"/>
        <v>0</v>
      </c>
      <c r="AC6848" s="18" t="str">
        <f>_xlfn.XLOOKUP(L6848,'[3]2025 Mapping v3'!A:A,'[3]2025 Mapping v3'!B:B,"Error",0)</f>
        <v>Error</v>
      </c>
      <c r="AD6848" s="18" t="str">
        <f>_xlfn.XLOOKUP(L6848,'[3]2025 Mapping v3'!A:A,'[3]2025 Mapping v3'!C:C,"Error",0)</f>
        <v>Error</v>
      </c>
      <c r="AE6848" s="18" t="str">
        <f>_xlfn.XLOOKUP(L6848,'[3]2025 Mapping v3'!A:A,'[3]2025 Mapping v3'!D:D,"Error",0)</f>
        <v>Error</v>
      </c>
      <c r="AF6848" s="18" t="str">
        <f>_xlfn.XLOOKUP(L6848,'[3]2025 Mapping v3'!A:A,'[3]2025 Mapping v3'!E:E,"Error",0)</f>
        <v>Error</v>
      </c>
    </row>
    <row r="6849" spans="27:32">
      <c r="AA6849" s="18">
        <f>_xlfn.XLOOKUP(Y6849,'[2]Data Source'!A:A,'[2]Data Source'!B:B,"N/A",0)</f>
        <v>0</v>
      </c>
      <c r="AB6849" s="18">
        <f t="shared" si="26"/>
        <v>0</v>
      </c>
      <c r="AC6849" s="18" t="str">
        <f>_xlfn.XLOOKUP(L6849,'[3]2025 Mapping v3'!A:A,'[3]2025 Mapping v3'!B:B,"Error",0)</f>
        <v>Error</v>
      </c>
      <c r="AD6849" s="18" t="str">
        <f>_xlfn.XLOOKUP(L6849,'[3]2025 Mapping v3'!A:A,'[3]2025 Mapping v3'!C:C,"Error",0)</f>
        <v>Error</v>
      </c>
      <c r="AE6849" s="18" t="str">
        <f>_xlfn.XLOOKUP(L6849,'[3]2025 Mapping v3'!A:A,'[3]2025 Mapping v3'!D:D,"Error",0)</f>
        <v>Error</v>
      </c>
      <c r="AF6849" s="18" t="str">
        <f>_xlfn.XLOOKUP(L6849,'[3]2025 Mapping v3'!A:A,'[3]2025 Mapping v3'!E:E,"Error",0)</f>
        <v>Error</v>
      </c>
    </row>
    <row r="6850" spans="27:32">
      <c r="AA6850" s="18">
        <f>_xlfn.XLOOKUP(Y6850,'[2]Data Source'!A:A,'[2]Data Source'!B:B,"N/A",0)</f>
        <v>0</v>
      </c>
      <c r="AB6850" s="18">
        <f t="shared" si="26"/>
        <v>0</v>
      </c>
      <c r="AC6850" s="18" t="str">
        <f>_xlfn.XLOOKUP(L6850,'[3]2025 Mapping v3'!A:A,'[3]2025 Mapping v3'!B:B,"Error",0)</f>
        <v>Error</v>
      </c>
      <c r="AD6850" s="18" t="str">
        <f>_xlfn.XLOOKUP(L6850,'[3]2025 Mapping v3'!A:A,'[3]2025 Mapping v3'!C:C,"Error",0)</f>
        <v>Error</v>
      </c>
      <c r="AE6850" s="18" t="str">
        <f>_xlfn.XLOOKUP(L6850,'[3]2025 Mapping v3'!A:A,'[3]2025 Mapping v3'!D:D,"Error",0)</f>
        <v>Error</v>
      </c>
      <c r="AF6850" s="18" t="str">
        <f>_xlfn.XLOOKUP(L6850,'[3]2025 Mapping v3'!A:A,'[3]2025 Mapping v3'!E:E,"Error",0)</f>
        <v>Error</v>
      </c>
    </row>
    <row r="6851" spans="27:32">
      <c r="AA6851" s="18">
        <f>_xlfn.XLOOKUP(Y6851,'[2]Data Source'!A:A,'[2]Data Source'!B:B,"N/A",0)</f>
        <v>0</v>
      </c>
      <c r="AB6851" s="18">
        <f t="shared" si="26"/>
        <v>0</v>
      </c>
      <c r="AC6851" s="18" t="str">
        <f>_xlfn.XLOOKUP(L6851,'[3]2025 Mapping v3'!A:A,'[3]2025 Mapping v3'!B:B,"Error",0)</f>
        <v>Error</v>
      </c>
      <c r="AD6851" s="18" t="str">
        <f>_xlfn.XLOOKUP(L6851,'[3]2025 Mapping v3'!A:A,'[3]2025 Mapping v3'!C:C,"Error",0)</f>
        <v>Error</v>
      </c>
      <c r="AE6851" s="18" t="str">
        <f>_xlfn.XLOOKUP(L6851,'[3]2025 Mapping v3'!A:A,'[3]2025 Mapping v3'!D:D,"Error",0)</f>
        <v>Error</v>
      </c>
      <c r="AF6851" s="18" t="str">
        <f>_xlfn.XLOOKUP(L6851,'[3]2025 Mapping v3'!A:A,'[3]2025 Mapping v3'!E:E,"Error",0)</f>
        <v>Error</v>
      </c>
    </row>
    <row r="6852" spans="27:32">
      <c r="AA6852" s="18" t="str">
        <f>_xlfn.XLOOKUP(Y6852,'[2]Data Source'!A:A,'[2]Data Source'!B:B,"N/A",0)</f>
        <v>Eliud Ng'ang'a</v>
      </c>
      <c r="AB6852" s="18">
        <f t="shared" si="26"/>
        <v>0</v>
      </c>
      <c r="AC6852" s="18" t="str">
        <f>_xlfn.XLOOKUP(L6852,'[3]2025 Mapping v3'!A:A,'[3]2025 Mapping v3'!B:B,"Error",0)</f>
        <v>Error</v>
      </c>
      <c r="AD6852" s="18" t="str">
        <f>_xlfn.XLOOKUP(L6852,'[3]2025 Mapping v3'!A:A,'[3]2025 Mapping v3'!C:C,"Error",0)</f>
        <v>Error</v>
      </c>
      <c r="AE6852" s="18" t="str">
        <f>_xlfn.XLOOKUP(L6852,'[3]2025 Mapping v3'!A:A,'[3]2025 Mapping v3'!D:D,"Error",0)</f>
        <v>Error</v>
      </c>
      <c r="AF6852" s="18" t="str">
        <f>_xlfn.XLOOKUP(L6852,'[3]2025 Mapping v3'!A:A,'[3]2025 Mapping v3'!E:E,"Error",0)</f>
        <v>Error</v>
      </c>
    </row>
    <row r="6853" spans="27:32">
      <c r="AA6853" s="18">
        <f>_xlfn.XLOOKUP(Y6853,'[2]Data Source'!A:A,'[2]Data Source'!B:B,"N/A",0)</f>
        <v>0</v>
      </c>
      <c r="AB6853" s="18">
        <f t="shared" si="26"/>
        <v>0</v>
      </c>
      <c r="AC6853" s="18" t="str">
        <f>_xlfn.XLOOKUP(L6853,'[3]2025 Mapping v3'!A:A,'[3]2025 Mapping v3'!B:B,"Error",0)</f>
        <v>Error</v>
      </c>
      <c r="AD6853" s="18" t="str">
        <f>_xlfn.XLOOKUP(L6853,'[3]2025 Mapping v3'!A:A,'[3]2025 Mapping v3'!C:C,"Error",0)</f>
        <v>Error</v>
      </c>
      <c r="AE6853" s="18" t="str">
        <f>_xlfn.XLOOKUP(L6853,'[3]2025 Mapping v3'!A:A,'[3]2025 Mapping v3'!D:D,"Error",0)</f>
        <v>Error</v>
      </c>
      <c r="AF6853" s="18" t="str">
        <f>_xlfn.XLOOKUP(L6853,'[3]2025 Mapping v3'!A:A,'[3]2025 Mapping v3'!E:E,"Error",0)</f>
        <v>Error</v>
      </c>
    </row>
    <row r="6854" spans="27:32">
      <c r="AA6854" s="18">
        <f>_xlfn.XLOOKUP(Y6854,'[2]Data Source'!A:A,'[2]Data Source'!B:B,"N/A",0)</f>
        <v>0</v>
      </c>
      <c r="AB6854" s="18">
        <f t="shared" si="26"/>
        <v>0</v>
      </c>
      <c r="AC6854" s="18" t="str">
        <f>_xlfn.XLOOKUP(L6854,'[3]2025 Mapping v3'!A:A,'[3]2025 Mapping v3'!B:B,"Error",0)</f>
        <v>Error</v>
      </c>
      <c r="AD6854" s="18" t="str">
        <f>_xlfn.XLOOKUP(L6854,'[3]2025 Mapping v3'!A:A,'[3]2025 Mapping v3'!C:C,"Error",0)</f>
        <v>Error</v>
      </c>
      <c r="AE6854" s="18" t="str">
        <f>_xlfn.XLOOKUP(L6854,'[3]2025 Mapping v3'!A:A,'[3]2025 Mapping v3'!D:D,"Error",0)</f>
        <v>Error</v>
      </c>
      <c r="AF6854" s="18" t="str">
        <f>_xlfn.XLOOKUP(L6854,'[3]2025 Mapping v3'!A:A,'[3]2025 Mapping v3'!E:E,"Error",0)</f>
        <v>Error</v>
      </c>
    </row>
    <row r="6855" spans="27:32">
      <c r="AA6855" s="18">
        <f>_xlfn.XLOOKUP(Y6855,'[2]Data Source'!A:A,'[2]Data Source'!B:B,"N/A",0)</f>
        <v>0</v>
      </c>
      <c r="AB6855" s="18">
        <f t="shared" si="26"/>
        <v>0</v>
      </c>
      <c r="AC6855" s="18" t="str">
        <f>_xlfn.XLOOKUP(L6855,'[3]2025 Mapping v3'!A:A,'[3]2025 Mapping v3'!B:B,"Error",0)</f>
        <v>Error</v>
      </c>
      <c r="AD6855" s="18" t="str">
        <f>_xlfn.XLOOKUP(L6855,'[3]2025 Mapping v3'!A:A,'[3]2025 Mapping v3'!C:C,"Error",0)</f>
        <v>Error</v>
      </c>
      <c r="AE6855" s="18" t="str">
        <f>_xlfn.XLOOKUP(L6855,'[3]2025 Mapping v3'!A:A,'[3]2025 Mapping v3'!D:D,"Error",0)</f>
        <v>Error</v>
      </c>
      <c r="AF6855" s="18" t="str">
        <f>_xlfn.XLOOKUP(L6855,'[3]2025 Mapping v3'!A:A,'[3]2025 Mapping v3'!E:E,"Error",0)</f>
        <v>Error</v>
      </c>
    </row>
    <row r="6856" spans="27:32">
      <c r="AA6856" s="18">
        <f>_xlfn.XLOOKUP(Y6856,'[2]Data Source'!A:A,'[2]Data Source'!B:B,"N/A",0)</f>
        <v>0</v>
      </c>
      <c r="AB6856" s="18">
        <f t="shared" si="26"/>
        <v>0</v>
      </c>
      <c r="AC6856" s="18" t="str">
        <f>_xlfn.XLOOKUP(L6856,'[3]2025 Mapping v3'!A:A,'[3]2025 Mapping v3'!B:B,"Error",0)</f>
        <v>Error</v>
      </c>
      <c r="AD6856" s="18" t="str">
        <f>_xlfn.XLOOKUP(L6856,'[3]2025 Mapping v3'!A:A,'[3]2025 Mapping v3'!C:C,"Error",0)</f>
        <v>Error</v>
      </c>
      <c r="AE6856" s="18" t="str">
        <f>_xlfn.XLOOKUP(L6856,'[3]2025 Mapping v3'!A:A,'[3]2025 Mapping v3'!D:D,"Error",0)</f>
        <v>Error</v>
      </c>
      <c r="AF6856" s="18" t="str">
        <f>_xlfn.XLOOKUP(L6856,'[3]2025 Mapping v3'!A:A,'[3]2025 Mapping v3'!E:E,"Error",0)</f>
        <v>Error</v>
      </c>
    </row>
    <row r="6857" spans="27:32">
      <c r="AA6857" s="18">
        <f>_xlfn.XLOOKUP(Y6857,'[2]Data Source'!A:A,'[2]Data Source'!B:B,"N/A",0)</f>
        <v>0</v>
      </c>
      <c r="AB6857" s="18">
        <f t="shared" ref="AB6857:AB6920" si="27">L6857</f>
        <v>0</v>
      </c>
      <c r="AC6857" s="18" t="str">
        <f>_xlfn.XLOOKUP(L6857,'[3]2025 Mapping v3'!A:A,'[3]2025 Mapping v3'!B:B,"Error",0)</f>
        <v>Error</v>
      </c>
      <c r="AD6857" s="18" t="str">
        <f>_xlfn.XLOOKUP(L6857,'[3]2025 Mapping v3'!A:A,'[3]2025 Mapping v3'!C:C,"Error",0)</f>
        <v>Error</v>
      </c>
      <c r="AE6857" s="18" t="str">
        <f>_xlfn.XLOOKUP(L6857,'[3]2025 Mapping v3'!A:A,'[3]2025 Mapping v3'!D:D,"Error",0)</f>
        <v>Error</v>
      </c>
      <c r="AF6857" s="18" t="str">
        <f>_xlfn.XLOOKUP(L6857,'[3]2025 Mapping v3'!A:A,'[3]2025 Mapping v3'!E:E,"Error",0)</f>
        <v>Error</v>
      </c>
    </row>
    <row r="6858" spans="27:32">
      <c r="AA6858" s="18">
        <f>_xlfn.XLOOKUP(Y6858,'[2]Data Source'!A:A,'[2]Data Source'!B:B,"N/A",0)</f>
        <v>0</v>
      </c>
      <c r="AB6858" s="18">
        <f t="shared" si="27"/>
        <v>0</v>
      </c>
      <c r="AC6858" s="18" t="str">
        <f>_xlfn.XLOOKUP(L6858,'[3]2025 Mapping v3'!A:A,'[3]2025 Mapping v3'!B:B,"Error",0)</f>
        <v>Error</v>
      </c>
      <c r="AD6858" s="18" t="str">
        <f>_xlfn.XLOOKUP(L6858,'[3]2025 Mapping v3'!A:A,'[3]2025 Mapping v3'!C:C,"Error",0)</f>
        <v>Error</v>
      </c>
      <c r="AE6858" s="18" t="str">
        <f>_xlfn.XLOOKUP(L6858,'[3]2025 Mapping v3'!A:A,'[3]2025 Mapping v3'!D:D,"Error",0)</f>
        <v>Error</v>
      </c>
      <c r="AF6858" s="18" t="str">
        <f>_xlfn.XLOOKUP(L6858,'[3]2025 Mapping v3'!A:A,'[3]2025 Mapping v3'!E:E,"Error",0)</f>
        <v>Error</v>
      </c>
    </row>
    <row r="6859" spans="27:32">
      <c r="AA6859" s="18">
        <f>_xlfn.XLOOKUP(Y6859,'[2]Data Source'!A:A,'[2]Data Source'!B:B,"N/A",0)</f>
        <v>0</v>
      </c>
      <c r="AB6859" s="18">
        <f t="shared" si="27"/>
        <v>0</v>
      </c>
      <c r="AC6859" s="18" t="str">
        <f>_xlfn.XLOOKUP(L6859,'[3]2025 Mapping v3'!A:A,'[3]2025 Mapping v3'!B:B,"Error",0)</f>
        <v>Error</v>
      </c>
      <c r="AD6859" s="18" t="str">
        <f>_xlfn.XLOOKUP(L6859,'[3]2025 Mapping v3'!A:A,'[3]2025 Mapping v3'!C:C,"Error",0)</f>
        <v>Error</v>
      </c>
      <c r="AE6859" s="18" t="str">
        <f>_xlfn.XLOOKUP(L6859,'[3]2025 Mapping v3'!A:A,'[3]2025 Mapping v3'!D:D,"Error",0)</f>
        <v>Error</v>
      </c>
      <c r="AF6859" s="18" t="str">
        <f>_xlfn.XLOOKUP(L6859,'[3]2025 Mapping v3'!A:A,'[3]2025 Mapping v3'!E:E,"Error",0)</f>
        <v>Error</v>
      </c>
    </row>
    <row r="6860" spans="27:32">
      <c r="AA6860" s="18">
        <f>_xlfn.XLOOKUP(Y6860,'[2]Data Source'!A:A,'[2]Data Source'!B:B,"N/A",0)</f>
        <v>0</v>
      </c>
      <c r="AB6860" s="18">
        <f t="shared" si="27"/>
        <v>0</v>
      </c>
      <c r="AC6860" s="18" t="str">
        <f>_xlfn.XLOOKUP(L6860,'[3]2025 Mapping v3'!A:A,'[3]2025 Mapping v3'!B:B,"Error",0)</f>
        <v>Error</v>
      </c>
      <c r="AD6860" s="18" t="str">
        <f>_xlfn.XLOOKUP(L6860,'[3]2025 Mapping v3'!A:A,'[3]2025 Mapping v3'!C:C,"Error",0)</f>
        <v>Error</v>
      </c>
      <c r="AE6860" s="18" t="str">
        <f>_xlfn.XLOOKUP(L6860,'[3]2025 Mapping v3'!A:A,'[3]2025 Mapping v3'!D:D,"Error",0)</f>
        <v>Error</v>
      </c>
      <c r="AF6860" s="18" t="str">
        <f>_xlfn.XLOOKUP(L6860,'[3]2025 Mapping v3'!A:A,'[3]2025 Mapping v3'!E:E,"Error",0)</f>
        <v>Error</v>
      </c>
    </row>
    <row r="6861" spans="27:32">
      <c r="AA6861" s="18">
        <f>_xlfn.XLOOKUP(Y6861,'[2]Data Source'!A:A,'[2]Data Source'!B:B,"N/A",0)</f>
        <v>0</v>
      </c>
      <c r="AB6861" s="18">
        <f t="shared" si="27"/>
        <v>0</v>
      </c>
      <c r="AC6861" s="18" t="str">
        <f>_xlfn.XLOOKUP(L6861,'[3]2025 Mapping v3'!A:A,'[3]2025 Mapping v3'!B:B,"Error",0)</f>
        <v>Error</v>
      </c>
      <c r="AD6861" s="18" t="str">
        <f>_xlfn.XLOOKUP(L6861,'[3]2025 Mapping v3'!A:A,'[3]2025 Mapping v3'!C:C,"Error",0)</f>
        <v>Error</v>
      </c>
      <c r="AE6861" s="18" t="str">
        <f>_xlfn.XLOOKUP(L6861,'[3]2025 Mapping v3'!A:A,'[3]2025 Mapping v3'!D:D,"Error",0)</f>
        <v>Error</v>
      </c>
      <c r="AF6861" s="18" t="str">
        <f>_xlfn.XLOOKUP(L6861,'[3]2025 Mapping v3'!A:A,'[3]2025 Mapping v3'!E:E,"Error",0)</f>
        <v>Error</v>
      </c>
    </row>
    <row r="6862" spans="27:32">
      <c r="AA6862" s="18">
        <f>_xlfn.XLOOKUP(Y6862,'[2]Data Source'!A:A,'[2]Data Source'!B:B,"N/A",0)</f>
        <v>0</v>
      </c>
      <c r="AB6862" s="18">
        <f t="shared" si="27"/>
        <v>0</v>
      </c>
      <c r="AC6862" s="18" t="str">
        <f>_xlfn.XLOOKUP(L6862,'[3]2025 Mapping v3'!A:A,'[3]2025 Mapping v3'!B:B,"Error",0)</f>
        <v>Error</v>
      </c>
      <c r="AD6862" s="18" t="str">
        <f>_xlfn.XLOOKUP(L6862,'[3]2025 Mapping v3'!A:A,'[3]2025 Mapping v3'!C:C,"Error",0)</f>
        <v>Error</v>
      </c>
      <c r="AE6862" s="18" t="str">
        <f>_xlfn.XLOOKUP(L6862,'[3]2025 Mapping v3'!A:A,'[3]2025 Mapping v3'!D:D,"Error",0)</f>
        <v>Error</v>
      </c>
      <c r="AF6862" s="18" t="str">
        <f>_xlfn.XLOOKUP(L6862,'[3]2025 Mapping v3'!A:A,'[3]2025 Mapping v3'!E:E,"Error",0)</f>
        <v>Error</v>
      </c>
    </row>
    <row r="6863" spans="27:32">
      <c r="AA6863" s="18">
        <f>_xlfn.XLOOKUP(Y6863,'[2]Data Source'!A:A,'[2]Data Source'!B:B,"N/A",0)</f>
        <v>0</v>
      </c>
      <c r="AB6863" s="18">
        <f t="shared" si="27"/>
        <v>0</v>
      </c>
      <c r="AC6863" s="18" t="str">
        <f>_xlfn.XLOOKUP(L6863,'[3]2025 Mapping v3'!A:A,'[3]2025 Mapping v3'!B:B,"Error",0)</f>
        <v>Error</v>
      </c>
      <c r="AD6863" s="18" t="str">
        <f>_xlfn.XLOOKUP(L6863,'[3]2025 Mapping v3'!A:A,'[3]2025 Mapping v3'!C:C,"Error",0)</f>
        <v>Error</v>
      </c>
      <c r="AE6863" s="18" t="str">
        <f>_xlfn.XLOOKUP(L6863,'[3]2025 Mapping v3'!A:A,'[3]2025 Mapping v3'!D:D,"Error",0)</f>
        <v>Error</v>
      </c>
      <c r="AF6863" s="18" t="str">
        <f>_xlfn.XLOOKUP(L6863,'[3]2025 Mapping v3'!A:A,'[3]2025 Mapping v3'!E:E,"Error",0)</f>
        <v>Error</v>
      </c>
    </row>
    <row r="6864" spans="27:32">
      <c r="AA6864" s="18">
        <f>_xlfn.XLOOKUP(Y6864,'[2]Data Source'!A:A,'[2]Data Source'!B:B,"N/A",0)</f>
        <v>0</v>
      </c>
      <c r="AB6864" s="18">
        <f t="shared" si="27"/>
        <v>0</v>
      </c>
      <c r="AC6864" s="18" t="str">
        <f>_xlfn.XLOOKUP(L6864,'[3]2025 Mapping v3'!A:A,'[3]2025 Mapping v3'!B:B,"Error",0)</f>
        <v>Error</v>
      </c>
      <c r="AD6864" s="18" t="str">
        <f>_xlfn.XLOOKUP(L6864,'[3]2025 Mapping v3'!A:A,'[3]2025 Mapping v3'!C:C,"Error",0)</f>
        <v>Error</v>
      </c>
      <c r="AE6864" s="18" t="str">
        <f>_xlfn.XLOOKUP(L6864,'[3]2025 Mapping v3'!A:A,'[3]2025 Mapping v3'!D:D,"Error",0)</f>
        <v>Error</v>
      </c>
      <c r="AF6864" s="18" t="str">
        <f>_xlfn.XLOOKUP(L6864,'[3]2025 Mapping v3'!A:A,'[3]2025 Mapping v3'!E:E,"Error",0)</f>
        <v>Error</v>
      </c>
    </row>
    <row r="6865" spans="27:32">
      <c r="AA6865" s="18">
        <f>_xlfn.XLOOKUP(Y6865,'[2]Data Source'!A:A,'[2]Data Source'!B:B,"N/A",0)</f>
        <v>0</v>
      </c>
      <c r="AB6865" s="18">
        <f t="shared" si="27"/>
        <v>0</v>
      </c>
      <c r="AC6865" s="18" t="str">
        <f>_xlfn.XLOOKUP(L6865,'[3]2025 Mapping v3'!A:A,'[3]2025 Mapping v3'!B:B,"Error",0)</f>
        <v>Error</v>
      </c>
      <c r="AD6865" s="18" t="str">
        <f>_xlfn.XLOOKUP(L6865,'[3]2025 Mapping v3'!A:A,'[3]2025 Mapping v3'!C:C,"Error",0)</f>
        <v>Error</v>
      </c>
      <c r="AE6865" s="18" t="str">
        <f>_xlfn.XLOOKUP(L6865,'[3]2025 Mapping v3'!A:A,'[3]2025 Mapping v3'!D:D,"Error",0)</f>
        <v>Error</v>
      </c>
      <c r="AF6865" s="18" t="str">
        <f>_xlfn.XLOOKUP(L6865,'[3]2025 Mapping v3'!A:A,'[3]2025 Mapping v3'!E:E,"Error",0)</f>
        <v>Error</v>
      </c>
    </row>
    <row r="6866" spans="27:32">
      <c r="AA6866" s="18">
        <f>_xlfn.XLOOKUP(Y6866,'[2]Data Source'!A:A,'[2]Data Source'!B:B,"N/A",0)</f>
        <v>0</v>
      </c>
      <c r="AB6866" s="18">
        <f t="shared" si="27"/>
        <v>0</v>
      </c>
      <c r="AC6866" s="18" t="str">
        <f>_xlfn.XLOOKUP(L6866,'[3]2025 Mapping v3'!A:A,'[3]2025 Mapping v3'!B:B,"Error",0)</f>
        <v>Error</v>
      </c>
      <c r="AD6866" s="18" t="str">
        <f>_xlfn.XLOOKUP(L6866,'[3]2025 Mapping v3'!A:A,'[3]2025 Mapping v3'!C:C,"Error",0)</f>
        <v>Error</v>
      </c>
      <c r="AE6866" s="18" t="str">
        <f>_xlfn.XLOOKUP(L6866,'[3]2025 Mapping v3'!A:A,'[3]2025 Mapping v3'!D:D,"Error",0)</f>
        <v>Error</v>
      </c>
      <c r="AF6866" s="18" t="str">
        <f>_xlfn.XLOOKUP(L6866,'[3]2025 Mapping v3'!A:A,'[3]2025 Mapping v3'!E:E,"Error",0)</f>
        <v>Error</v>
      </c>
    </row>
    <row r="6867" spans="27:32">
      <c r="AA6867" s="18">
        <f>_xlfn.XLOOKUP(Y6867,'[2]Data Source'!A:A,'[2]Data Source'!B:B,"N/A",0)</f>
        <v>0</v>
      </c>
      <c r="AB6867" s="18">
        <f t="shared" si="27"/>
        <v>0</v>
      </c>
      <c r="AC6867" s="18" t="str">
        <f>_xlfn.XLOOKUP(L6867,'[3]2025 Mapping v3'!A:A,'[3]2025 Mapping v3'!B:B,"Error",0)</f>
        <v>Error</v>
      </c>
      <c r="AD6867" s="18" t="str">
        <f>_xlfn.XLOOKUP(L6867,'[3]2025 Mapping v3'!A:A,'[3]2025 Mapping v3'!C:C,"Error",0)</f>
        <v>Error</v>
      </c>
      <c r="AE6867" s="18" t="str">
        <f>_xlfn.XLOOKUP(L6867,'[3]2025 Mapping v3'!A:A,'[3]2025 Mapping v3'!D:D,"Error",0)</f>
        <v>Error</v>
      </c>
      <c r="AF6867" s="18" t="str">
        <f>_xlfn.XLOOKUP(L6867,'[3]2025 Mapping v3'!A:A,'[3]2025 Mapping v3'!E:E,"Error",0)</f>
        <v>Error</v>
      </c>
    </row>
    <row r="6868" spans="27:32">
      <c r="AA6868" s="18">
        <f>_xlfn.XLOOKUP(Y6868,'[2]Data Source'!A:A,'[2]Data Source'!B:B,"N/A",0)</f>
        <v>0</v>
      </c>
      <c r="AB6868" s="18">
        <f t="shared" si="27"/>
        <v>0</v>
      </c>
      <c r="AC6868" s="18" t="str">
        <f>_xlfn.XLOOKUP(L6868,'[3]2025 Mapping v3'!A:A,'[3]2025 Mapping v3'!B:B,"Error",0)</f>
        <v>Error</v>
      </c>
      <c r="AD6868" s="18" t="str">
        <f>_xlfn.XLOOKUP(L6868,'[3]2025 Mapping v3'!A:A,'[3]2025 Mapping v3'!C:C,"Error",0)</f>
        <v>Error</v>
      </c>
      <c r="AE6868" s="18" t="str">
        <f>_xlfn.XLOOKUP(L6868,'[3]2025 Mapping v3'!A:A,'[3]2025 Mapping v3'!D:D,"Error",0)</f>
        <v>Error</v>
      </c>
      <c r="AF6868" s="18" t="str">
        <f>_xlfn.XLOOKUP(L6868,'[3]2025 Mapping v3'!A:A,'[3]2025 Mapping v3'!E:E,"Error",0)</f>
        <v>Error</v>
      </c>
    </row>
    <row r="6869" spans="27:32">
      <c r="AA6869" s="18">
        <f>_xlfn.XLOOKUP(Y6869,'[2]Data Source'!A:A,'[2]Data Source'!B:B,"N/A",0)</f>
        <v>0</v>
      </c>
      <c r="AB6869" s="18">
        <f t="shared" si="27"/>
        <v>0</v>
      </c>
      <c r="AC6869" s="18" t="str">
        <f>_xlfn.XLOOKUP(L6869,'[3]2025 Mapping v3'!A:A,'[3]2025 Mapping v3'!B:B,"Error",0)</f>
        <v>Error</v>
      </c>
      <c r="AD6869" s="18" t="str">
        <f>_xlfn.XLOOKUP(L6869,'[3]2025 Mapping v3'!A:A,'[3]2025 Mapping v3'!C:C,"Error",0)</f>
        <v>Error</v>
      </c>
      <c r="AE6869" s="18" t="str">
        <f>_xlfn.XLOOKUP(L6869,'[3]2025 Mapping v3'!A:A,'[3]2025 Mapping v3'!D:D,"Error",0)</f>
        <v>Error</v>
      </c>
      <c r="AF6869" s="18" t="str">
        <f>_xlfn.XLOOKUP(L6869,'[3]2025 Mapping v3'!A:A,'[3]2025 Mapping v3'!E:E,"Error",0)</f>
        <v>Error</v>
      </c>
    </row>
    <row r="6870" spans="27:32">
      <c r="AA6870" s="18" t="str">
        <f>_xlfn.XLOOKUP(Y6870,'[2]Data Source'!A:A,'[2]Data Source'!B:B,"N/A",0)</f>
        <v>Brian Mitchie Njoroge</v>
      </c>
      <c r="AB6870" s="18">
        <f t="shared" si="27"/>
        <v>0</v>
      </c>
      <c r="AC6870" s="18" t="str">
        <f>_xlfn.XLOOKUP(L6870,'[3]2025 Mapping v3'!A:A,'[3]2025 Mapping v3'!B:B,"Error",0)</f>
        <v>Error</v>
      </c>
      <c r="AD6870" s="18" t="str">
        <f>_xlfn.XLOOKUP(L6870,'[3]2025 Mapping v3'!A:A,'[3]2025 Mapping v3'!C:C,"Error",0)</f>
        <v>Error</v>
      </c>
      <c r="AE6870" s="18" t="str">
        <f>_xlfn.XLOOKUP(L6870,'[3]2025 Mapping v3'!A:A,'[3]2025 Mapping v3'!D:D,"Error",0)</f>
        <v>Error</v>
      </c>
      <c r="AF6870" s="18" t="str">
        <f>_xlfn.XLOOKUP(L6870,'[3]2025 Mapping v3'!A:A,'[3]2025 Mapping v3'!E:E,"Error",0)</f>
        <v>Error</v>
      </c>
    </row>
    <row r="6871" spans="27:32">
      <c r="AA6871" s="18">
        <f>_xlfn.XLOOKUP(Y6871,'[2]Data Source'!A:A,'[2]Data Source'!B:B,"N/A",0)</f>
        <v>0</v>
      </c>
      <c r="AB6871" s="18">
        <f t="shared" si="27"/>
        <v>0</v>
      </c>
      <c r="AC6871" s="18" t="str">
        <f>_xlfn.XLOOKUP(L6871,'[3]2025 Mapping v3'!A:A,'[3]2025 Mapping v3'!B:B,"Error",0)</f>
        <v>Error</v>
      </c>
      <c r="AD6871" s="18" t="str">
        <f>_xlfn.XLOOKUP(L6871,'[3]2025 Mapping v3'!A:A,'[3]2025 Mapping v3'!C:C,"Error",0)</f>
        <v>Error</v>
      </c>
      <c r="AE6871" s="18" t="str">
        <f>_xlfn.XLOOKUP(L6871,'[3]2025 Mapping v3'!A:A,'[3]2025 Mapping v3'!D:D,"Error",0)</f>
        <v>Error</v>
      </c>
      <c r="AF6871" s="18" t="str">
        <f>_xlfn.XLOOKUP(L6871,'[3]2025 Mapping v3'!A:A,'[3]2025 Mapping v3'!E:E,"Error",0)</f>
        <v>Error</v>
      </c>
    </row>
    <row r="6872" spans="27:32">
      <c r="AA6872" s="18">
        <f>_xlfn.XLOOKUP(Y6872,'[2]Data Source'!A:A,'[2]Data Source'!B:B,"N/A",0)</f>
        <v>0</v>
      </c>
      <c r="AB6872" s="18">
        <f t="shared" si="27"/>
        <v>0</v>
      </c>
      <c r="AC6872" s="18" t="str">
        <f>_xlfn.XLOOKUP(L6872,'[3]2025 Mapping v3'!A:A,'[3]2025 Mapping v3'!B:B,"Error",0)</f>
        <v>Error</v>
      </c>
      <c r="AD6872" s="18" t="str">
        <f>_xlfn.XLOOKUP(L6872,'[3]2025 Mapping v3'!A:A,'[3]2025 Mapping v3'!C:C,"Error",0)</f>
        <v>Error</v>
      </c>
      <c r="AE6872" s="18" t="str">
        <f>_xlfn.XLOOKUP(L6872,'[3]2025 Mapping v3'!A:A,'[3]2025 Mapping v3'!D:D,"Error",0)</f>
        <v>Error</v>
      </c>
      <c r="AF6872" s="18" t="str">
        <f>_xlfn.XLOOKUP(L6872,'[3]2025 Mapping v3'!A:A,'[3]2025 Mapping v3'!E:E,"Error",0)</f>
        <v>Error</v>
      </c>
    </row>
    <row r="6873" spans="27:32">
      <c r="AA6873" s="18">
        <f>_xlfn.XLOOKUP(Y6873,'[2]Data Source'!A:A,'[2]Data Source'!B:B,"N/A",0)</f>
        <v>0</v>
      </c>
      <c r="AB6873" s="18">
        <f t="shared" si="27"/>
        <v>0</v>
      </c>
      <c r="AC6873" s="18" t="str">
        <f>_xlfn.XLOOKUP(L6873,'[3]2025 Mapping v3'!A:A,'[3]2025 Mapping v3'!B:B,"Error",0)</f>
        <v>Error</v>
      </c>
      <c r="AD6873" s="18" t="str">
        <f>_xlfn.XLOOKUP(L6873,'[3]2025 Mapping v3'!A:A,'[3]2025 Mapping v3'!C:C,"Error",0)</f>
        <v>Error</v>
      </c>
      <c r="AE6873" s="18" t="str">
        <f>_xlfn.XLOOKUP(L6873,'[3]2025 Mapping v3'!A:A,'[3]2025 Mapping v3'!D:D,"Error",0)</f>
        <v>Error</v>
      </c>
      <c r="AF6873" s="18" t="str">
        <f>_xlfn.XLOOKUP(L6873,'[3]2025 Mapping v3'!A:A,'[3]2025 Mapping v3'!E:E,"Error",0)</f>
        <v>Error</v>
      </c>
    </row>
    <row r="6874" spans="27:32">
      <c r="AA6874" s="18">
        <f>_xlfn.XLOOKUP(Y6874,'[2]Data Source'!A:A,'[2]Data Source'!B:B,"N/A",0)</f>
        <v>0</v>
      </c>
      <c r="AB6874" s="18">
        <f t="shared" si="27"/>
        <v>0</v>
      </c>
      <c r="AC6874" s="18" t="str">
        <f>_xlfn.XLOOKUP(L6874,'[3]2025 Mapping v3'!A:A,'[3]2025 Mapping v3'!B:B,"Error",0)</f>
        <v>Error</v>
      </c>
      <c r="AD6874" s="18" t="str">
        <f>_xlfn.XLOOKUP(L6874,'[3]2025 Mapping v3'!A:A,'[3]2025 Mapping v3'!C:C,"Error",0)</f>
        <v>Error</v>
      </c>
      <c r="AE6874" s="18" t="str">
        <f>_xlfn.XLOOKUP(L6874,'[3]2025 Mapping v3'!A:A,'[3]2025 Mapping v3'!D:D,"Error",0)</f>
        <v>Error</v>
      </c>
      <c r="AF6874" s="18" t="str">
        <f>_xlfn.XLOOKUP(L6874,'[3]2025 Mapping v3'!A:A,'[3]2025 Mapping v3'!E:E,"Error",0)</f>
        <v>Error</v>
      </c>
    </row>
    <row r="6875" spans="27:32">
      <c r="AA6875" s="18">
        <f>_xlfn.XLOOKUP(Y6875,'[2]Data Source'!A:A,'[2]Data Source'!B:B,"N/A",0)</f>
        <v>0</v>
      </c>
      <c r="AB6875" s="18">
        <f t="shared" si="27"/>
        <v>0</v>
      </c>
      <c r="AC6875" s="18" t="str">
        <f>_xlfn.XLOOKUP(L6875,'[3]2025 Mapping v3'!A:A,'[3]2025 Mapping v3'!B:B,"Error",0)</f>
        <v>Error</v>
      </c>
      <c r="AD6875" s="18" t="str">
        <f>_xlfn.XLOOKUP(L6875,'[3]2025 Mapping v3'!A:A,'[3]2025 Mapping v3'!C:C,"Error",0)</f>
        <v>Error</v>
      </c>
      <c r="AE6875" s="18" t="str">
        <f>_xlfn.XLOOKUP(L6875,'[3]2025 Mapping v3'!A:A,'[3]2025 Mapping v3'!D:D,"Error",0)</f>
        <v>Error</v>
      </c>
      <c r="AF6875" s="18" t="str">
        <f>_xlfn.XLOOKUP(L6875,'[3]2025 Mapping v3'!A:A,'[3]2025 Mapping v3'!E:E,"Error",0)</f>
        <v>Error</v>
      </c>
    </row>
    <row r="6876" spans="27:32">
      <c r="AA6876" s="18">
        <f>_xlfn.XLOOKUP(Y6876,'[2]Data Source'!A:A,'[2]Data Source'!B:B,"N/A",0)</f>
        <v>0</v>
      </c>
      <c r="AB6876" s="18">
        <f t="shared" si="27"/>
        <v>0</v>
      </c>
      <c r="AC6876" s="18" t="str">
        <f>_xlfn.XLOOKUP(L6876,'[3]2025 Mapping v3'!A:A,'[3]2025 Mapping v3'!B:B,"Error",0)</f>
        <v>Error</v>
      </c>
      <c r="AD6876" s="18" t="str">
        <f>_xlfn.XLOOKUP(L6876,'[3]2025 Mapping v3'!A:A,'[3]2025 Mapping v3'!C:C,"Error",0)</f>
        <v>Error</v>
      </c>
      <c r="AE6876" s="18" t="str">
        <f>_xlfn.XLOOKUP(L6876,'[3]2025 Mapping v3'!A:A,'[3]2025 Mapping v3'!D:D,"Error",0)</f>
        <v>Error</v>
      </c>
      <c r="AF6876" s="18" t="str">
        <f>_xlfn.XLOOKUP(L6876,'[3]2025 Mapping v3'!A:A,'[3]2025 Mapping v3'!E:E,"Error",0)</f>
        <v>Error</v>
      </c>
    </row>
    <row r="6877" spans="27:32">
      <c r="AA6877" s="18">
        <f>_xlfn.XLOOKUP(Y6877,'[2]Data Source'!A:A,'[2]Data Source'!B:B,"N/A",0)</f>
        <v>0</v>
      </c>
      <c r="AB6877" s="18">
        <f t="shared" si="27"/>
        <v>0</v>
      </c>
      <c r="AC6877" s="18" t="str">
        <f>_xlfn.XLOOKUP(L6877,'[3]2025 Mapping v3'!A:A,'[3]2025 Mapping v3'!B:B,"Error",0)</f>
        <v>Error</v>
      </c>
      <c r="AD6877" s="18" t="str">
        <f>_xlfn.XLOOKUP(L6877,'[3]2025 Mapping v3'!A:A,'[3]2025 Mapping v3'!C:C,"Error",0)</f>
        <v>Error</v>
      </c>
      <c r="AE6877" s="18" t="str">
        <f>_xlfn.XLOOKUP(L6877,'[3]2025 Mapping v3'!A:A,'[3]2025 Mapping v3'!D:D,"Error",0)</f>
        <v>Error</v>
      </c>
      <c r="AF6877" s="18" t="str">
        <f>_xlfn.XLOOKUP(L6877,'[3]2025 Mapping v3'!A:A,'[3]2025 Mapping v3'!E:E,"Error",0)</f>
        <v>Error</v>
      </c>
    </row>
    <row r="6878" spans="27:32">
      <c r="AA6878" s="18">
        <f>_xlfn.XLOOKUP(Y6878,'[2]Data Source'!A:A,'[2]Data Source'!B:B,"N/A",0)</f>
        <v>0</v>
      </c>
      <c r="AB6878" s="18">
        <f t="shared" si="27"/>
        <v>0</v>
      </c>
      <c r="AC6878" s="18" t="str">
        <f>_xlfn.XLOOKUP(L6878,'[3]2025 Mapping v3'!A:A,'[3]2025 Mapping v3'!B:B,"Error",0)</f>
        <v>Error</v>
      </c>
      <c r="AD6878" s="18" t="str">
        <f>_xlfn.XLOOKUP(L6878,'[3]2025 Mapping v3'!A:A,'[3]2025 Mapping v3'!C:C,"Error",0)</f>
        <v>Error</v>
      </c>
      <c r="AE6878" s="18" t="str">
        <f>_xlfn.XLOOKUP(L6878,'[3]2025 Mapping v3'!A:A,'[3]2025 Mapping v3'!D:D,"Error",0)</f>
        <v>Error</v>
      </c>
      <c r="AF6878" s="18" t="str">
        <f>_xlfn.XLOOKUP(L6878,'[3]2025 Mapping v3'!A:A,'[3]2025 Mapping v3'!E:E,"Error",0)</f>
        <v>Error</v>
      </c>
    </row>
    <row r="6879" spans="27:32">
      <c r="AA6879" s="18">
        <f>_xlfn.XLOOKUP(Y6879,'[2]Data Source'!A:A,'[2]Data Source'!B:B,"N/A",0)</f>
        <v>0</v>
      </c>
      <c r="AB6879" s="18">
        <f t="shared" si="27"/>
        <v>0</v>
      </c>
      <c r="AC6879" s="18" t="str">
        <f>_xlfn.XLOOKUP(L6879,'[3]2025 Mapping v3'!A:A,'[3]2025 Mapping v3'!B:B,"Error",0)</f>
        <v>Error</v>
      </c>
      <c r="AD6879" s="18" t="str">
        <f>_xlfn.XLOOKUP(L6879,'[3]2025 Mapping v3'!A:A,'[3]2025 Mapping v3'!C:C,"Error",0)</f>
        <v>Error</v>
      </c>
      <c r="AE6879" s="18" t="str">
        <f>_xlfn.XLOOKUP(L6879,'[3]2025 Mapping v3'!A:A,'[3]2025 Mapping v3'!D:D,"Error",0)</f>
        <v>Error</v>
      </c>
      <c r="AF6879" s="18" t="str">
        <f>_xlfn.XLOOKUP(L6879,'[3]2025 Mapping v3'!A:A,'[3]2025 Mapping v3'!E:E,"Error",0)</f>
        <v>Error</v>
      </c>
    </row>
    <row r="6880" spans="27:32">
      <c r="AA6880" s="18">
        <f>_xlfn.XLOOKUP(Y6880,'[2]Data Source'!A:A,'[2]Data Source'!B:B,"N/A",0)</f>
        <v>0</v>
      </c>
      <c r="AB6880" s="18">
        <f t="shared" si="27"/>
        <v>0</v>
      </c>
      <c r="AC6880" s="18" t="str">
        <f>_xlfn.XLOOKUP(L6880,'[3]2025 Mapping v3'!A:A,'[3]2025 Mapping v3'!B:B,"Error",0)</f>
        <v>Error</v>
      </c>
      <c r="AD6880" s="18" t="str">
        <f>_xlfn.XLOOKUP(L6880,'[3]2025 Mapping v3'!A:A,'[3]2025 Mapping v3'!C:C,"Error",0)</f>
        <v>Error</v>
      </c>
      <c r="AE6880" s="18" t="str">
        <f>_xlfn.XLOOKUP(L6880,'[3]2025 Mapping v3'!A:A,'[3]2025 Mapping v3'!D:D,"Error",0)</f>
        <v>Error</v>
      </c>
      <c r="AF6880" s="18" t="str">
        <f>_xlfn.XLOOKUP(L6880,'[3]2025 Mapping v3'!A:A,'[3]2025 Mapping v3'!E:E,"Error",0)</f>
        <v>Error</v>
      </c>
    </row>
    <row r="6881" spans="27:32">
      <c r="AA6881" s="18" t="str">
        <f>_xlfn.XLOOKUP(Y6881,'[2]Data Source'!A:A,'[2]Data Source'!B:B,"N/A",0)</f>
        <v>Eliud Ng'ang'a</v>
      </c>
      <c r="AB6881" s="18">
        <f t="shared" si="27"/>
        <v>0</v>
      </c>
      <c r="AC6881" s="18" t="str">
        <f>_xlfn.XLOOKUP(L6881,'[3]2025 Mapping v3'!A:A,'[3]2025 Mapping v3'!B:B,"Error",0)</f>
        <v>Error</v>
      </c>
      <c r="AD6881" s="18" t="str">
        <f>_xlfn.XLOOKUP(L6881,'[3]2025 Mapping v3'!A:A,'[3]2025 Mapping v3'!C:C,"Error",0)</f>
        <v>Error</v>
      </c>
      <c r="AE6881" s="18" t="str">
        <f>_xlfn.XLOOKUP(L6881,'[3]2025 Mapping v3'!A:A,'[3]2025 Mapping v3'!D:D,"Error",0)</f>
        <v>Error</v>
      </c>
      <c r="AF6881" s="18" t="str">
        <f>_xlfn.XLOOKUP(L6881,'[3]2025 Mapping v3'!A:A,'[3]2025 Mapping v3'!E:E,"Error",0)</f>
        <v>Error</v>
      </c>
    </row>
    <row r="6882" spans="27:32">
      <c r="AA6882" s="18">
        <f>_xlfn.XLOOKUP(Y6882,'[2]Data Source'!A:A,'[2]Data Source'!B:B,"N/A",0)</f>
        <v>0</v>
      </c>
      <c r="AB6882" s="18">
        <f t="shared" si="27"/>
        <v>0</v>
      </c>
      <c r="AC6882" s="18" t="str">
        <f>_xlfn.XLOOKUP(L6882,'[3]2025 Mapping v3'!A:A,'[3]2025 Mapping v3'!B:B,"Error",0)</f>
        <v>Error</v>
      </c>
      <c r="AD6882" s="18" t="str">
        <f>_xlfn.XLOOKUP(L6882,'[3]2025 Mapping v3'!A:A,'[3]2025 Mapping v3'!C:C,"Error",0)</f>
        <v>Error</v>
      </c>
      <c r="AE6882" s="18" t="str">
        <f>_xlfn.XLOOKUP(L6882,'[3]2025 Mapping v3'!A:A,'[3]2025 Mapping v3'!D:D,"Error",0)</f>
        <v>Error</v>
      </c>
      <c r="AF6882" s="18" t="str">
        <f>_xlfn.XLOOKUP(L6882,'[3]2025 Mapping v3'!A:A,'[3]2025 Mapping v3'!E:E,"Error",0)</f>
        <v>Error</v>
      </c>
    </row>
    <row r="6883" spans="27:32">
      <c r="AA6883" s="18">
        <f>_xlfn.XLOOKUP(Y6883,'[2]Data Source'!A:A,'[2]Data Source'!B:B,"N/A",0)</f>
        <v>0</v>
      </c>
      <c r="AB6883" s="18">
        <f t="shared" si="27"/>
        <v>0</v>
      </c>
      <c r="AC6883" s="18" t="str">
        <f>_xlfn.XLOOKUP(L6883,'[3]2025 Mapping v3'!A:A,'[3]2025 Mapping v3'!B:B,"Error",0)</f>
        <v>Error</v>
      </c>
      <c r="AD6883" s="18" t="str">
        <f>_xlfn.XLOOKUP(L6883,'[3]2025 Mapping v3'!A:A,'[3]2025 Mapping v3'!C:C,"Error",0)</f>
        <v>Error</v>
      </c>
      <c r="AE6883" s="18" t="str">
        <f>_xlfn.XLOOKUP(L6883,'[3]2025 Mapping v3'!A:A,'[3]2025 Mapping v3'!D:D,"Error",0)</f>
        <v>Error</v>
      </c>
      <c r="AF6883" s="18" t="str">
        <f>_xlfn.XLOOKUP(L6883,'[3]2025 Mapping v3'!A:A,'[3]2025 Mapping v3'!E:E,"Error",0)</f>
        <v>Error</v>
      </c>
    </row>
    <row r="6884" spans="27:32">
      <c r="AA6884" s="18">
        <f>_xlfn.XLOOKUP(Y6884,'[2]Data Source'!A:A,'[2]Data Source'!B:B,"N/A",0)</f>
        <v>0</v>
      </c>
      <c r="AB6884" s="18">
        <f t="shared" si="27"/>
        <v>0</v>
      </c>
      <c r="AC6884" s="18" t="str">
        <f>_xlfn.XLOOKUP(L6884,'[3]2025 Mapping v3'!A:A,'[3]2025 Mapping v3'!B:B,"Error",0)</f>
        <v>Error</v>
      </c>
      <c r="AD6884" s="18" t="str">
        <f>_xlfn.XLOOKUP(L6884,'[3]2025 Mapping v3'!A:A,'[3]2025 Mapping v3'!C:C,"Error",0)</f>
        <v>Error</v>
      </c>
      <c r="AE6884" s="18" t="str">
        <f>_xlfn.XLOOKUP(L6884,'[3]2025 Mapping v3'!A:A,'[3]2025 Mapping v3'!D:D,"Error",0)</f>
        <v>Error</v>
      </c>
      <c r="AF6884" s="18" t="str">
        <f>_xlfn.XLOOKUP(L6884,'[3]2025 Mapping v3'!A:A,'[3]2025 Mapping v3'!E:E,"Error",0)</f>
        <v>Error</v>
      </c>
    </row>
    <row r="6885" spans="27:32">
      <c r="AA6885" s="18">
        <f>_xlfn.XLOOKUP(Y6885,'[2]Data Source'!A:A,'[2]Data Source'!B:B,"N/A",0)</f>
        <v>0</v>
      </c>
      <c r="AB6885" s="18">
        <f t="shared" si="27"/>
        <v>0</v>
      </c>
      <c r="AC6885" s="18" t="str">
        <f>_xlfn.XLOOKUP(L6885,'[3]2025 Mapping v3'!A:A,'[3]2025 Mapping v3'!B:B,"Error",0)</f>
        <v>Error</v>
      </c>
      <c r="AD6885" s="18" t="str">
        <f>_xlfn.XLOOKUP(L6885,'[3]2025 Mapping v3'!A:A,'[3]2025 Mapping v3'!C:C,"Error",0)</f>
        <v>Error</v>
      </c>
      <c r="AE6885" s="18" t="str">
        <f>_xlfn.XLOOKUP(L6885,'[3]2025 Mapping v3'!A:A,'[3]2025 Mapping v3'!D:D,"Error",0)</f>
        <v>Error</v>
      </c>
      <c r="AF6885" s="18" t="str">
        <f>_xlfn.XLOOKUP(L6885,'[3]2025 Mapping v3'!A:A,'[3]2025 Mapping v3'!E:E,"Error",0)</f>
        <v>Error</v>
      </c>
    </row>
    <row r="6886" spans="27:32">
      <c r="AA6886" s="18">
        <f>_xlfn.XLOOKUP(Y6886,'[2]Data Source'!A:A,'[2]Data Source'!B:B,"N/A",0)</f>
        <v>0</v>
      </c>
      <c r="AB6886" s="18">
        <f t="shared" si="27"/>
        <v>0</v>
      </c>
      <c r="AC6886" s="18" t="str">
        <f>_xlfn.XLOOKUP(L6886,'[3]2025 Mapping v3'!A:A,'[3]2025 Mapping v3'!B:B,"Error",0)</f>
        <v>Error</v>
      </c>
      <c r="AD6886" s="18" t="str">
        <f>_xlfn.XLOOKUP(L6886,'[3]2025 Mapping v3'!A:A,'[3]2025 Mapping v3'!C:C,"Error",0)</f>
        <v>Error</v>
      </c>
      <c r="AE6886" s="18" t="str">
        <f>_xlfn.XLOOKUP(L6886,'[3]2025 Mapping v3'!A:A,'[3]2025 Mapping v3'!D:D,"Error",0)</f>
        <v>Error</v>
      </c>
      <c r="AF6886" s="18" t="str">
        <f>_xlfn.XLOOKUP(L6886,'[3]2025 Mapping v3'!A:A,'[3]2025 Mapping v3'!E:E,"Error",0)</f>
        <v>Error</v>
      </c>
    </row>
    <row r="6887" spans="27:32">
      <c r="AA6887" s="18">
        <f>_xlfn.XLOOKUP(Y6887,'[2]Data Source'!A:A,'[2]Data Source'!B:B,"N/A",0)</f>
        <v>0</v>
      </c>
      <c r="AB6887" s="18">
        <f t="shared" si="27"/>
        <v>0</v>
      </c>
      <c r="AC6887" s="18" t="str">
        <f>_xlfn.XLOOKUP(L6887,'[3]2025 Mapping v3'!A:A,'[3]2025 Mapping v3'!B:B,"Error",0)</f>
        <v>Error</v>
      </c>
      <c r="AD6887" s="18" t="str">
        <f>_xlfn.XLOOKUP(L6887,'[3]2025 Mapping v3'!A:A,'[3]2025 Mapping v3'!C:C,"Error",0)</f>
        <v>Error</v>
      </c>
      <c r="AE6887" s="18" t="str">
        <f>_xlfn.XLOOKUP(L6887,'[3]2025 Mapping v3'!A:A,'[3]2025 Mapping v3'!D:D,"Error",0)</f>
        <v>Error</v>
      </c>
      <c r="AF6887" s="18" t="str">
        <f>_xlfn.XLOOKUP(L6887,'[3]2025 Mapping v3'!A:A,'[3]2025 Mapping v3'!E:E,"Error",0)</f>
        <v>Error</v>
      </c>
    </row>
    <row r="6888" spans="27:32">
      <c r="AA6888" s="18">
        <f>_xlfn.XLOOKUP(Y6888,'[2]Data Source'!A:A,'[2]Data Source'!B:B,"N/A",0)</f>
        <v>0</v>
      </c>
      <c r="AB6888" s="18">
        <f t="shared" si="27"/>
        <v>0</v>
      </c>
      <c r="AC6888" s="18" t="str">
        <f>_xlfn.XLOOKUP(L6888,'[3]2025 Mapping v3'!A:A,'[3]2025 Mapping v3'!B:B,"Error",0)</f>
        <v>Error</v>
      </c>
      <c r="AD6888" s="18" t="str">
        <f>_xlfn.XLOOKUP(L6888,'[3]2025 Mapping v3'!A:A,'[3]2025 Mapping v3'!C:C,"Error",0)</f>
        <v>Error</v>
      </c>
      <c r="AE6888" s="18" t="str">
        <f>_xlfn.XLOOKUP(L6888,'[3]2025 Mapping v3'!A:A,'[3]2025 Mapping v3'!D:D,"Error",0)</f>
        <v>Error</v>
      </c>
      <c r="AF6888" s="18" t="str">
        <f>_xlfn.XLOOKUP(L6888,'[3]2025 Mapping v3'!A:A,'[3]2025 Mapping v3'!E:E,"Error",0)</f>
        <v>Error</v>
      </c>
    </row>
    <row r="6889" spans="27:32">
      <c r="AA6889" s="18">
        <f>_xlfn.XLOOKUP(Y6889,'[2]Data Source'!A:A,'[2]Data Source'!B:B,"N/A",0)</f>
        <v>0</v>
      </c>
      <c r="AB6889" s="18">
        <f t="shared" si="27"/>
        <v>0</v>
      </c>
      <c r="AC6889" s="18" t="str">
        <f>_xlfn.XLOOKUP(L6889,'[3]2025 Mapping v3'!A:A,'[3]2025 Mapping v3'!B:B,"Error",0)</f>
        <v>Error</v>
      </c>
      <c r="AD6889" s="18" t="str">
        <f>_xlfn.XLOOKUP(L6889,'[3]2025 Mapping v3'!A:A,'[3]2025 Mapping v3'!C:C,"Error",0)</f>
        <v>Error</v>
      </c>
      <c r="AE6889" s="18" t="str">
        <f>_xlfn.XLOOKUP(L6889,'[3]2025 Mapping v3'!A:A,'[3]2025 Mapping v3'!D:D,"Error",0)</f>
        <v>Error</v>
      </c>
      <c r="AF6889" s="18" t="str">
        <f>_xlfn.XLOOKUP(L6889,'[3]2025 Mapping v3'!A:A,'[3]2025 Mapping v3'!E:E,"Error",0)</f>
        <v>Error</v>
      </c>
    </row>
    <row r="6890" spans="27:32">
      <c r="AA6890" s="18">
        <f>_xlfn.XLOOKUP(Y6890,'[2]Data Source'!A:A,'[2]Data Source'!B:B,"N/A",0)</f>
        <v>0</v>
      </c>
      <c r="AB6890" s="18">
        <f t="shared" si="27"/>
        <v>0</v>
      </c>
      <c r="AC6890" s="18" t="str">
        <f>_xlfn.XLOOKUP(L6890,'[3]2025 Mapping v3'!A:A,'[3]2025 Mapping v3'!B:B,"Error",0)</f>
        <v>Error</v>
      </c>
      <c r="AD6890" s="18" t="str">
        <f>_xlfn.XLOOKUP(L6890,'[3]2025 Mapping v3'!A:A,'[3]2025 Mapping v3'!C:C,"Error",0)</f>
        <v>Error</v>
      </c>
      <c r="AE6890" s="18" t="str">
        <f>_xlfn.XLOOKUP(L6890,'[3]2025 Mapping v3'!A:A,'[3]2025 Mapping v3'!D:D,"Error",0)</f>
        <v>Error</v>
      </c>
      <c r="AF6890" s="18" t="str">
        <f>_xlfn.XLOOKUP(L6890,'[3]2025 Mapping v3'!A:A,'[3]2025 Mapping v3'!E:E,"Error",0)</f>
        <v>Error</v>
      </c>
    </row>
    <row r="6891" spans="27:32">
      <c r="AA6891" s="18">
        <f>_xlfn.XLOOKUP(Y6891,'[2]Data Source'!A:A,'[2]Data Source'!B:B,"N/A",0)</f>
        <v>0</v>
      </c>
      <c r="AB6891" s="18">
        <f t="shared" si="27"/>
        <v>0</v>
      </c>
      <c r="AC6891" s="18" t="str">
        <f>_xlfn.XLOOKUP(L6891,'[3]2025 Mapping v3'!A:A,'[3]2025 Mapping v3'!B:B,"Error",0)</f>
        <v>Error</v>
      </c>
      <c r="AD6891" s="18" t="str">
        <f>_xlfn.XLOOKUP(L6891,'[3]2025 Mapping v3'!A:A,'[3]2025 Mapping v3'!C:C,"Error",0)</f>
        <v>Error</v>
      </c>
      <c r="AE6891" s="18" t="str">
        <f>_xlfn.XLOOKUP(L6891,'[3]2025 Mapping v3'!A:A,'[3]2025 Mapping v3'!D:D,"Error",0)</f>
        <v>Error</v>
      </c>
      <c r="AF6891" s="18" t="str">
        <f>_xlfn.XLOOKUP(L6891,'[3]2025 Mapping v3'!A:A,'[3]2025 Mapping v3'!E:E,"Error",0)</f>
        <v>Error</v>
      </c>
    </row>
    <row r="6892" spans="27:32">
      <c r="AA6892" s="18">
        <f>_xlfn.XLOOKUP(Y6892,'[2]Data Source'!A:A,'[2]Data Source'!B:B,"N/A",0)</f>
        <v>0</v>
      </c>
      <c r="AB6892" s="18">
        <f t="shared" si="27"/>
        <v>0</v>
      </c>
      <c r="AC6892" s="18" t="str">
        <f>_xlfn.XLOOKUP(L6892,'[3]2025 Mapping v3'!A:A,'[3]2025 Mapping v3'!B:B,"Error",0)</f>
        <v>Error</v>
      </c>
      <c r="AD6892" s="18" t="str">
        <f>_xlfn.XLOOKUP(L6892,'[3]2025 Mapping v3'!A:A,'[3]2025 Mapping v3'!C:C,"Error",0)</f>
        <v>Error</v>
      </c>
      <c r="AE6892" s="18" t="str">
        <f>_xlfn.XLOOKUP(L6892,'[3]2025 Mapping v3'!A:A,'[3]2025 Mapping v3'!D:D,"Error",0)</f>
        <v>Error</v>
      </c>
      <c r="AF6892" s="18" t="str">
        <f>_xlfn.XLOOKUP(L6892,'[3]2025 Mapping v3'!A:A,'[3]2025 Mapping v3'!E:E,"Error",0)</f>
        <v>Error</v>
      </c>
    </row>
    <row r="6893" spans="27:32">
      <c r="AA6893" s="18">
        <f>_xlfn.XLOOKUP(Y6893,'[2]Data Source'!A:A,'[2]Data Source'!B:B,"N/A",0)</f>
        <v>0</v>
      </c>
      <c r="AB6893" s="18">
        <f t="shared" si="27"/>
        <v>0</v>
      </c>
      <c r="AC6893" s="18" t="str">
        <f>_xlfn.XLOOKUP(L6893,'[3]2025 Mapping v3'!A:A,'[3]2025 Mapping v3'!B:B,"Error",0)</f>
        <v>Error</v>
      </c>
      <c r="AD6893" s="18" t="str">
        <f>_xlfn.XLOOKUP(L6893,'[3]2025 Mapping v3'!A:A,'[3]2025 Mapping v3'!C:C,"Error",0)</f>
        <v>Error</v>
      </c>
      <c r="AE6893" s="18" t="str">
        <f>_xlfn.XLOOKUP(L6893,'[3]2025 Mapping v3'!A:A,'[3]2025 Mapping v3'!D:D,"Error",0)</f>
        <v>Error</v>
      </c>
      <c r="AF6893" s="18" t="str">
        <f>_xlfn.XLOOKUP(L6893,'[3]2025 Mapping v3'!A:A,'[3]2025 Mapping v3'!E:E,"Error",0)</f>
        <v>Error</v>
      </c>
    </row>
    <row r="6894" spans="27:32">
      <c r="AA6894" s="18">
        <f>_xlfn.XLOOKUP(Y6894,'[2]Data Source'!A:A,'[2]Data Source'!B:B,"N/A",0)</f>
        <v>0</v>
      </c>
      <c r="AB6894" s="18">
        <f t="shared" si="27"/>
        <v>0</v>
      </c>
      <c r="AC6894" s="18" t="str">
        <f>_xlfn.XLOOKUP(L6894,'[3]2025 Mapping v3'!A:A,'[3]2025 Mapping v3'!B:B,"Error",0)</f>
        <v>Error</v>
      </c>
      <c r="AD6894" s="18" t="str">
        <f>_xlfn.XLOOKUP(L6894,'[3]2025 Mapping v3'!A:A,'[3]2025 Mapping v3'!C:C,"Error",0)</f>
        <v>Error</v>
      </c>
      <c r="AE6894" s="18" t="str">
        <f>_xlfn.XLOOKUP(L6894,'[3]2025 Mapping v3'!A:A,'[3]2025 Mapping v3'!D:D,"Error",0)</f>
        <v>Error</v>
      </c>
      <c r="AF6894" s="18" t="str">
        <f>_xlfn.XLOOKUP(L6894,'[3]2025 Mapping v3'!A:A,'[3]2025 Mapping v3'!E:E,"Error",0)</f>
        <v>Error</v>
      </c>
    </row>
    <row r="6895" spans="27:32">
      <c r="AA6895" s="18">
        <f>_xlfn.XLOOKUP(Y6895,'[2]Data Source'!A:A,'[2]Data Source'!B:B,"N/A",0)</f>
        <v>0</v>
      </c>
      <c r="AB6895" s="18">
        <f t="shared" si="27"/>
        <v>0</v>
      </c>
      <c r="AC6895" s="18" t="str">
        <f>_xlfn.XLOOKUP(L6895,'[3]2025 Mapping v3'!A:A,'[3]2025 Mapping v3'!B:B,"Error",0)</f>
        <v>Error</v>
      </c>
      <c r="AD6895" s="18" t="str">
        <f>_xlfn.XLOOKUP(L6895,'[3]2025 Mapping v3'!A:A,'[3]2025 Mapping v3'!C:C,"Error",0)</f>
        <v>Error</v>
      </c>
      <c r="AE6895" s="18" t="str">
        <f>_xlfn.XLOOKUP(L6895,'[3]2025 Mapping v3'!A:A,'[3]2025 Mapping v3'!D:D,"Error",0)</f>
        <v>Error</v>
      </c>
      <c r="AF6895" s="18" t="str">
        <f>_xlfn.XLOOKUP(L6895,'[3]2025 Mapping v3'!A:A,'[3]2025 Mapping v3'!E:E,"Error",0)</f>
        <v>Error</v>
      </c>
    </row>
    <row r="6896" spans="27:32">
      <c r="AA6896" s="18">
        <f>_xlfn.XLOOKUP(Y6896,'[2]Data Source'!A:A,'[2]Data Source'!B:B,"N/A",0)</f>
        <v>0</v>
      </c>
      <c r="AB6896" s="18">
        <f t="shared" si="27"/>
        <v>0</v>
      </c>
      <c r="AC6896" s="18" t="str">
        <f>_xlfn.XLOOKUP(L6896,'[3]2025 Mapping v3'!A:A,'[3]2025 Mapping v3'!B:B,"Error",0)</f>
        <v>Error</v>
      </c>
      <c r="AD6896" s="18" t="str">
        <f>_xlfn.XLOOKUP(L6896,'[3]2025 Mapping v3'!A:A,'[3]2025 Mapping v3'!C:C,"Error",0)</f>
        <v>Error</v>
      </c>
      <c r="AE6896" s="18" t="str">
        <f>_xlfn.XLOOKUP(L6896,'[3]2025 Mapping v3'!A:A,'[3]2025 Mapping v3'!D:D,"Error",0)</f>
        <v>Error</v>
      </c>
      <c r="AF6896" s="18" t="str">
        <f>_xlfn.XLOOKUP(L6896,'[3]2025 Mapping v3'!A:A,'[3]2025 Mapping v3'!E:E,"Error",0)</f>
        <v>Error</v>
      </c>
    </row>
    <row r="6897" spans="27:32">
      <c r="AA6897" s="18">
        <f>_xlfn.XLOOKUP(Y6897,'[2]Data Source'!A:A,'[2]Data Source'!B:B,"N/A",0)</f>
        <v>0</v>
      </c>
      <c r="AB6897" s="18">
        <f t="shared" si="27"/>
        <v>0</v>
      </c>
      <c r="AC6897" s="18" t="str">
        <f>_xlfn.XLOOKUP(L6897,'[3]2025 Mapping v3'!A:A,'[3]2025 Mapping v3'!B:B,"Error",0)</f>
        <v>Error</v>
      </c>
      <c r="AD6897" s="18" t="str">
        <f>_xlfn.XLOOKUP(L6897,'[3]2025 Mapping v3'!A:A,'[3]2025 Mapping v3'!C:C,"Error",0)</f>
        <v>Error</v>
      </c>
      <c r="AE6897" s="18" t="str">
        <f>_xlfn.XLOOKUP(L6897,'[3]2025 Mapping v3'!A:A,'[3]2025 Mapping v3'!D:D,"Error",0)</f>
        <v>Error</v>
      </c>
      <c r="AF6897" s="18" t="str">
        <f>_xlfn.XLOOKUP(L6897,'[3]2025 Mapping v3'!A:A,'[3]2025 Mapping v3'!E:E,"Error",0)</f>
        <v>Error</v>
      </c>
    </row>
    <row r="6898" spans="27:32">
      <c r="AA6898" s="18">
        <f>_xlfn.XLOOKUP(Y6898,'[2]Data Source'!A:A,'[2]Data Source'!B:B,"N/A",0)</f>
        <v>0</v>
      </c>
      <c r="AB6898" s="18">
        <f t="shared" si="27"/>
        <v>0</v>
      </c>
      <c r="AC6898" s="18" t="str">
        <f>_xlfn.XLOOKUP(L6898,'[3]2025 Mapping v3'!A:A,'[3]2025 Mapping v3'!B:B,"Error",0)</f>
        <v>Error</v>
      </c>
      <c r="AD6898" s="18" t="str">
        <f>_xlfn.XLOOKUP(L6898,'[3]2025 Mapping v3'!A:A,'[3]2025 Mapping v3'!C:C,"Error",0)</f>
        <v>Error</v>
      </c>
      <c r="AE6898" s="18" t="str">
        <f>_xlfn.XLOOKUP(L6898,'[3]2025 Mapping v3'!A:A,'[3]2025 Mapping v3'!D:D,"Error",0)</f>
        <v>Error</v>
      </c>
      <c r="AF6898" s="18" t="str">
        <f>_xlfn.XLOOKUP(L6898,'[3]2025 Mapping v3'!A:A,'[3]2025 Mapping v3'!E:E,"Error",0)</f>
        <v>Error</v>
      </c>
    </row>
    <row r="6899" spans="27:32">
      <c r="AA6899" s="18">
        <f>_xlfn.XLOOKUP(Y6899,'[2]Data Source'!A:A,'[2]Data Source'!B:B,"N/A",0)</f>
        <v>0</v>
      </c>
      <c r="AB6899" s="18">
        <f t="shared" si="27"/>
        <v>0</v>
      </c>
      <c r="AC6899" s="18" t="str">
        <f>_xlfn.XLOOKUP(L6899,'[3]2025 Mapping v3'!A:A,'[3]2025 Mapping v3'!B:B,"Error",0)</f>
        <v>Error</v>
      </c>
      <c r="AD6899" s="18" t="str">
        <f>_xlfn.XLOOKUP(L6899,'[3]2025 Mapping v3'!A:A,'[3]2025 Mapping v3'!C:C,"Error",0)</f>
        <v>Error</v>
      </c>
      <c r="AE6899" s="18" t="str">
        <f>_xlfn.XLOOKUP(L6899,'[3]2025 Mapping v3'!A:A,'[3]2025 Mapping v3'!D:D,"Error",0)</f>
        <v>Error</v>
      </c>
      <c r="AF6899" s="18" t="str">
        <f>_xlfn.XLOOKUP(L6899,'[3]2025 Mapping v3'!A:A,'[3]2025 Mapping v3'!E:E,"Error",0)</f>
        <v>Error</v>
      </c>
    </row>
    <row r="6900" spans="27:32">
      <c r="AA6900" s="18">
        <f>_xlfn.XLOOKUP(Y6900,'[2]Data Source'!A:A,'[2]Data Source'!B:B,"N/A",0)</f>
        <v>0</v>
      </c>
      <c r="AB6900" s="18">
        <f t="shared" si="27"/>
        <v>0</v>
      </c>
      <c r="AC6900" s="18" t="str">
        <f>_xlfn.XLOOKUP(L6900,'[3]2025 Mapping v3'!A:A,'[3]2025 Mapping v3'!B:B,"Error",0)</f>
        <v>Error</v>
      </c>
      <c r="AD6900" s="18" t="str">
        <f>_xlfn.XLOOKUP(L6900,'[3]2025 Mapping v3'!A:A,'[3]2025 Mapping v3'!C:C,"Error",0)</f>
        <v>Error</v>
      </c>
      <c r="AE6900" s="18" t="str">
        <f>_xlfn.XLOOKUP(L6900,'[3]2025 Mapping v3'!A:A,'[3]2025 Mapping v3'!D:D,"Error",0)</f>
        <v>Error</v>
      </c>
      <c r="AF6900" s="18" t="str">
        <f>_xlfn.XLOOKUP(L6900,'[3]2025 Mapping v3'!A:A,'[3]2025 Mapping v3'!E:E,"Error",0)</f>
        <v>Error</v>
      </c>
    </row>
    <row r="6901" spans="27:32">
      <c r="AA6901" s="18">
        <f>_xlfn.XLOOKUP(Y6901,'[2]Data Source'!A:A,'[2]Data Source'!B:B,"N/A",0)</f>
        <v>0</v>
      </c>
      <c r="AB6901" s="18">
        <f t="shared" si="27"/>
        <v>0</v>
      </c>
      <c r="AC6901" s="18" t="str">
        <f>_xlfn.XLOOKUP(L6901,'[3]2025 Mapping v3'!A:A,'[3]2025 Mapping v3'!B:B,"Error",0)</f>
        <v>Error</v>
      </c>
      <c r="AD6901" s="18" t="str">
        <f>_xlfn.XLOOKUP(L6901,'[3]2025 Mapping v3'!A:A,'[3]2025 Mapping v3'!C:C,"Error",0)</f>
        <v>Error</v>
      </c>
      <c r="AE6901" s="18" t="str">
        <f>_xlfn.XLOOKUP(L6901,'[3]2025 Mapping v3'!A:A,'[3]2025 Mapping v3'!D:D,"Error",0)</f>
        <v>Error</v>
      </c>
      <c r="AF6901" s="18" t="str">
        <f>_xlfn.XLOOKUP(L6901,'[3]2025 Mapping v3'!A:A,'[3]2025 Mapping v3'!E:E,"Error",0)</f>
        <v>Error</v>
      </c>
    </row>
    <row r="6902" spans="27:32">
      <c r="AA6902" s="18">
        <f>_xlfn.XLOOKUP(Y6902,'[2]Data Source'!A:A,'[2]Data Source'!B:B,"N/A",0)</f>
        <v>0</v>
      </c>
      <c r="AB6902" s="18">
        <f t="shared" si="27"/>
        <v>0</v>
      </c>
      <c r="AC6902" s="18" t="str">
        <f>_xlfn.XLOOKUP(L6902,'[3]2025 Mapping v3'!A:A,'[3]2025 Mapping v3'!B:B,"Error",0)</f>
        <v>Error</v>
      </c>
      <c r="AD6902" s="18" t="str">
        <f>_xlfn.XLOOKUP(L6902,'[3]2025 Mapping v3'!A:A,'[3]2025 Mapping v3'!C:C,"Error",0)</f>
        <v>Error</v>
      </c>
      <c r="AE6902" s="18" t="str">
        <f>_xlfn.XLOOKUP(L6902,'[3]2025 Mapping v3'!A:A,'[3]2025 Mapping v3'!D:D,"Error",0)</f>
        <v>Error</v>
      </c>
      <c r="AF6902" s="18" t="str">
        <f>_xlfn.XLOOKUP(L6902,'[3]2025 Mapping v3'!A:A,'[3]2025 Mapping v3'!E:E,"Error",0)</f>
        <v>Error</v>
      </c>
    </row>
    <row r="6903" spans="27:32">
      <c r="AA6903" s="18">
        <f>_xlfn.XLOOKUP(Y6903,'[2]Data Source'!A:A,'[2]Data Source'!B:B,"N/A",0)</f>
        <v>0</v>
      </c>
      <c r="AB6903" s="18">
        <f t="shared" si="27"/>
        <v>0</v>
      </c>
      <c r="AC6903" s="18" t="str">
        <f>_xlfn.XLOOKUP(L6903,'[3]2025 Mapping v3'!A:A,'[3]2025 Mapping v3'!B:B,"Error",0)</f>
        <v>Error</v>
      </c>
      <c r="AD6903" s="18" t="str">
        <f>_xlfn.XLOOKUP(L6903,'[3]2025 Mapping v3'!A:A,'[3]2025 Mapping v3'!C:C,"Error",0)</f>
        <v>Error</v>
      </c>
      <c r="AE6903" s="18" t="str">
        <f>_xlfn.XLOOKUP(L6903,'[3]2025 Mapping v3'!A:A,'[3]2025 Mapping v3'!D:D,"Error",0)</f>
        <v>Error</v>
      </c>
      <c r="AF6903" s="18" t="str">
        <f>_xlfn.XLOOKUP(L6903,'[3]2025 Mapping v3'!A:A,'[3]2025 Mapping v3'!E:E,"Error",0)</f>
        <v>Error</v>
      </c>
    </row>
    <row r="6904" spans="27:32">
      <c r="AA6904" s="18">
        <f>_xlfn.XLOOKUP(Y6904,'[2]Data Source'!A:A,'[2]Data Source'!B:B,"N/A",0)</f>
        <v>0</v>
      </c>
      <c r="AB6904" s="18">
        <f t="shared" si="27"/>
        <v>0</v>
      </c>
      <c r="AC6904" s="18" t="str">
        <f>_xlfn.XLOOKUP(L6904,'[3]2025 Mapping v3'!A:A,'[3]2025 Mapping v3'!B:B,"Error",0)</f>
        <v>Error</v>
      </c>
      <c r="AD6904" s="18" t="str">
        <f>_xlfn.XLOOKUP(L6904,'[3]2025 Mapping v3'!A:A,'[3]2025 Mapping v3'!C:C,"Error",0)</f>
        <v>Error</v>
      </c>
      <c r="AE6904" s="18" t="str">
        <f>_xlfn.XLOOKUP(L6904,'[3]2025 Mapping v3'!A:A,'[3]2025 Mapping v3'!D:D,"Error",0)</f>
        <v>Error</v>
      </c>
      <c r="AF6904" s="18" t="str">
        <f>_xlfn.XLOOKUP(L6904,'[3]2025 Mapping v3'!A:A,'[3]2025 Mapping v3'!E:E,"Error",0)</f>
        <v>Error</v>
      </c>
    </row>
    <row r="6905" spans="27:32">
      <c r="AA6905" s="18">
        <f>_xlfn.XLOOKUP(Y6905,'[2]Data Source'!A:A,'[2]Data Source'!B:B,"N/A",0)</f>
        <v>0</v>
      </c>
      <c r="AB6905" s="18">
        <f t="shared" si="27"/>
        <v>0</v>
      </c>
      <c r="AC6905" s="18" t="str">
        <f>_xlfn.XLOOKUP(L6905,'[3]2025 Mapping v3'!A:A,'[3]2025 Mapping v3'!B:B,"Error",0)</f>
        <v>Error</v>
      </c>
      <c r="AD6905" s="18" t="str">
        <f>_xlfn.XLOOKUP(L6905,'[3]2025 Mapping v3'!A:A,'[3]2025 Mapping v3'!C:C,"Error",0)</f>
        <v>Error</v>
      </c>
      <c r="AE6905" s="18" t="str">
        <f>_xlfn.XLOOKUP(L6905,'[3]2025 Mapping v3'!A:A,'[3]2025 Mapping v3'!D:D,"Error",0)</f>
        <v>Error</v>
      </c>
      <c r="AF6905" s="18" t="str">
        <f>_xlfn.XLOOKUP(L6905,'[3]2025 Mapping v3'!A:A,'[3]2025 Mapping v3'!E:E,"Error",0)</f>
        <v>Error</v>
      </c>
    </row>
    <row r="6906" spans="27:32">
      <c r="AA6906" s="18">
        <f>_xlfn.XLOOKUP(Y6906,'[2]Data Source'!A:A,'[2]Data Source'!B:B,"N/A",0)</f>
        <v>0</v>
      </c>
      <c r="AB6906" s="18">
        <f t="shared" si="27"/>
        <v>0</v>
      </c>
      <c r="AC6906" s="18" t="str">
        <f>_xlfn.XLOOKUP(L6906,'[3]2025 Mapping v3'!A:A,'[3]2025 Mapping v3'!B:B,"Error",0)</f>
        <v>Error</v>
      </c>
      <c r="AD6906" s="18" t="str">
        <f>_xlfn.XLOOKUP(L6906,'[3]2025 Mapping v3'!A:A,'[3]2025 Mapping v3'!C:C,"Error",0)</f>
        <v>Error</v>
      </c>
      <c r="AE6906" s="18" t="str">
        <f>_xlfn.XLOOKUP(L6906,'[3]2025 Mapping v3'!A:A,'[3]2025 Mapping v3'!D:D,"Error",0)</f>
        <v>Error</v>
      </c>
      <c r="AF6906" s="18" t="str">
        <f>_xlfn.XLOOKUP(L6906,'[3]2025 Mapping v3'!A:A,'[3]2025 Mapping v3'!E:E,"Error",0)</f>
        <v>Error</v>
      </c>
    </row>
    <row r="6907" spans="27:32">
      <c r="AA6907" s="18">
        <f>_xlfn.XLOOKUP(Y6907,'[2]Data Source'!A:A,'[2]Data Source'!B:B,"N/A",0)</f>
        <v>0</v>
      </c>
      <c r="AB6907" s="18">
        <f t="shared" si="27"/>
        <v>0</v>
      </c>
      <c r="AC6907" s="18" t="str">
        <f>_xlfn.XLOOKUP(L6907,'[3]2025 Mapping v3'!A:A,'[3]2025 Mapping v3'!B:B,"Error",0)</f>
        <v>Error</v>
      </c>
      <c r="AD6907" s="18" t="str">
        <f>_xlfn.XLOOKUP(L6907,'[3]2025 Mapping v3'!A:A,'[3]2025 Mapping v3'!C:C,"Error",0)</f>
        <v>Error</v>
      </c>
      <c r="AE6907" s="18" t="str">
        <f>_xlfn.XLOOKUP(L6907,'[3]2025 Mapping v3'!A:A,'[3]2025 Mapping v3'!D:D,"Error",0)</f>
        <v>Error</v>
      </c>
      <c r="AF6907" s="18" t="str">
        <f>_xlfn.XLOOKUP(L6907,'[3]2025 Mapping v3'!A:A,'[3]2025 Mapping v3'!E:E,"Error",0)</f>
        <v>Error</v>
      </c>
    </row>
    <row r="6908" spans="27:32">
      <c r="AA6908" s="18">
        <f>_xlfn.XLOOKUP(Y6908,'[2]Data Source'!A:A,'[2]Data Source'!B:B,"N/A",0)</f>
        <v>0</v>
      </c>
      <c r="AB6908" s="18">
        <f t="shared" si="27"/>
        <v>0</v>
      </c>
      <c r="AC6908" s="18" t="str">
        <f>_xlfn.XLOOKUP(L6908,'[3]2025 Mapping v3'!A:A,'[3]2025 Mapping v3'!B:B,"Error",0)</f>
        <v>Error</v>
      </c>
      <c r="AD6908" s="18" t="str">
        <f>_xlfn.XLOOKUP(L6908,'[3]2025 Mapping v3'!A:A,'[3]2025 Mapping v3'!C:C,"Error",0)</f>
        <v>Error</v>
      </c>
      <c r="AE6908" s="18" t="str">
        <f>_xlfn.XLOOKUP(L6908,'[3]2025 Mapping v3'!A:A,'[3]2025 Mapping v3'!D:D,"Error",0)</f>
        <v>Error</v>
      </c>
      <c r="AF6908" s="18" t="str">
        <f>_xlfn.XLOOKUP(L6908,'[3]2025 Mapping v3'!A:A,'[3]2025 Mapping v3'!E:E,"Error",0)</f>
        <v>Error</v>
      </c>
    </row>
    <row r="6909" spans="27:32">
      <c r="AA6909" s="18">
        <f>_xlfn.XLOOKUP(Y6909,'[2]Data Source'!A:A,'[2]Data Source'!B:B,"N/A",0)</f>
        <v>0</v>
      </c>
      <c r="AB6909" s="18">
        <f t="shared" si="27"/>
        <v>0</v>
      </c>
      <c r="AC6909" s="18" t="str">
        <f>_xlfn.XLOOKUP(L6909,'[3]2025 Mapping v3'!A:A,'[3]2025 Mapping v3'!B:B,"Error",0)</f>
        <v>Error</v>
      </c>
      <c r="AD6909" s="18" t="str">
        <f>_xlfn.XLOOKUP(L6909,'[3]2025 Mapping v3'!A:A,'[3]2025 Mapping v3'!C:C,"Error",0)</f>
        <v>Error</v>
      </c>
      <c r="AE6909" s="18" t="str">
        <f>_xlfn.XLOOKUP(L6909,'[3]2025 Mapping v3'!A:A,'[3]2025 Mapping v3'!D:D,"Error",0)</f>
        <v>Error</v>
      </c>
      <c r="AF6909" s="18" t="str">
        <f>_xlfn.XLOOKUP(L6909,'[3]2025 Mapping v3'!A:A,'[3]2025 Mapping v3'!E:E,"Error",0)</f>
        <v>Error</v>
      </c>
    </row>
    <row r="6910" spans="27:32">
      <c r="AA6910" s="18">
        <f>_xlfn.XLOOKUP(Y6910,'[2]Data Source'!A:A,'[2]Data Source'!B:B,"N/A",0)</f>
        <v>0</v>
      </c>
      <c r="AB6910" s="18">
        <f t="shared" si="27"/>
        <v>0</v>
      </c>
      <c r="AC6910" s="18" t="str">
        <f>_xlfn.XLOOKUP(L6910,'[3]2025 Mapping v3'!A:A,'[3]2025 Mapping v3'!B:B,"Error",0)</f>
        <v>Error</v>
      </c>
      <c r="AD6910" s="18" t="str">
        <f>_xlfn.XLOOKUP(L6910,'[3]2025 Mapping v3'!A:A,'[3]2025 Mapping v3'!C:C,"Error",0)</f>
        <v>Error</v>
      </c>
      <c r="AE6910" s="18" t="str">
        <f>_xlfn.XLOOKUP(L6910,'[3]2025 Mapping v3'!A:A,'[3]2025 Mapping v3'!D:D,"Error",0)</f>
        <v>Error</v>
      </c>
      <c r="AF6910" s="18" t="str">
        <f>_xlfn.XLOOKUP(L6910,'[3]2025 Mapping v3'!A:A,'[3]2025 Mapping v3'!E:E,"Error",0)</f>
        <v>Error</v>
      </c>
    </row>
    <row r="6911" spans="27:32">
      <c r="AA6911" s="18">
        <f>_xlfn.XLOOKUP(Y6911,'[2]Data Source'!A:A,'[2]Data Source'!B:B,"N/A",0)</f>
        <v>0</v>
      </c>
      <c r="AB6911" s="18">
        <f t="shared" si="27"/>
        <v>0</v>
      </c>
      <c r="AC6911" s="18" t="str">
        <f>_xlfn.XLOOKUP(L6911,'[3]2025 Mapping v3'!A:A,'[3]2025 Mapping v3'!B:B,"Error",0)</f>
        <v>Error</v>
      </c>
      <c r="AD6911" s="18" t="str">
        <f>_xlfn.XLOOKUP(L6911,'[3]2025 Mapping v3'!A:A,'[3]2025 Mapping v3'!C:C,"Error",0)</f>
        <v>Error</v>
      </c>
      <c r="AE6911" s="18" t="str">
        <f>_xlfn.XLOOKUP(L6911,'[3]2025 Mapping v3'!A:A,'[3]2025 Mapping v3'!D:D,"Error",0)</f>
        <v>Error</v>
      </c>
      <c r="AF6911" s="18" t="str">
        <f>_xlfn.XLOOKUP(L6911,'[3]2025 Mapping v3'!A:A,'[3]2025 Mapping v3'!E:E,"Error",0)</f>
        <v>Error</v>
      </c>
    </row>
    <row r="6912" spans="27:32">
      <c r="AA6912" s="18">
        <f>_xlfn.XLOOKUP(Y6912,'[2]Data Source'!A:A,'[2]Data Source'!B:B,"N/A",0)</f>
        <v>0</v>
      </c>
      <c r="AB6912" s="18">
        <f t="shared" si="27"/>
        <v>0</v>
      </c>
      <c r="AC6912" s="18" t="str">
        <f>_xlfn.XLOOKUP(L6912,'[3]2025 Mapping v3'!A:A,'[3]2025 Mapping v3'!B:B,"Error",0)</f>
        <v>Error</v>
      </c>
      <c r="AD6912" s="18" t="str">
        <f>_xlfn.XLOOKUP(L6912,'[3]2025 Mapping v3'!A:A,'[3]2025 Mapping v3'!C:C,"Error",0)</f>
        <v>Error</v>
      </c>
      <c r="AE6912" s="18" t="str">
        <f>_xlfn.XLOOKUP(L6912,'[3]2025 Mapping v3'!A:A,'[3]2025 Mapping v3'!D:D,"Error",0)</f>
        <v>Error</v>
      </c>
      <c r="AF6912" s="18" t="str">
        <f>_xlfn.XLOOKUP(L6912,'[3]2025 Mapping v3'!A:A,'[3]2025 Mapping v3'!E:E,"Error",0)</f>
        <v>Error</v>
      </c>
    </row>
    <row r="6913" spans="27:32">
      <c r="AA6913" s="18">
        <f>_xlfn.XLOOKUP(Y6913,'[2]Data Source'!A:A,'[2]Data Source'!B:B,"N/A",0)</f>
        <v>0</v>
      </c>
      <c r="AB6913" s="18">
        <f t="shared" si="27"/>
        <v>0</v>
      </c>
      <c r="AC6913" s="18" t="str">
        <f>_xlfn.XLOOKUP(L6913,'[3]2025 Mapping v3'!A:A,'[3]2025 Mapping v3'!B:B,"Error",0)</f>
        <v>Error</v>
      </c>
      <c r="AD6913" s="18" t="str">
        <f>_xlfn.XLOOKUP(L6913,'[3]2025 Mapping v3'!A:A,'[3]2025 Mapping v3'!C:C,"Error",0)</f>
        <v>Error</v>
      </c>
      <c r="AE6913" s="18" t="str">
        <f>_xlfn.XLOOKUP(L6913,'[3]2025 Mapping v3'!A:A,'[3]2025 Mapping v3'!D:D,"Error",0)</f>
        <v>Error</v>
      </c>
      <c r="AF6913" s="18" t="str">
        <f>_xlfn.XLOOKUP(L6913,'[3]2025 Mapping v3'!A:A,'[3]2025 Mapping v3'!E:E,"Error",0)</f>
        <v>Error</v>
      </c>
    </row>
    <row r="6914" spans="27:32">
      <c r="AA6914" s="18">
        <f>_xlfn.XLOOKUP(Y6914,'[2]Data Source'!A:A,'[2]Data Source'!B:B,"N/A",0)</f>
        <v>0</v>
      </c>
      <c r="AB6914" s="18">
        <f t="shared" si="27"/>
        <v>0</v>
      </c>
      <c r="AC6914" s="18" t="str">
        <f>_xlfn.XLOOKUP(L6914,'[3]2025 Mapping v3'!A:A,'[3]2025 Mapping v3'!B:B,"Error",0)</f>
        <v>Error</v>
      </c>
      <c r="AD6914" s="18" t="str">
        <f>_xlfn.XLOOKUP(L6914,'[3]2025 Mapping v3'!A:A,'[3]2025 Mapping v3'!C:C,"Error",0)</f>
        <v>Error</v>
      </c>
      <c r="AE6914" s="18" t="str">
        <f>_xlfn.XLOOKUP(L6914,'[3]2025 Mapping v3'!A:A,'[3]2025 Mapping v3'!D:D,"Error",0)</f>
        <v>Error</v>
      </c>
      <c r="AF6914" s="18" t="str">
        <f>_xlfn.XLOOKUP(L6914,'[3]2025 Mapping v3'!A:A,'[3]2025 Mapping v3'!E:E,"Error",0)</f>
        <v>Error</v>
      </c>
    </row>
    <row r="6915" spans="27:32">
      <c r="AA6915" s="18">
        <f>_xlfn.XLOOKUP(Y6915,'[2]Data Source'!A:A,'[2]Data Source'!B:B,"N/A",0)</f>
        <v>0</v>
      </c>
      <c r="AB6915" s="18">
        <f t="shared" si="27"/>
        <v>0</v>
      </c>
      <c r="AC6915" s="18" t="str">
        <f>_xlfn.XLOOKUP(L6915,'[3]2025 Mapping v3'!A:A,'[3]2025 Mapping v3'!B:B,"Error",0)</f>
        <v>Error</v>
      </c>
      <c r="AD6915" s="18" t="str">
        <f>_xlfn.XLOOKUP(L6915,'[3]2025 Mapping v3'!A:A,'[3]2025 Mapping v3'!C:C,"Error",0)</f>
        <v>Error</v>
      </c>
      <c r="AE6915" s="18" t="str">
        <f>_xlfn.XLOOKUP(L6915,'[3]2025 Mapping v3'!A:A,'[3]2025 Mapping v3'!D:D,"Error",0)</f>
        <v>Error</v>
      </c>
      <c r="AF6915" s="18" t="str">
        <f>_xlfn.XLOOKUP(L6915,'[3]2025 Mapping v3'!A:A,'[3]2025 Mapping v3'!E:E,"Error",0)</f>
        <v>Error</v>
      </c>
    </row>
    <row r="6916" spans="27:32">
      <c r="AA6916" s="18">
        <f>_xlfn.XLOOKUP(Y6916,'[2]Data Source'!A:A,'[2]Data Source'!B:B,"N/A",0)</f>
        <v>0</v>
      </c>
      <c r="AB6916" s="18">
        <f t="shared" si="27"/>
        <v>0</v>
      </c>
      <c r="AC6916" s="18" t="str">
        <f>_xlfn.XLOOKUP(L6916,'[3]2025 Mapping v3'!A:A,'[3]2025 Mapping v3'!B:B,"Error",0)</f>
        <v>Error</v>
      </c>
      <c r="AD6916" s="18" t="str">
        <f>_xlfn.XLOOKUP(L6916,'[3]2025 Mapping v3'!A:A,'[3]2025 Mapping v3'!C:C,"Error",0)</f>
        <v>Error</v>
      </c>
      <c r="AE6916" s="18" t="str">
        <f>_xlfn.XLOOKUP(L6916,'[3]2025 Mapping v3'!A:A,'[3]2025 Mapping v3'!D:D,"Error",0)</f>
        <v>Error</v>
      </c>
      <c r="AF6916" s="18" t="str">
        <f>_xlfn.XLOOKUP(L6916,'[3]2025 Mapping v3'!A:A,'[3]2025 Mapping v3'!E:E,"Error",0)</f>
        <v>Error</v>
      </c>
    </row>
    <row r="6917" spans="27:32">
      <c r="AA6917" s="18">
        <f>_xlfn.XLOOKUP(Y6917,'[2]Data Source'!A:A,'[2]Data Source'!B:B,"N/A",0)</f>
        <v>0</v>
      </c>
      <c r="AB6917" s="18">
        <f t="shared" si="27"/>
        <v>0</v>
      </c>
      <c r="AC6917" s="18" t="str">
        <f>_xlfn.XLOOKUP(L6917,'[3]2025 Mapping v3'!A:A,'[3]2025 Mapping v3'!B:B,"Error",0)</f>
        <v>Error</v>
      </c>
      <c r="AD6917" s="18" t="str">
        <f>_xlfn.XLOOKUP(L6917,'[3]2025 Mapping v3'!A:A,'[3]2025 Mapping v3'!C:C,"Error",0)</f>
        <v>Error</v>
      </c>
      <c r="AE6917" s="18" t="str">
        <f>_xlfn.XLOOKUP(L6917,'[3]2025 Mapping v3'!A:A,'[3]2025 Mapping v3'!D:D,"Error",0)</f>
        <v>Error</v>
      </c>
      <c r="AF6917" s="18" t="str">
        <f>_xlfn.XLOOKUP(L6917,'[3]2025 Mapping v3'!A:A,'[3]2025 Mapping v3'!E:E,"Error",0)</f>
        <v>Error</v>
      </c>
    </row>
    <row r="6918" spans="27:32">
      <c r="AA6918" s="18">
        <f>_xlfn.XLOOKUP(Y6918,'[2]Data Source'!A:A,'[2]Data Source'!B:B,"N/A",0)</f>
        <v>0</v>
      </c>
      <c r="AB6918" s="18">
        <f t="shared" si="27"/>
        <v>0</v>
      </c>
      <c r="AC6918" s="18" t="str">
        <f>_xlfn.XLOOKUP(L6918,'[3]2025 Mapping v3'!A:A,'[3]2025 Mapping v3'!B:B,"Error",0)</f>
        <v>Error</v>
      </c>
      <c r="AD6918" s="18" t="str">
        <f>_xlfn.XLOOKUP(L6918,'[3]2025 Mapping v3'!A:A,'[3]2025 Mapping v3'!C:C,"Error",0)</f>
        <v>Error</v>
      </c>
      <c r="AE6918" s="18" t="str">
        <f>_xlfn.XLOOKUP(L6918,'[3]2025 Mapping v3'!A:A,'[3]2025 Mapping v3'!D:D,"Error",0)</f>
        <v>Error</v>
      </c>
      <c r="AF6918" s="18" t="str">
        <f>_xlfn.XLOOKUP(L6918,'[3]2025 Mapping v3'!A:A,'[3]2025 Mapping v3'!E:E,"Error",0)</f>
        <v>Error</v>
      </c>
    </row>
    <row r="6919" spans="27:32">
      <c r="AA6919" s="18">
        <f>_xlfn.XLOOKUP(Y6919,'[2]Data Source'!A:A,'[2]Data Source'!B:B,"N/A",0)</f>
        <v>0</v>
      </c>
      <c r="AB6919" s="18">
        <f t="shared" si="27"/>
        <v>0</v>
      </c>
      <c r="AC6919" s="18" t="str">
        <f>_xlfn.XLOOKUP(L6919,'[3]2025 Mapping v3'!A:A,'[3]2025 Mapping v3'!B:B,"Error",0)</f>
        <v>Error</v>
      </c>
      <c r="AD6919" s="18" t="str">
        <f>_xlfn.XLOOKUP(L6919,'[3]2025 Mapping v3'!A:A,'[3]2025 Mapping v3'!C:C,"Error",0)</f>
        <v>Error</v>
      </c>
      <c r="AE6919" s="18" t="str">
        <f>_xlfn.XLOOKUP(L6919,'[3]2025 Mapping v3'!A:A,'[3]2025 Mapping v3'!D:D,"Error",0)</f>
        <v>Error</v>
      </c>
      <c r="AF6919" s="18" t="str">
        <f>_xlfn.XLOOKUP(L6919,'[3]2025 Mapping v3'!A:A,'[3]2025 Mapping v3'!E:E,"Error",0)</f>
        <v>Error</v>
      </c>
    </row>
    <row r="6920" spans="27:32">
      <c r="AA6920" s="18">
        <f>_xlfn.XLOOKUP(Y6920,'[2]Data Source'!A:A,'[2]Data Source'!B:B,"N/A",0)</f>
        <v>0</v>
      </c>
      <c r="AB6920" s="18">
        <f t="shared" si="27"/>
        <v>0</v>
      </c>
      <c r="AC6920" s="18" t="str">
        <f>_xlfn.XLOOKUP(L6920,'[3]2025 Mapping v3'!A:A,'[3]2025 Mapping v3'!B:B,"Error",0)</f>
        <v>Error</v>
      </c>
      <c r="AD6920" s="18" t="str">
        <f>_xlfn.XLOOKUP(L6920,'[3]2025 Mapping v3'!A:A,'[3]2025 Mapping v3'!C:C,"Error",0)</f>
        <v>Error</v>
      </c>
      <c r="AE6920" s="18" t="str">
        <f>_xlfn.XLOOKUP(L6920,'[3]2025 Mapping v3'!A:A,'[3]2025 Mapping v3'!D:D,"Error",0)</f>
        <v>Error</v>
      </c>
      <c r="AF6920" s="18" t="str">
        <f>_xlfn.XLOOKUP(L6920,'[3]2025 Mapping v3'!A:A,'[3]2025 Mapping v3'!E:E,"Error",0)</f>
        <v>Error</v>
      </c>
    </row>
    <row r="6921" spans="27:32">
      <c r="AA6921" s="18">
        <f>_xlfn.XLOOKUP(Y6921,'[2]Data Source'!A:A,'[2]Data Source'!B:B,"N/A",0)</f>
        <v>0</v>
      </c>
      <c r="AB6921" s="18">
        <f t="shared" ref="AB6921:AB6984" si="28">L6921</f>
        <v>0</v>
      </c>
      <c r="AC6921" s="18" t="str">
        <f>_xlfn.XLOOKUP(L6921,'[3]2025 Mapping v3'!A:A,'[3]2025 Mapping v3'!B:B,"Error",0)</f>
        <v>Error</v>
      </c>
      <c r="AD6921" s="18" t="str">
        <f>_xlfn.XLOOKUP(L6921,'[3]2025 Mapping v3'!A:A,'[3]2025 Mapping v3'!C:C,"Error",0)</f>
        <v>Error</v>
      </c>
      <c r="AE6921" s="18" t="str">
        <f>_xlfn.XLOOKUP(L6921,'[3]2025 Mapping v3'!A:A,'[3]2025 Mapping v3'!D:D,"Error",0)</f>
        <v>Error</v>
      </c>
      <c r="AF6921" s="18" t="str">
        <f>_xlfn.XLOOKUP(L6921,'[3]2025 Mapping v3'!A:A,'[3]2025 Mapping v3'!E:E,"Error",0)</f>
        <v>Error</v>
      </c>
    </row>
    <row r="6922" spans="27:32">
      <c r="AA6922" s="18">
        <f>_xlfn.XLOOKUP(Y6922,'[2]Data Source'!A:A,'[2]Data Source'!B:B,"N/A",0)</f>
        <v>0</v>
      </c>
      <c r="AB6922" s="18">
        <f t="shared" si="28"/>
        <v>0</v>
      </c>
      <c r="AC6922" s="18" t="str">
        <f>_xlfn.XLOOKUP(L6922,'[3]2025 Mapping v3'!A:A,'[3]2025 Mapping v3'!B:B,"Error",0)</f>
        <v>Error</v>
      </c>
      <c r="AD6922" s="18" t="str">
        <f>_xlfn.XLOOKUP(L6922,'[3]2025 Mapping v3'!A:A,'[3]2025 Mapping v3'!C:C,"Error",0)</f>
        <v>Error</v>
      </c>
      <c r="AE6922" s="18" t="str">
        <f>_xlfn.XLOOKUP(L6922,'[3]2025 Mapping v3'!A:A,'[3]2025 Mapping v3'!D:D,"Error",0)</f>
        <v>Error</v>
      </c>
      <c r="AF6922" s="18" t="str">
        <f>_xlfn.XLOOKUP(L6922,'[3]2025 Mapping v3'!A:A,'[3]2025 Mapping v3'!E:E,"Error",0)</f>
        <v>Error</v>
      </c>
    </row>
    <row r="6923" spans="27:32">
      <c r="AA6923" s="18">
        <f>_xlfn.XLOOKUP(Y6923,'[2]Data Source'!A:A,'[2]Data Source'!B:B,"N/A",0)</f>
        <v>0</v>
      </c>
      <c r="AB6923" s="18">
        <f t="shared" si="28"/>
        <v>0</v>
      </c>
      <c r="AC6923" s="18" t="str">
        <f>_xlfn.XLOOKUP(L6923,'[3]2025 Mapping v3'!A:A,'[3]2025 Mapping v3'!B:B,"Error",0)</f>
        <v>Error</v>
      </c>
      <c r="AD6923" s="18" t="str">
        <f>_xlfn.XLOOKUP(L6923,'[3]2025 Mapping v3'!A:A,'[3]2025 Mapping v3'!C:C,"Error",0)</f>
        <v>Error</v>
      </c>
      <c r="AE6923" s="18" t="str">
        <f>_xlfn.XLOOKUP(L6923,'[3]2025 Mapping v3'!A:A,'[3]2025 Mapping v3'!D:D,"Error",0)</f>
        <v>Error</v>
      </c>
      <c r="AF6923" s="18" t="str">
        <f>_xlfn.XLOOKUP(L6923,'[3]2025 Mapping v3'!A:A,'[3]2025 Mapping v3'!E:E,"Error",0)</f>
        <v>Error</v>
      </c>
    </row>
    <row r="6924" spans="27:32">
      <c r="AA6924" s="18">
        <f>_xlfn.XLOOKUP(Y6924,'[2]Data Source'!A:A,'[2]Data Source'!B:B,"N/A",0)</f>
        <v>0</v>
      </c>
      <c r="AB6924" s="18">
        <f t="shared" si="28"/>
        <v>0</v>
      </c>
      <c r="AC6924" s="18" t="str">
        <f>_xlfn.XLOOKUP(L6924,'[3]2025 Mapping v3'!A:A,'[3]2025 Mapping v3'!B:B,"Error",0)</f>
        <v>Error</v>
      </c>
      <c r="AD6924" s="18" t="str">
        <f>_xlfn.XLOOKUP(L6924,'[3]2025 Mapping v3'!A:A,'[3]2025 Mapping v3'!C:C,"Error",0)</f>
        <v>Error</v>
      </c>
      <c r="AE6924" s="18" t="str">
        <f>_xlfn.XLOOKUP(L6924,'[3]2025 Mapping v3'!A:A,'[3]2025 Mapping v3'!D:D,"Error",0)</f>
        <v>Error</v>
      </c>
      <c r="AF6924" s="18" t="str">
        <f>_xlfn.XLOOKUP(L6924,'[3]2025 Mapping v3'!A:A,'[3]2025 Mapping v3'!E:E,"Error",0)</f>
        <v>Error</v>
      </c>
    </row>
    <row r="6925" spans="27:32">
      <c r="AA6925" s="18">
        <f>_xlfn.XLOOKUP(Y6925,'[2]Data Source'!A:A,'[2]Data Source'!B:B,"N/A",0)</f>
        <v>0</v>
      </c>
      <c r="AB6925" s="18">
        <f t="shared" si="28"/>
        <v>0</v>
      </c>
      <c r="AC6925" s="18" t="str">
        <f>_xlfn.XLOOKUP(L6925,'[3]2025 Mapping v3'!A:A,'[3]2025 Mapping v3'!B:B,"Error",0)</f>
        <v>Error</v>
      </c>
      <c r="AD6925" s="18" t="str">
        <f>_xlfn.XLOOKUP(L6925,'[3]2025 Mapping v3'!A:A,'[3]2025 Mapping v3'!C:C,"Error",0)</f>
        <v>Error</v>
      </c>
      <c r="AE6925" s="18" t="str">
        <f>_xlfn.XLOOKUP(L6925,'[3]2025 Mapping v3'!A:A,'[3]2025 Mapping v3'!D:D,"Error",0)</f>
        <v>Error</v>
      </c>
      <c r="AF6925" s="18" t="str">
        <f>_xlfn.XLOOKUP(L6925,'[3]2025 Mapping v3'!A:A,'[3]2025 Mapping v3'!E:E,"Error",0)</f>
        <v>Error</v>
      </c>
    </row>
    <row r="6926" spans="27:32">
      <c r="AA6926" s="18">
        <f>_xlfn.XLOOKUP(Y6926,'[2]Data Source'!A:A,'[2]Data Source'!B:B,"N/A",0)</f>
        <v>0</v>
      </c>
      <c r="AB6926" s="18">
        <f t="shared" si="28"/>
        <v>0</v>
      </c>
      <c r="AC6926" s="18" t="str">
        <f>_xlfn.XLOOKUP(L6926,'[3]2025 Mapping v3'!A:A,'[3]2025 Mapping v3'!B:B,"Error",0)</f>
        <v>Error</v>
      </c>
      <c r="AD6926" s="18" t="str">
        <f>_xlfn.XLOOKUP(L6926,'[3]2025 Mapping v3'!A:A,'[3]2025 Mapping v3'!C:C,"Error",0)</f>
        <v>Error</v>
      </c>
      <c r="AE6926" s="18" t="str">
        <f>_xlfn.XLOOKUP(L6926,'[3]2025 Mapping v3'!A:A,'[3]2025 Mapping v3'!D:D,"Error",0)</f>
        <v>Error</v>
      </c>
      <c r="AF6926" s="18" t="str">
        <f>_xlfn.XLOOKUP(L6926,'[3]2025 Mapping v3'!A:A,'[3]2025 Mapping v3'!E:E,"Error",0)</f>
        <v>Error</v>
      </c>
    </row>
    <row r="6927" spans="27:32">
      <c r="AA6927" s="18">
        <f>_xlfn.XLOOKUP(Y6927,'[2]Data Source'!A:A,'[2]Data Source'!B:B,"N/A",0)</f>
        <v>0</v>
      </c>
      <c r="AB6927" s="18">
        <f t="shared" si="28"/>
        <v>0</v>
      </c>
      <c r="AC6927" s="18" t="str">
        <f>_xlfn.XLOOKUP(L6927,'[3]2025 Mapping v3'!A:A,'[3]2025 Mapping v3'!B:B,"Error",0)</f>
        <v>Error</v>
      </c>
      <c r="AD6927" s="18" t="str">
        <f>_xlfn.XLOOKUP(L6927,'[3]2025 Mapping v3'!A:A,'[3]2025 Mapping v3'!C:C,"Error",0)</f>
        <v>Error</v>
      </c>
      <c r="AE6927" s="18" t="str">
        <f>_xlfn.XLOOKUP(L6927,'[3]2025 Mapping v3'!A:A,'[3]2025 Mapping v3'!D:D,"Error",0)</f>
        <v>Error</v>
      </c>
      <c r="AF6927" s="18" t="str">
        <f>_xlfn.XLOOKUP(L6927,'[3]2025 Mapping v3'!A:A,'[3]2025 Mapping v3'!E:E,"Error",0)</f>
        <v>Error</v>
      </c>
    </row>
    <row r="6928" spans="27:32">
      <c r="AA6928" s="18">
        <f>_xlfn.XLOOKUP(Y6928,'[2]Data Source'!A:A,'[2]Data Source'!B:B,"N/A",0)</f>
        <v>0</v>
      </c>
      <c r="AB6928" s="18">
        <f t="shared" si="28"/>
        <v>0</v>
      </c>
      <c r="AC6928" s="18" t="str">
        <f>_xlfn.XLOOKUP(L6928,'[3]2025 Mapping v3'!A:A,'[3]2025 Mapping v3'!B:B,"Error",0)</f>
        <v>Error</v>
      </c>
      <c r="AD6928" s="18" t="str">
        <f>_xlfn.XLOOKUP(L6928,'[3]2025 Mapping v3'!A:A,'[3]2025 Mapping v3'!C:C,"Error",0)</f>
        <v>Error</v>
      </c>
      <c r="AE6928" s="18" t="str">
        <f>_xlfn.XLOOKUP(L6928,'[3]2025 Mapping v3'!A:A,'[3]2025 Mapping v3'!D:D,"Error",0)</f>
        <v>Error</v>
      </c>
      <c r="AF6928" s="18" t="str">
        <f>_xlfn.XLOOKUP(L6928,'[3]2025 Mapping v3'!A:A,'[3]2025 Mapping v3'!E:E,"Error",0)</f>
        <v>Error</v>
      </c>
    </row>
    <row r="6929" spans="27:32">
      <c r="AA6929" s="18">
        <f>_xlfn.XLOOKUP(Y6929,'[2]Data Source'!A:A,'[2]Data Source'!B:B,"N/A",0)</f>
        <v>0</v>
      </c>
      <c r="AB6929" s="18">
        <f t="shared" si="28"/>
        <v>0</v>
      </c>
      <c r="AC6929" s="18" t="str">
        <f>_xlfn.XLOOKUP(L6929,'[3]2025 Mapping v3'!A:A,'[3]2025 Mapping v3'!B:B,"Error",0)</f>
        <v>Error</v>
      </c>
      <c r="AD6929" s="18" t="str">
        <f>_xlfn.XLOOKUP(L6929,'[3]2025 Mapping v3'!A:A,'[3]2025 Mapping v3'!C:C,"Error",0)</f>
        <v>Error</v>
      </c>
      <c r="AE6929" s="18" t="str">
        <f>_xlfn.XLOOKUP(L6929,'[3]2025 Mapping v3'!A:A,'[3]2025 Mapping v3'!D:D,"Error",0)</f>
        <v>Error</v>
      </c>
      <c r="AF6929" s="18" t="str">
        <f>_xlfn.XLOOKUP(L6929,'[3]2025 Mapping v3'!A:A,'[3]2025 Mapping v3'!E:E,"Error",0)</f>
        <v>Error</v>
      </c>
    </row>
    <row r="6930" spans="27:32">
      <c r="AA6930" s="18">
        <f>_xlfn.XLOOKUP(Y6930,'[2]Data Source'!A:A,'[2]Data Source'!B:B,"N/A",0)</f>
        <v>0</v>
      </c>
      <c r="AB6930" s="18">
        <f t="shared" si="28"/>
        <v>0</v>
      </c>
      <c r="AC6930" s="18" t="str">
        <f>_xlfn.XLOOKUP(L6930,'[3]2025 Mapping v3'!A:A,'[3]2025 Mapping v3'!B:B,"Error",0)</f>
        <v>Error</v>
      </c>
      <c r="AD6930" s="18" t="str">
        <f>_xlfn.XLOOKUP(L6930,'[3]2025 Mapping v3'!A:A,'[3]2025 Mapping v3'!C:C,"Error",0)</f>
        <v>Error</v>
      </c>
      <c r="AE6930" s="18" t="str">
        <f>_xlfn.XLOOKUP(L6930,'[3]2025 Mapping v3'!A:A,'[3]2025 Mapping v3'!D:D,"Error",0)</f>
        <v>Error</v>
      </c>
      <c r="AF6930" s="18" t="str">
        <f>_xlfn.XLOOKUP(L6930,'[3]2025 Mapping v3'!A:A,'[3]2025 Mapping v3'!E:E,"Error",0)</f>
        <v>Error</v>
      </c>
    </row>
    <row r="6931" spans="27:32">
      <c r="AA6931" s="18">
        <f>_xlfn.XLOOKUP(Y6931,'[2]Data Source'!A:A,'[2]Data Source'!B:B,"N/A",0)</f>
        <v>0</v>
      </c>
      <c r="AB6931" s="18">
        <f t="shared" si="28"/>
        <v>0</v>
      </c>
      <c r="AC6931" s="18" t="str">
        <f>_xlfn.XLOOKUP(L6931,'[3]2025 Mapping v3'!A:A,'[3]2025 Mapping v3'!B:B,"Error",0)</f>
        <v>Error</v>
      </c>
      <c r="AD6931" s="18" t="str">
        <f>_xlfn.XLOOKUP(L6931,'[3]2025 Mapping v3'!A:A,'[3]2025 Mapping v3'!C:C,"Error",0)</f>
        <v>Error</v>
      </c>
      <c r="AE6931" s="18" t="str">
        <f>_xlfn.XLOOKUP(L6931,'[3]2025 Mapping v3'!A:A,'[3]2025 Mapping v3'!D:D,"Error",0)</f>
        <v>Error</v>
      </c>
      <c r="AF6931" s="18" t="str">
        <f>_xlfn.XLOOKUP(L6931,'[3]2025 Mapping v3'!A:A,'[3]2025 Mapping v3'!E:E,"Error",0)</f>
        <v>Error</v>
      </c>
    </row>
    <row r="6932" spans="27:32">
      <c r="AA6932" s="18">
        <f>_xlfn.XLOOKUP(Y6932,'[2]Data Source'!A:A,'[2]Data Source'!B:B,"N/A",0)</f>
        <v>0</v>
      </c>
      <c r="AB6932" s="18">
        <f t="shared" si="28"/>
        <v>0</v>
      </c>
      <c r="AC6932" s="18" t="str">
        <f>_xlfn.XLOOKUP(L6932,'[3]2025 Mapping v3'!A:A,'[3]2025 Mapping v3'!B:B,"Error",0)</f>
        <v>Error</v>
      </c>
      <c r="AD6932" s="18" t="str">
        <f>_xlfn.XLOOKUP(L6932,'[3]2025 Mapping v3'!A:A,'[3]2025 Mapping v3'!C:C,"Error",0)</f>
        <v>Error</v>
      </c>
      <c r="AE6932" s="18" t="str">
        <f>_xlfn.XLOOKUP(L6932,'[3]2025 Mapping v3'!A:A,'[3]2025 Mapping v3'!D:D,"Error",0)</f>
        <v>Error</v>
      </c>
      <c r="AF6932" s="18" t="str">
        <f>_xlfn.XLOOKUP(L6932,'[3]2025 Mapping v3'!A:A,'[3]2025 Mapping v3'!E:E,"Error",0)</f>
        <v>Error</v>
      </c>
    </row>
    <row r="6933" spans="27:32">
      <c r="AA6933" s="18">
        <f>_xlfn.XLOOKUP(Y6933,'[2]Data Source'!A:A,'[2]Data Source'!B:B,"N/A",0)</f>
        <v>0</v>
      </c>
      <c r="AB6933" s="18">
        <f t="shared" si="28"/>
        <v>0</v>
      </c>
      <c r="AC6933" s="18" t="str">
        <f>_xlfn.XLOOKUP(L6933,'[3]2025 Mapping v3'!A:A,'[3]2025 Mapping v3'!B:B,"Error",0)</f>
        <v>Error</v>
      </c>
      <c r="AD6933" s="18" t="str">
        <f>_xlfn.XLOOKUP(L6933,'[3]2025 Mapping v3'!A:A,'[3]2025 Mapping v3'!C:C,"Error",0)</f>
        <v>Error</v>
      </c>
      <c r="AE6933" s="18" t="str">
        <f>_xlfn.XLOOKUP(L6933,'[3]2025 Mapping v3'!A:A,'[3]2025 Mapping v3'!D:D,"Error",0)</f>
        <v>Error</v>
      </c>
      <c r="AF6933" s="18" t="str">
        <f>_xlfn.XLOOKUP(L6933,'[3]2025 Mapping v3'!A:A,'[3]2025 Mapping v3'!E:E,"Error",0)</f>
        <v>Error</v>
      </c>
    </row>
    <row r="6934" spans="27:32">
      <c r="AA6934" s="18">
        <f>_xlfn.XLOOKUP(Y6934,'[2]Data Source'!A:A,'[2]Data Source'!B:B,"N/A",0)</f>
        <v>0</v>
      </c>
      <c r="AB6934" s="18">
        <f t="shared" si="28"/>
        <v>0</v>
      </c>
      <c r="AC6934" s="18" t="str">
        <f>_xlfn.XLOOKUP(L6934,'[3]2025 Mapping v3'!A:A,'[3]2025 Mapping v3'!B:B,"Error",0)</f>
        <v>Error</v>
      </c>
      <c r="AD6934" s="18" t="str">
        <f>_xlfn.XLOOKUP(L6934,'[3]2025 Mapping v3'!A:A,'[3]2025 Mapping v3'!C:C,"Error",0)</f>
        <v>Error</v>
      </c>
      <c r="AE6934" s="18" t="str">
        <f>_xlfn.XLOOKUP(L6934,'[3]2025 Mapping v3'!A:A,'[3]2025 Mapping v3'!D:D,"Error",0)</f>
        <v>Error</v>
      </c>
      <c r="AF6934" s="18" t="str">
        <f>_xlfn.XLOOKUP(L6934,'[3]2025 Mapping v3'!A:A,'[3]2025 Mapping v3'!E:E,"Error",0)</f>
        <v>Error</v>
      </c>
    </row>
    <row r="6935" spans="27:32">
      <c r="AA6935" s="18">
        <f>_xlfn.XLOOKUP(Y6935,'[2]Data Source'!A:A,'[2]Data Source'!B:B,"N/A",0)</f>
        <v>0</v>
      </c>
      <c r="AB6935" s="18">
        <f t="shared" si="28"/>
        <v>0</v>
      </c>
      <c r="AC6935" s="18" t="str">
        <f>_xlfn.XLOOKUP(L6935,'[3]2025 Mapping v3'!A:A,'[3]2025 Mapping v3'!B:B,"Error",0)</f>
        <v>Error</v>
      </c>
      <c r="AD6935" s="18" t="str">
        <f>_xlfn.XLOOKUP(L6935,'[3]2025 Mapping v3'!A:A,'[3]2025 Mapping v3'!C:C,"Error",0)</f>
        <v>Error</v>
      </c>
      <c r="AE6935" s="18" t="str">
        <f>_xlfn.XLOOKUP(L6935,'[3]2025 Mapping v3'!A:A,'[3]2025 Mapping v3'!D:D,"Error",0)</f>
        <v>Error</v>
      </c>
      <c r="AF6935" s="18" t="str">
        <f>_xlfn.XLOOKUP(L6935,'[3]2025 Mapping v3'!A:A,'[3]2025 Mapping v3'!E:E,"Error",0)</f>
        <v>Error</v>
      </c>
    </row>
    <row r="6936" spans="27:32">
      <c r="AA6936" s="18">
        <f>_xlfn.XLOOKUP(Y6936,'[2]Data Source'!A:A,'[2]Data Source'!B:B,"N/A",0)</f>
        <v>0</v>
      </c>
      <c r="AB6936" s="18">
        <f t="shared" si="28"/>
        <v>0</v>
      </c>
      <c r="AC6936" s="18" t="str">
        <f>_xlfn.XLOOKUP(L6936,'[3]2025 Mapping v3'!A:A,'[3]2025 Mapping v3'!B:B,"Error",0)</f>
        <v>Error</v>
      </c>
      <c r="AD6936" s="18" t="str">
        <f>_xlfn.XLOOKUP(L6936,'[3]2025 Mapping v3'!A:A,'[3]2025 Mapping v3'!C:C,"Error",0)</f>
        <v>Error</v>
      </c>
      <c r="AE6936" s="18" t="str">
        <f>_xlfn.XLOOKUP(L6936,'[3]2025 Mapping v3'!A:A,'[3]2025 Mapping v3'!D:D,"Error",0)</f>
        <v>Error</v>
      </c>
      <c r="AF6936" s="18" t="str">
        <f>_xlfn.XLOOKUP(L6936,'[3]2025 Mapping v3'!A:A,'[3]2025 Mapping v3'!E:E,"Error",0)</f>
        <v>Error</v>
      </c>
    </row>
    <row r="6937" spans="27:32">
      <c r="AA6937" s="18">
        <f>_xlfn.XLOOKUP(Y6937,'[2]Data Source'!A:A,'[2]Data Source'!B:B,"N/A",0)</f>
        <v>0</v>
      </c>
      <c r="AB6937" s="18">
        <f t="shared" si="28"/>
        <v>0</v>
      </c>
      <c r="AC6937" s="18" t="str">
        <f>_xlfn.XLOOKUP(L6937,'[3]2025 Mapping v3'!A:A,'[3]2025 Mapping v3'!B:B,"Error",0)</f>
        <v>Error</v>
      </c>
      <c r="AD6937" s="18" t="str">
        <f>_xlfn.XLOOKUP(L6937,'[3]2025 Mapping v3'!A:A,'[3]2025 Mapping v3'!C:C,"Error",0)</f>
        <v>Error</v>
      </c>
      <c r="AE6937" s="18" t="str">
        <f>_xlfn.XLOOKUP(L6937,'[3]2025 Mapping v3'!A:A,'[3]2025 Mapping v3'!D:D,"Error",0)</f>
        <v>Error</v>
      </c>
      <c r="AF6937" s="18" t="str">
        <f>_xlfn.XLOOKUP(L6937,'[3]2025 Mapping v3'!A:A,'[3]2025 Mapping v3'!E:E,"Error",0)</f>
        <v>Error</v>
      </c>
    </row>
    <row r="6938" spans="27:32">
      <c r="AA6938" s="18">
        <f>_xlfn.XLOOKUP(Y6938,'[2]Data Source'!A:A,'[2]Data Source'!B:B,"N/A",0)</f>
        <v>0</v>
      </c>
      <c r="AB6938" s="18">
        <f t="shared" si="28"/>
        <v>0</v>
      </c>
      <c r="AC6938" s="18" t="str">
        <f>_xlfn.XLOOKUP(L6938,'[3]2025 Mapping v3'!A:A,'[3]2025 Mapping v3'!B:B,"Error",0)</f>
        <v>Error</v>
      </c>
      <c r="AD6938" s="18" t="str">
        <f>_xlfn.XLOOKUP(L6938,'[3]2025 Mapping v3'!A:A,'[3]2025 Mapping v3'!C:C,"Error",0)</f>
        <v>Error</v>
      </c>
      <c r="AE6938" s="18" t="str">
        <f>_xlfn.XLOOKUP(L6938,'[3]2025 Mapping v3'!A:A,'[3]2025 Mapping v3'!D:D,"Error",0)</f>
        <v>Error</v>
      </c>
      <c r="AF6938" s="18" t="str">
        <f>_xlfn.XLOOKUP(L6938,'[3]2025 Mapping v3'!A:A,'[3]2025 Mapping v3'!E:E,"Error",0)</f>
        <v>Error</v>
      </c>
    </row>
    <row r="6939" spans="27:32">
      <c r="AA6939" s="18">
        <f>_xlfn.XLOOKUP(Y6939,'[2]Data Source'!A:A,'[2]Data Source'!B:B,"N/A",0)</f>
        <v>0</v>
      </c>
      <c r="AB6939" s="18">
        <f t="shared" si="28"/>
        <v>0</v>
      </c>
      <c r="AC6939" s="18" t="str">
        <f>_xlfn.XLOOKUP(L6939,'[3]2025 Mapping v3'!A:A,'[3]2025 Mapping v3'!B:B,"Error",0)</f>
        <v>Error</v>
      </c>
      <c r="AD6939" s="18" t="str">
        <f>_xlfn.XLOOKUP(L6939,'[3]2025 Mapping v3'!A:A,'[3]2025 Mapping v3'!C:C,"Error",0)</f>
        <v>Error</v>
      </c>
      <c r="AE6939" s="18" t="str">
        <f>_xlfn.XLOOKUP(L6939,'[3]2025 Mapping v3'!A:A,'[3]2025 Mapping v3'!D:D,"Error",0)</f>
        <v>Error</v>
      </c>
      <c r="AF6939" s="18" t="str">
        <f>_xlfn.XLOOKUP(L6939,'[3]2025 Mapping v3'!A:A,'[3]2025 Mapping v3'!E:E,"Error",0)</f>
        <v>Error</v>
      </c>
    </row>
    <row r="6940" spans="27:32">
      <c r="AA6940" s="18">
        <f>_xlfn.XLOOKUP(Y6940,'[2]Data Source'!A:A,'[2]Data Source'!B:B,"N/A",0)</f>
        <v>0</v>
      </c>
      <c r="AB6940" s="18">
        <f t="shared" si="28"/>
        <v>0</v>
      </c>
      <c r="AC6940" s="18" t="str">
        <f>_xlfn.XLOOKUP(L6940,'[3]2025 Mapping v3'!A:A,'[3]2025 Mapping v3'!B:B,"Error",0)</f>
        <v>Error</v>
      </c>
      <c r="AD6940" s="18" t="str">
        <f>_xlfn.XLOOKUP(L6940,'[3]2025 Mapping v3'!A:A,'[3]2025 Mapping v3'!C:C,"Error",0)</f>
        <v>Error</v>
      </c>
      <c r="AE6940" s="18" t="str">
        <f>_xlfn.XLOOKUP(L6940,'[3]2025 Mapping v3'!A:A,'[3]2025 Mapping v3'!D:D,"Error",0)</f>
        <v>Error</v>
      </c>
      <c r="AF6940" s="18" t="str">
        <f>_xlfn.XLOOKUP(L6940,'[3]2025 Mapping v3'!A:A,'[3]2025 Mapping v3'!E:E,"Error",0)</f>
        <v>Error</v>
      </c>
    </row>
    <row r="6941" spans="27:32">
      <c r="AA6941" s="18">
        <f>_xlfn.XLOOKUP(Y6941,'[2]Data Source'!A:A,'[2]Data Source'!B:B,"N/A",0)</f>
        <v>0</v>
      </c>
      <c r="AB6941" s="18">
        <f t="shared" si="28"/>
        <v>0</v>
      </c>
      <c r="AC6941" s="18" t="str">
        <f>_xlfn.XLOOKUP(L6941,'[3]2025 Mapping v3'!A:A,'[3]2025 Mapping v3'!B:B,"Error",0)</f>
        <v>Error</v>
      </c>
      <c r="AD6941" s="18" t="str">
        <f>_xlfn.XLOOKUP(L6941,'[3]2025 Mapping v3'!A:A,'[3]2025 Mapping v3'!C:C,"Error",0)</f>
        <v>Error</v>
      </c>
      <c r="AE6941" s="18" t="str">
        <f>_xlfn.XLOOKUP(L6941,'[3]2025 Mapping v3'!A:A,'[3]2025 Mapping v3'!D:D,"Error",0)</f>
        <v>Error</v>
      </c>
      <c r="AF6941" s="18" t="str">
        <f>_xlfn.XLOOKUP(L6941,'[3]2025 Mapping v3'!A:A,'[3]2025 Mapping v3'!E:E,"Error",0)</f>
        <v>Error</v>
      </c>
    </row>
    <row r="6942" spans="27:32">
      <c r="AA6942" s="18">
        <f>_xlfn.XLOOKUP(Y6942,'[2]Data Source'!A:A,'[2]Data Source'!B:B,"N/A",0)</f>
        <v>0</v>
      </c>
      <c r="AB6942" s="18">
        <f t="shared" si="28"/>
        <v>0</v>
      </c>
      <c r="AC6942" s="18" t="str">
        <f>_xlfn.XLOOKUP(L6942,'[3]2025 Mapping v3'!A:A,'[3]2025 Mapping v3'!B:B,"Error",0)</f>
        <v>Error</v>
      </c>
      <c r="AD6942" s="18" t="str">
        <f>_xlfn.XLOOKUP(L6942,'[3]2025 Mapping v3'!A:A,'[3]2025 Mapping v3'!C:C,"Error",0)</f>
        <v>Error</v>
      </c>
      <c r="AE6942" s="18" t="str">
        <f>_xlfn.XLOOKUP(L6942,'[3]2025 Mapping v3'!A:A,'[3]2025 Mapping v3'!D:D,"Error",0)</f>
        <v>Error</v>
      </c>
      <c r="AF6942" s="18" t="str">
        <f>_xlfn.XLOOKUP(L6942,'[3]2025 Mapping v3'!A:A,'[3]2025 Mapping v3'!E:E,"Error",0)</f>
        <v>Error</v>
      </c>
    </row>
    <row r="6943" spans="27:32">
      <c r="AA6943" s="18">
        <f>_xlfn.XLOOKUP(Y6943,'[2]Data Source'!A:A,'[2]Data Source'!B:B,"N/A",0)</f>
        <v>0</v>
      </c>
      <c r="AB6943" s="18">
        <f t="shared" si="28"/>
        <v>0</v>
      </c>
      <c r="AC6943" s="18" t="str">
        <f>_xlfn.XLOOKUP(L6943,'[3]2025 Mapping v3'!A:A,'[3]2025 Mapping v3'!B:B,"Error",0)</f>
        <v>Error</v>
      </c>
      <c r="AD6943" s="18" t="str">
        <f>_xlfn.XLOOKUP(L6943,'[3]2025 Mapping v3'!A:A,'[3]2025 Mapping v3'!C:C,"Error",0)</f>
        <v>Error</v>
      </c>
      <c r="AE6943" s="18" t="str">
        <f>_xlfn.XLOOKUP(L6943,'[3]2025 Mapping v3'!A:A,'[3]2025 Mapping v3'!D:D,"Error",0)</f>
        <v>Error</v>
      </c>
      <c r="AF6943" s="18" t="str">
        <f>_xlfn.XLOOKUP(L6943,'[3]2025 Mapping v3'!A:A,'[3]2025 Mapping v3'!E:E,"Error",0)</f>
        <v>Error</v>
      </c>
    </row>
    <row r="6944" spans="27:32">
      <c r="AA6944" s="18">
        <f>_xlfn.XLOOKUP(Y6944,'[2]Data Source'!A:A,'[2]Data Source'!B:B,"N/A",0)</f>
        <v>0</v>
      </c>
      <c r="AB6944" s="18">
        <f t="shared" si="28"/>
        <v>0</v>
      </c>
      <c r="AC6944" s="18" t="str">
        <f>_xlfn.XLOOKUP(L6944,'[3]2025 Mapping v3'!A:A,'[3]2025 Mapping v3'!B:B,"Error",0)</f>
        <v>Error</v>
      </c>
      <c r="AD6944" s="18" t="str">
        <f>_xlfn.XLOOKUP(L6944,'[3]2025 Mapping v3'!A:A,'[3]2025 Mapping v3'!C:C,"Error",0)</f>
        <v>Error</v>
      </c>
      <c r="AE6944" s="18" t="str">
        <f>_xlfn.XLOOKUP(L6944,'[3]2025 Mapping v3'!A:A,'[3]2025 Mapping v3'!D:D,"Error",0)</f>
        <v>Error</v>
      </c>
      <c r="AF6944" s="18" t="str">
        <f>_xlfn.XLOOKUP(L6944,'[3]2025 Mapping v3'!A:A,'[3]2025 Mapping v3'!E:E,"Error",0)</f>
        <v>Error</v>
      </c>
    </row>
    <row r="6945" spans="27:32">
      <c r="AA6945" s="18">
        <f>_xlfn.XLOOKUP(Y6945,'[2]Data Source'!A:A,'[2]Data Source'!B:B,"N/A",0)</f>
        <v>0</v>
      </c>
      <c r="AB6945" s="18">
        <f t="shared" si="28"/>
        <v>0</v>
      </c>
      <c r="AC6945" s="18" t="str">
        <f>_xlfn.XLOOKUP(L6945,'[3]2025 Mapping v3'!A:A,'[3]2025 Mapping v3'!B:B,"Error",0)</f>
        <v>Error</v>
      </c>
      <c r="AD6945" s="18" t="str">
        <f>_xlfn.XLOOKUP(L6945,'[3]2025 Mapping v3'!A:A,'[3]2025 Mapping v3'!C:C,"Error",0)</f>
        <v>Error</v>
      </c>
      <c r="AE6945" s="18" t="str">
        <f>_xlfn.XLOOKUP(L6945,'[3]2025 Mapping v3'!A:A,'[3]2025 Mapping v3'!D:D,"Error",0)</f>
        <v>Error</v>
      </c>
      <c r="AF6945" s="18" t="str">
        <f>_xlfn.XLOOKUP(L6945,'[3]2025 Mapping v3'!A:A,'[3]2025 Mapping v3'!E:E,"Error",0)</f>
        <v>Error</v>
      </c>
    </row>
    <row r="6946" spans="27:32">
      <c r="AA6946" s="18">
        <f>_xlfn.XLOOKUP(Y6946,'[2]Data Source'!A:A,'[2]Data Source'!B:B,"N/A",0)</f>
        <v>0</v>
      </c>
      <c r="AB6946" s="18">
        <f t="shared" si="28"/>
        <v>0</v>
      </c>
      <c r="AC6946" s="18" t="str">
        <f>_xlfn.XLOOKUP(L6946,'[3]2025 Mapping v3'!A:A,'[3]2025 Mapping v3'!B:B,"Error",0)</f>
        <v>Error</v>
      </c>
      <c r="AD6946" s="18" t="str">
        <f>_xlfn.XLOOKUP(L6946,'[3]2025 Mapping v3'!A:A,'[3]2025 Mapping v3'!C:C,"Error",0)</f>
        <v>Error</v>
      </c>
      <c r="AE6946" s="18" t="str">
        <f>_xlfn.XLOOKUP(L6946,'[3]2025 Mapping v3'!A:A,'[3]2025 Mapping v3'!D:D,"Error",0)</f>
        <v>Error</v>
      </c>
      <c r="AF6946" s="18" t="str">
        <f>_xlfn.XLOOKUP(L6946,'[3]2025 Mapping v3'!A:A,'[3]2025 Mapping v3'!E:E,"Error",0)</f>
        <v>Error</v>
      </c>
    </row>
    <row r="6947" spans="27:32">
      <c r="AA6947" s="18">
        <f>_xlfn.XLOOKUP(Y6947,'[2]Data Source'!A:A,'[2]Data Source'!B:B,"N/A",0)</f>
        <v>0</v>
      </c>
      <c r="AB6947" s="18">
        <f t="shared" si="28"/>
        <v>0</v>
      </c>
      <c r="AC6947" s="18" t="str">
        <f>_xlfn.XLOOKUP(L6947,'[3]2025 Mapping v3'!A:A,'[3]2025 Mapping v3'!B:B,"Error",0)</f>
        <v>Error</v>
      </c>
      <c r="AD6947" s="18" t="str">
        <f>_xlfn.XLOOKUP(L6947,'[3]2025 Mapping v3'!A:A,'[3]2025 Mapping v3'!C:C,"Error",0)</f>
        <v>Error</v>
      </c>
      <c r="AE6947" s="18" t="str">
        <f>_xlfn.XLOOKUP(L6947,'[3]2025 Mapping v3'!A:A,'[3]2025 Mapping v3'!D:D,"Error",0)</f>
        <v>Error</v>
      </c>
      <c r="AF6947" s="18" t="str">
        <f>_xlfn.XLOOKUP(L6947,'[3]2025 Mapping v3'!A:A,'[3]2025 Mapping v3'!E:E,"Error",0)</f>
        <v>Error</v>
      </c>
    </row>
    <row r="6948" spans="27:32">
      <c r="AA6948" s="18">
        <f>_xlfn.XLOOKUP(Y6948,'[2]Data Source'!A:A,'[2]Data Source'!B:B,"N/A",0)</f>
        <v>0</v>
      </c>
      <c r="AB6948" s="18">
        <f t="shared" si="28"/>
        <v>0</v>
      </c>
      <c r="AC6948" s="18" t="str">
        <f>_xlfn.XLOOKUP(L6948,'[3]2025 Mapping v3'!A:A,'[3]2025 Mapping v3'!B:B,"Error",0)</f>
        <v>Error</v>
      </c>
      <c r="AD6948" s="18" t="str">
        <f>_xlfn.XLOOKUP(L6948,'[3]2025 Mapping v3'!A:A,'[3]2025 Mapping v3'!C:C,"Error",0)</f>
        <v>Error</v>
      </c>
      <c r="AE6948" s="18" t="str">
        <f>_xlfn.XLOOKUP(L6948,'[3]2025 Mapping v3'!A:A,'[3]2025 Mapping v3'!D:D,"Error",0)</f>
        <v>Error</v>
      </c>
      <c r="AF6948" s="18" t="str">
        <f>_xlfn.XLOOKUP(L6948,'[3]2025 Mapping v3'!A:A,'[3]2025 Mapping v3'!E:E,"Error",0)</f>
        <v>Error</v>
      </c>
    </row>
    <row r="6949" spans="27:32">
      <c r="AA6949" s="18">
        <f>_xlfn.XLOOKUP(Y6949,'[2]Data Source'!A:A,'[2]Data Source'!B:B,"N/A",0)</f>
        <v>0</v>
      </c>
      <c r="AB6949" s="18">
        <f t="shared" si="28"/>
        <v>0</v>
      </c>
      <c r="AC6949" s="18" t="str">
        <f>_xlfn.XLOOKUP(L6949,'[3]2025 Mapping v3'!A:A,'[3]2025 Mapping v3'!B:B,"Error",0)</f>
        <v>Error</v>
      </c>
      <c r="AD6949" s="18" t="str">
        <f>_xlfn.XLOOKUP(L6949,'[3]2025 Mapping v3'!A:A,'[3]2025 Mapping v3'!C:C,"Error",0)</f>
        <v>Error</v>
      </c>
      <c r="AE6949" s="18" t="str">
        <f>_xlfn.XLOOKUP(L6949,'[3]2025 Mapping v3'!A:A,'[3]2025 Mapping v3'!D:D,"Error",0)</f>
        <v>Error</v>
      </c>
      <c r="AF6949" s="18" t="str">
        <f>_xlfn.XLOOKUP(L6949,'[3]2025 Mapping v3'!A:A,'[3]2025 Mapping v3'!E:E,"Error",0)</f>
        <v>Error</v>
      </c>
    </row>
    <row r="6950" spans="27:32">
      <c r="AA6950" s="18">
        <f>_xlfn.XLOOKUP(Y6950,'[2]Data Source'!A:A,'[2]Data Source'!B:B,"N/A",0)</f>
        <v>0</v>
      </c>
      <c r="AB6950" s="18">
        <f t="shared" si="28"/>
        <v>0</v>
      </c>
      <c r="AC6950" s="18" t="str">
        <f>_xlfn.XLOOKUP(L6950,'[3]2025 Mapping v3'!A:A,'[3]2025 Mapping v3'!B:B,"Error",0)</f>
        <v>Error</v>
      </c>
      <c r="AD6950" s="18" t="str">
        <f>_xlfn.XLOOKUP(L6950,'[3]2025 Mapping v3'!A:A,'[3]2025 Mapping v3'!C:C,"Error",0)</f>
        <v>Error</v>
      </c>
      <c r="AE6950" s="18" t="str">
        <f>_xlfn.XLOOKUP(L6950,'[3]2025 Mapping v3'!A:A,'[3]2025 Mapping v3'!D:D,"Error",0)</f>
        <v>Error</v>
      </c>
      <c r="AF6950" s="18" t="str">
        <f>_xlfn.XLOOKUP(L6950,'[3]2025 Mapping v3'!A:A,'[3]2025 Mapping v3'!E:E,"Error",0)</f>
        <v>Error</v>
      </c>
    </row>
    <row r="6951" spans="27:32">
      <c r="AA6951" s="18">
        <f>_xlfn.XLOOKUP(Y6951,'[2]Data Source'!A:A,'[2]Data Source'!B:B,"N/A",0)</f>
        <v>0</v>
      </c>
      <c r="AB6951" s="18">
        <f t="shared" si="28"/>
        <v>0</v>
      </c>
      <c r="AC6951" s="18" t="str">
        <f>_xlfn.XLOOKUP(L6951,'[3]2025 Mapping v3'!A:A,'[3]2025 Mapping v3'!B:B,"Error",0)</f>
        <v>Error</v>
      </c>
      <c r="AD6951" s="18" t="str">
        <f>_xlfn.XLOOKUP(L6951,'[3]2025 Mapping v3'!A:A,'[3]2025 Mapping v3'!C:C,"Error",0)</f>
        <v>Error</v>
      </c>
      <c r="AE6951" s="18" t="str">
        <f>_xlfn.XLOOKUP(L6951,'[3]2025 Mapping v3'!A:A,'[3]2025 Mapping v3'!D:D,"Error",0)</f>
        <v>Error</v>
      </c>
      <c r="AF6951" s="18" t="str">
        <f>_xlfn.XLOOKUP(L6951,'[3]2025 Mapping v3'!A:A,'[3]2025 Mapping v3'!E:E,"Error",0)</f>
        <v>Error</v>
      </c>
    </row>
    <row r="6952" spans="27:32">
      <c r="AA6952" s="18">
        <f>_xlfn.XLOOKUP(Y6952,'[2]Data Source'!A:A,'[2]Data Source'!B:B,"N/A",0)</f>
        <v>0</v>
      </c>
      <c r="AB6952" s="18">
        <f t="shared" si="28"/>
        <v>0</v>
      </c>
      <c r="AC6952" s="18" t="str">
        <f>_xlfn.XLOOKUP(L6952,'[3]2025 Mapping v3'!A:A,'[3]2025 Mapping v3'!B:B,"Error",0)</f>
        <v>Error</v>
      </c>
      <c r="AD6952" s="18" t="str">
        <f>_xlfn.XLOOKUP(L6952,'[3]2025 Mapping v3'!A:A,'[3]2025 Mapping v3'!C:C,"Error",0)</f>
        <v>Error</v>
      </c>
      <c r="AE6952" s="18" t="str">
        <f>_xlfn.XLOOKUP(L6952,'[3]2025 Mapping v3'!A:A,'[3]2025 Mapping v3'!D:D,"Error",0)</f>
        <v>Error</v>
      </c>
      <c r="AF6952" s="18" t="str">
        <f>_xlfn.XLOOKUP(L6952,'[3]2025 Mapping v3'!A:A,'[3]2025 Mapping v3'!E:E,"Error",0)</f>
        <v>Error</v>
      </c>
    </row>
    <row r="6953" spans="27:32">
      <c r="AA6953" s="18">
        <f>_xlfn.XLOOKUP(Y6953,'[2]Data Source'!A:A,'[2]Data Source'!B:B,"N/A",0)</f>
        <v>0</v>
      </c>
      <c r="AB6953" s="18">
        <f t="shared" si="28"/>
        <v>0</v>
      </c>
      <c r="AC6953" s="18" t="str">
        <f>_xlfn.XLOOKUP(L6953,'[3]2025 Mapping v3'!A:A,'[3]2025 Mapping v3'!B:B,"Error",0)</f>
        <v>Error</v>
      </c>
      <c r="AD6953" s="18" t="str">
        <f>_xlfn.XLOOKUP(L6953,'[3]2025 Mapping v3'!A:A,'[3]2025 Mapping v3'!C:C,"Error",0)</f>
        <v>Error</v>
      </c>
      <c r="AE6953" s="18" t="str">
        <f>_xlfn.XLOOKUP(L6953,'[3]2025 Mapping v3'!A:A,'[3]2025 Mapping v3'!D:D,"Error",0)</f>
        <v>Error</v>
      </c>
      <c r="AF6953" s="18" t="str">
        <f>_xlfn.XLOOKUP(L6953,'[3]2025 Mapping v3'!A:A,'[3]2025 Mapping v3'!E:E,"Error",0)</f>
        <v>Error</v>
      </c>
    </row>
    <row r="6954" spans="27:32">
      <c r="AA6954" s="18">
        <f>_xlfn.XLOOKUP(Y6954,'[2]Data Source'!A:A,'[2]Data Source'!B:B,"N/A",0)</f>
        <v>0</v>
      </c>
      <c r="AB6954" s="18">
        <f t="shared" si="28"/>
        <v>0</v>
      </c>
      <c r="AC6954" s="18" t="str">
        <f>_xlfn.XLOOKUP(L6954,'[3]2025 Mapping v3'!A:A,'[3]2025 Mapping v3'!B:B,"Error",0)</f>
        <v>Error</v>
      </c>
      <c r="AD6954" s="18" t="str">
        <f>_xlfn.XLOOKUP(L6954,'[3]2025 Mapping v3'!A:A,'[3]2025 Mapping v3'!C:C,"Error",0)</f>
        <v>Error</v>
      </c>
      <c r="AE6954" s="18" t="str">
        <f>_xlfn.XLOOKUP(L6954,'[3]2025 Mapping v3'!A:A,'[3]2025 Mapping v3'!D:D,"Error",0)</f>
        <v>Error</v>
      </c>
      <c r="AF6954" s="18" t="str">
        <f>_xlfn.XLOOKUP(L6954,'[3]2025 Mapping v3'!A:A,'[3]2025 Mapping v3'!E:E,"Error",0)</f>
        <v>Error</v>
      </c>
    </row>
    <row r="6955" spans="27:32">
      <c r="AA6955" s="18">
        <f>_xlfn.XLOOKUP(Y6955,'[2]Data Source'!A:A,'[2]Data Source'!B:B,"N/A",0)</f>
        <v>0</v>
      </c>
      <c r="AB6955" s="18">
        <f t="shared" si="28"/>
        <v>0</v>
      </c>
      <c r="AC6955" s="18" t="str">
        <f>_xlfn.XLOOKUP(L6955,'[3]2025 Mapping v3'!A:A,'[3]2025 Mapping v3'!B:B,"Error",0)</f>
        <v>Error</v>
      </c>
      <c r="AD6955" s="18" t="str">
        <f>_xlfn.XLOOKUP(L6955,'[3]2025 Mapping v3'!A:A,'[3]2025 Mapping v3'!C:C,"Error",0)</f>
        <v>Error</v>
      </c>
      <c r="AE6955" s="18" t="str">
        <f>_xlfn.XLOOKUP(L6955,'[3]2025 Mapping v3'!A:A,'[3]2025 Mapping v3'!D:D,"Error",0)</f>
        <v>Error</v>
      </c>
      <c r="AF6955" s="18" t="str">
        <f>_xlfn.XLOOKUP(L6955,'[3]2025 Mapping v3'!A:A,'[3]2025 Mapping v3'!E:E,"Error",0)</f>
        <v>Error</v>
      </c>
    </row>
    <row r="6956" spans="27:32">
      <c r="AA6956" s="18">
        <f>_xlfn.XLOOKUP(Y6956,'[2]Data Source'!A:A,'[2]Data Source'!B:B,"N/A",0)</f>
        <v>0</v>
      </c>
      <c r="AB6956" s="18">
        <f t="shared" si="28"/>
        <v>0</v>
      </c>
      <c r="AC6956" s="18" t="str">
        <f>_xlfn.XLOOKUP(L6956,'[3]2025 Mapping v3'!A:A,'[3]2025 Mapping v3'!B:B,"Error",0)</f>
        <v>Error</v>
      </c>
      <c r="AD6956" s="18" t="str">
        <f>_xlfn.XLOOKUP(L6956,'[3]2025 Mapping v3'!A:A,'[3]2025 Mapping v3'!C:C,"Error",0)</f>
        <v>Error</v>
      </c>
      <c r="AE6956" s="18" t="str">
        <f>_xlfn.XLOOKUP(L6956,'[3]2025 Mapping v3'!A:A,'[3]2025 Mapping v3'!D:D,"Error",0)</f>
        <v>Error</v>
      </c>
      <c r="AF6956" s="18" t="str">
        <f>_xlfn.XLOOKUP(L6956,'[3]2025 Mapping v3'!A:A,'[3]2025 Mapping v3'!E:E,"Error",0)</f>
        <v>Error</v>
      </c>
    </row>
    <row r="6957" spans="27:32">
      <c r="AA6957" s="18">
        <f>_xlfn.XLOOKUP(Y6957,'[2]Data Source'!A:A,'[2]Data Source'!B:B,"N/A",0)</f>
        <v>0</v>
      </c>
      <c r="AB6957" s="18">
        <f t="shared" si="28"/>
        <v>0</v>
      </c>
      <c r="AC6957" s="18" t="str">
        <f>_xlfn.XLOOKUP(L6957,'[3]2025 Mapping v3'!A:A,'[3]2025 Mapping v3'!B:B,"Error",0)</f>
        <v>Error</v>
      </c>
      <c r="AD6957" s="18" t="str">
        <f>_xlfn.XLOOKUP(L6957,'[3]2025 Mapping v3'!A:A,'[3]2025 Mapping v3'!C:C,"Error",0)</f>
        <v>Error</v>
      </c>
      <c r="AE6957" s="18" t="str">
        <f>_xlfn.XLOOKUP(L6957,'[3]2025 Mapping v3'!A:A,'[3]2025 Mapping v3'!D:D,"Error",0)</f>
        <v>Error</v>
      </c>
      <c r="AF6957" s="18" t="str">
        <f>_xlfn.XLOOKUP(L6957,'[3]2025 Mapping v3'!A:A,'[3]2025 Mapping v3'!E:E,"Error",0)</f>
        <v>Error</v>
      </c>
    </row>
    <row r="6958" spans="27:32">
      <c r="AA6958" s="18">
        <f>_xlfn.XLOOKUP(Y6958,'[2]Data Source'!A:A,'[2]Data Source'!B:B,"N/A",0)</f>
        <v>0</v>
      </c>
      <c r="AB6958" s="18">
        <f t="shared" si="28"/>
        <v>0</v>
      </c>
      <c r="AC6958" s="18" t="str">
        <f>_xlfn.XLOOKUP(L6958,'[3]2025 Mapping v3'!A:A,'[3]2025 Mapping v3'!B:B,"Error",0)</f>
        <v>Error</v>
      </c>
      <c r="AD6958" s="18" t="str">
        <f>_xlfn.XLOOKUP(L6958,'[3]2025 Mapping v3'!A:A,'[3]2025 Mapping v3'!C:C,"Error",0)</f>
        <v>Error</v>
      </c>
      <c r="AE6958" s="18" t="str">
        <f>_xlfn.XLOOKUP(L6958,'[3]2025 Mapping v3'!A:A,'[3]2025 Mapping v3'!D:D,"Error",0)</f>
        <v>Error</v>
      </c>
      <c r="AF6958" s="18" t="str">
        <f>_xlfn.XLOOKUP(L6958,'[3]2025 Mapping v3'!A:A,'[3]2025 Mapping v3'!E:E,"Error",0)</f>
        <v>Error</v>
      </c>
    </row>
    <row r="6959" spans="27:32">
      <c r="AA6959" s="18">
        <f>_xlfn.XLOOKUP(Y6959,'[2]Data Source'!A:A,'[2]Data Source'!B:B,"N/A",0)</f>
        <v>0</v>
      </c>
      <c r="AB6959" s="18">
        <f t="shared" si="28"/>
        <v>0</v>
      </c>
      <c r="AC6959" s="18" t="str">
        <f>_xlfn.XLOOKUP(L6959,'[3]2025 Mapping v3'!A:A,'[3]2025 Mapping v3'!B:B,"Error",0)</f>
        <v>Error</v>
      </c>
      <c r="AD6959" s="18" t="str">
        <f>_xlfn.XLOOKUP(L6959,'[3]2025 Mapping v3'!A:A,'[3]2025 Mapping v3'!C:C,"Error",0)</f>
        <v>Error</v>
      </c>
      <c r="AE6959" s="18" t="str">
        <f>_xlfn.XLOOKUP(L6959,'[3]2025 Mapping v3'!A:A,'[3]2025 Mapping v3'!D:D,"Error",0)</f>
        <v>Error</v>
      </c>
      <c r="AF6959" s="18" t="str">
        <f>_xlfn.XLOOKUP(L6959,'[3]2025 Mapping v3'!A:A,'[3]2025 Mapping v3'!E:E,"Error",0)</f>
        <v>Error</v>
      </c>
    </row>
    <row r="6960" spans="27:32">
      <c r="AA6960" s="18">
        <f>_xlfn.XLOOKUP(Y6960,'[2]Data Source'!A:A,'[2]Data Source'!B:B,"N/A",0)</f>
        <v>0</v>
      </c>
      <c r="AB6960" s="18">
        <f t="shared" si="28"/>
        <v>0</v>
      </c>
      <c r="AC6960" s="18" t="str">
        <f>_xlfn.XLOOKUP(L6960,'[3]2025 Mapping v3'!A:A,'[3]2025 Mapping v3'!B:B,"Error",0)</f>
        <v>Error</v>
      </c>
      <c r="AD6960" s="18" t="str">
        <f>_xlfn.XLOOKUP(L6960,'[3]2025 Mapping v3'!A:A,'[3]2025 Mapping v3'!C:C,"Error",0)</f>
        <v>Error</v>
      </c>
      <c r="AE6960" s="18" t="str">
        <f>_xlfn.XLOOKUP(L6960,'[3]2025 Mapping v3'!A:A,'[3]2025 Mapping v3'!D:D,"Error",0)</f>
        <v>Error</v>
      </c>
      <c r="AF6960" s="18" t="str">
        <f>_xlfn.XLOOKUP(L6960,'[3]2025 Mapping v3'!A:A,'[3]2025 Mapping v3'!E:E,"Error",0)</f>
        <v>Error</v>
      </c>
    </row>
    <row r="6961" spans="27:32">
      <c r="AA6961" s="18">
        <f>_xlfn.XLOOKUP(Y6961,'[2]Data Source'!A:A,'[2]Data Source'!B:B,"N/A",0)</f>
        <v>0</v>
      </c>
      <c r="AB6961" s="18">
        <f t="shared" si="28"/>
        <v>0</v>
      </c>
      <c r="AC6961" s="18" t="str">
        <f>_xlfn.XLOOKUP(L6961,'[3]2025 Mapping v3'!A:A,'[3]2025 Mapping v3'!B:B,"Error",0)</f>
        <v>Error</v>
      </c>
      <c r="AD6961" s="18" t="str">
        <f>_xlfn.XLOOKUP(L6961,'[3]2025 Mapping v3'!A:A,'[3]2025 Mapping v3'!C:C,"Error",0)</f>
        <v>Error</v>
      </c>
      <c r="AE6961" s="18" t="str">
        <f>_xlfn.XLOOKUP(L6961,'[3]2025 Mapping v3'!A:A,'[3]2025 Mapping v3'!D:D,"Error",0)</f>
        <v>Error</v>
      </c>
      <c r="AF6961" s="18" t="str">
        <f>_xlfn.XLOOKUP(L6961,'[3]2025 Mapping v3'!A:A,'[3]2025 Mapping v3'!E:E,"Error",0)</f>
        <v>Error</v>
      </c>
    </row>
    <row r="6962" spans="27:32">
      <c r="AA6962" s="18">
        <f>_xlfn.XLOOKUP(Y6962,'[2]Data Source'!A:A,'[2]Data Source'!B:B,"N/A",0)</f>
        <v>0</v>
      </c>
      <c r="AB6962" s="18">
        <f t="shared" si="28"/>
        <v>0</v>
      </c>
      <c r="AC6962" s="18" t="str">
        <f>_xlfn.XLOOKUP(L6962,'[3]2025 Mapping v3'!A:A,'[3]2025 Mapping v3'!B:B,"Error",0)</f>
        <v>Error</v>
      </c>
      <c r="AD6962" s="18" t="str">
        <f>_xlfn.XLOOKUP(L6962,'[3]2025 Mapping v3'!A:A,'[3]2025 Mapping v3'!C:C,"Error",0)</f>
        <v>Error</v>
      </c>
      <c r="AE6962" s="18" t="str">
        <f>_xlfn.XLOOKUP(L6962,'[3]2025 Mapping v3'!A:A,'[3]2025 Mapping v3'!D:D,"Error",0)</f>
        <v>Error</v>
      </c>
      <c r="AF6962" s="18" t="str">
        <f>_xlfn.XLOOKUP(L6962,'[3]2025 Mapping v3'!A:A,'[3]2025 Mapping v3'!E:E,"Error",0)</f>
        <v>Error</v>
      </c>
    </row>
    <row r="6963" spans="27:32">
      <c r="AA6963" s="18">
        <f>_xlfn.XLOOKUP(Y6963,'[2]Data Source'!A:A,'[2]Data Source'!B:B,"N/A",0)</f>
        <v>0</v>
      </c>
      <c r="AB6963" s="18">
        <f t="shared" si="28"/>
        <v>0</v>
      </c>
      <c r="AC6963" s="18" t="str">
        <f>_xlfn.XLOOKUP(L6963,'[3]2025 Mapping v3'!A:A,'[3]2025 Mapping v3'!B:B,"Error",0)</f>
        <v>Error</v>
      </c>
      <c r="AD6963" s="18" t="str">
        <f>_xlfn.XLOOKUP(L6963,'[3]2025 Mapping v3'!A:A,'[3]2025 Mapping v3'!C:C,"Error",0)</f>
        <v>Error</v>
      </c>
      <c r="AE6963" s="18" t="str">
        <f>_xlfn.XLOOKUP(L6963,'[3]2025 Mapping v3'!A:A,'[3]2025 Mapping v3'!D:D,"Error",0)</f>
        <v>Error</v>
      </c>
      <c r="AF6963" s="18" t="str">
        <f>_xlfn.XLOOKUP(L6963,'[3]2025 Mapping v3'!A:A,'[3]2025 Mapping v3'!E:E,"Error",0)</f>
        <v>Error</v>
      </c>
    </row>
    <row r="6964" spans="27:32">
      <c r="AA6964" s="18">
        <f>_xlfn.XLOOKUP(Y6964,'[2]Data Source'!A:A,'[2]Data Source'!B:B,"N/A",0)</f>
        <v>0</v>
      </c>
      <c r="AB6964" s="18">
        <f t="shared" si="28"/>
        <v>0</v>
      </c>
      <c r="AC6964" s="18" t="str">
        <f>_xlfn.XLOOKUP(L6964,'[3]2025 Mapping v3'!A:A,'[3]2025 Mapping v3'!B:B,"Error",0)</f>
        <v>Error</v>
      </c>
      <c r="AD6964" s="18" t="str">
        <f>_xlfn.XLOOKUP(L6964,'[3]2025 Mapping v3'!A:A,'[3]2025 Mapping v3'!C:C,"Error",0)</f>
        <v>Error</v>
      </c>
      <c r="AE6964" s="18" t="str">
        <f>_xlfn.XLOOKUP(L6964,'[3]2025 Mapping v3'!A:A,'[3]2025 Mapping v3'!D:D,"Error",0)</f>
        <v>Error</v>
      </c>
      <c r="AF6964" s="18" t="str">
        <f>_xlfn.XLOOKUP(L6964,'[3]2025 Mapping v3'!A:A,'[3]2025 Mapping v3'!E:E,"Error",0)</f>
        <v>Error</v>
      </c>
    </row>
    <row r="6965" spans="27:32">
      <c r="AA6965" s="18">
        <f>_xlfn.XLOOKUP(Y6965,'[2]Data Source'!A:A,'[2]Data Source'!B:B,"N/A",0)</f>
        <v>0</v>
      </c>
      <c r="AB6965" s="18">
        <f t="shared" si="28"/>
        <v>0</v>
      </c>
      <c r="AC6965" s="18" t="str">
        <f>_xlfn.XLOOKUP(L6965,'[3]2025 Mapping v3'!A:A,'[3]2025 Mapping v3'!B:B,"Error",0)</f>
        <v>Error</v>
      </c>
      <c r="AD6965" s="18" t="str">
        <f>_xlfn.XLOOKUP(L6965,'[3]2025 Mapping v3'!A:A,'[3]2025 Mapping v3'!C:C,"Error",0)</f>
        <v>Error</v>
      </c>
      <c r="AE6965" s="18" t="str">
        <f>_xlfn.XLOOKUP(L6965,'[3]2025 Mapping v3'!A:A,'[3]2025 Mapping v3'!D:D,"Error",0)</f>
        <v>Error</v>
      </c>
      <c r="AF6965" s="18" t="str">
        <f>_xlfn.XLOOKUP(L6965,'[3]2025 Mapping v3'!A:A,'[3]2025 Mapping v3'!E:E,"Error",0)</f>
        <v>Error</v>
      </c>
    </row>
    <row r="6966" spans="27:32">
      <c r="AA6966" s="18">
        <f>_xlfn.XLOOKUP(Y6966,'[2]Data Source'!A:A,'[2]Data Source'!B:B,"N/A",0)</f>
        <v>0</v>
      </c>
      <c r="AB6966" s="18">
        <f t="shared" si="28"/>
        <v>0</v>
      </c>
      <c r="AC6966" s="18" t="str">
        <f>_xlfn.XLOOKUP(L6966,'[3]2025 Mapping v3'!A:A,'[3]2025 Mapping v3'!B:B,"Error",0)</f>
        <v>Error</v>
      </c>
      <c r="AD6966" s="18" t="str">
        <f>_xlfn.XLOOKUP(L6966,'[3]2025 Mapping v3'!A:A,'[3]2025 Mapping v3'!C:C,"Error",0)</f>
        <v>Error</v>
      </c>
      <c r="AE6966" s="18" t="str">
        <f>_xlfn.XLOOKUP(L6966,'[3]2025 Mapping v3'!A:A,'[3]2025 Mapping v3'!D:D,"Error",0)</f>
        <v>Error</v>
      </c>
      <c r="AF6966" s="18" t="str">
        <f>_xlfn.XLOOKUP(L6966,'[3]2025 Mapping v3'!A:A,'[3]2025 Mapping v3'!E:E,"Error",0)</f>
        <v>Error</v>
      </c>
    </row>
    <row r="6967" spans="27:32">
      <c r="AA6967" s="18">
        <f>_xlfn.XLOOKUP(Y6967,'[2]Data Source'!A:A,'[2]Data Source'!B:B,"N/A",0)</f>
        <v>0</v>
      </c>
      <c r="AB6967" s="18">
        <f t="shared" si="28"/>
        <v>0</v>
      </c>
      <c r="AC6967" s="18" t="str">
        <f>_xlfn.XLOOKUP(L6967,'[3]2025 Mapping v3'!A:A,'[3]2025 Mapping v3'!B:B,"Error",0)</f>
        <v>Error</v>
      </c>
      <c r="AD6967" s="18" t="str">
        <f>_xlfn.XLOOKUP(L6967,'[3]2025 Mapping v3'!A:A,'[3]2025 Mapping v3'!C:C,"Error",0)</f>
        <v>Error</v>
      </c>
      <c r="AE6967" s="18" t="str">
        <f>_xlfn.XLOOKUP(L6967,'[3]2025 Mapping v3'!A:A,'[3]2025 Mapping v3'!D:D,"Error",0)</f>
        <v>Error</v>
      </c>
      <c r="AF6967" s="18" t="str">
        <f>_xlfn.XLOOKUP(L6967,'[3]2025 Mapping v3'!A:A,'[3]2025 Mapping v3'!E:E,"Error",0)</f>
        <v>Error</v>
      </c>
    </row>
    <row r="6968" spans="27:32">
      <c r="AA6968" s="18">
        <f>_xlfn.XLOOKUP(Y6968,'[2]Data Source'!A:A,'[2]Data Source'!B:B,"N/A",0)</f>
        <v>0</v>
      </c>
      <c r="AB6968" s="18">
        <f t="shared" si="28"/>
        <v>0</v>
      </c>
      <c r="AC6968" s="18" t="str">
        <f>_xlfn.XLOOKUP(L6968,'[3]2025 Mapping v3'!A:A,'[3]2025 Mapping v3'!B:B,"Error",0)</f>
        <v>Error</v>
      </c>
      <c r="AD6968" s="18" t="str">
        <f>_xlfn.XLOOKUP(L6968,'[3]2025 Mapping v3'!A:A,'[3]2025 Mapping v3'!C:C,"Error",0)</f>
        <v>Error</v>
      </c>
      <c r="AE6968" s="18" t="str">
        <f>_xlfn.XLOOKUP(L6968,'[3]2025 Mapping v3'!A:A,'[3]2025 Mapping v3'!D:D,"Error",0)</f>
        <v>Error</v>
      </c>
      <c r="AF6968" s="18" t="str">
        <f>_xlfn.XLOOKUP(L6968,'[3]2025 Mapping v3'!A:A,'[3]2025 Mapping v3'!E:E,"Error",0)</f>
        <v>Error</v>
      </c>
    </row>
    <row r="6969" spans="27:32">
      <c r="AA6969" s="18">
        <f>_xlfn.XLOOKUP(Y6969,'[2]Data Source'!A:A,'[2]Data Source'!B:B,"N/A",0)</f>
        <v>0</v>
      </c>
      <c r="AB6969" s="18">
        <f t="shared" si="28"/>
        <v>0</v>
      </c>
      <c r="AC6969" s="18" t="str">
        <f>_xlfn.XLOOKUP(L6969,'[3]2025 Mapping v3'!A:A,'[3]2025 Mapping v3'!B:B,"Error",0)</f>
        <v>Error</v>
      </c>
      <c r="AD6969" s="18" t="str">
        <f>_xlfn.XLOOKUP(L6969,'[3]2025 Mapping v3'!A:A,'[3]2025 Mapping v3'!C:C,"Error",0)</f>
        <v>Error</v>
      </c>
      <c r="AE6969" s="18" t="str">
        <f>_xlfn.XLOOKUP(L6969,'[3]2025 Mapping v3'!A:A,'[3]2025 Mapping v3'!D:D,"Error",0)</f>
        <v>Error</v>
      </c>
      <c r="AF6969" s="18" t="str">
        <f>_xlfn.XLOOKUP(L6969,'[3]2025 Mapping v3'!A:A,'[3]2025 Mapping v3'!E:E,"Error",0)</f>
        <v>Error</v>
      </c>
    </row>
    <row r="6970" spans="27:32">
      <c r="AA6970" s="18">
        <f>_xlfn.XLOOKUP(Y6970,'[2]Data Source'!A:A,'[2]Data Source'!B:B,"N/A",0)</f>
        <v>0</v>
      </c>
      <c r="AB6970" s="18">
        <f t="shared" si="28"/>
        <v>0</v>
      </c>
      <c r="AC6970" s="18" t="str">
        <f>_xlfn.XLOOKUP(L6970,'[3]2025 Mapping v3'!A:A,'[3]2025 Mapping v3'!B:B,"Error",0)</f>
        <v>Error</v>
      </c>
      <c r="AD6970" s="18" t="str">
        <f>_xlfn.XLOOKUP(L6970,'[3]2025 Mapping v3'!A:A,'[3]2025 Mapping v3'!C:C,"Error",0)</f>
        <v>Error</v>
      </c>
      <c r="AE6970" s="18" t="str">
        <f>_xlfn.XLOOKUP(L6970,'[3]2025 Mapping v3'!A:A,'[3]2025 Mapping v3'!D:D,"Error",0)</f>
        <v>Error</v>
      </c>
      <c r="AF6970" s="18" t="str">
        <f>_xlfn.XLOOKUP(L6970,'[3]2025 Mapping v3'!A:A,'[3]2025 Mapping v3'!E:E,"Error",0)</f>
        <v>Error</v>
      </c>
    </row>
    <row r="6971" spans="27:32">
      <c r="AA6971" s="18">
        <f>_xlfn.XLOOKUP(Y6971,'[2]Data Source'!A:A,'[2]Data Source'!B:B,"N/A",0)</f>
        <v>0</v>
      </c>
      <c r="AB6971" s="18">
        <f t="shared" si="28"/>
        <v>0</v>
      </c>
      <c r="AC6971" s="18" t="str">
        <f>_xlfn.XLOOKUP(L6971,'[3]2025 Mapping v3'!A:A,'[3]2025 Mapping v3'!B:B,"Error",0)</f>
        <v>Error</v>
      </c>
      <c r="AD6971" s="18" t="str">
        <f>_xlfn.XLOOKUP(L6971,'[3]2025 Mapping v3'!A:A,'[3]2025 Mapping v3'!C:C,"Error",0)</f>
        <v>Error</v>
      </c>
      <c r="AE6971" s="18" t="str">
        <f>_xlfn.XLOOKUP(L6971,'[3]2025 Mapping v3'!A:A,'[3]2025 Mapping v3'!D:D,"Error",0)</f>
        <v>Error</v>
      </c>
      <c r="AF6971" s="18" t="str">
        <f>_xlfn.XLOOKUP(L6971,'[3]2025 Mapping v3'!A:A,'[3]2025 Mapping v3'!E:E,"Error",0)</f>
        <v>Error</v>
      </c>
    </row>
    <row r="6972" spans="27:32">
      <c r="AA6972" s="18">
        <f>_xlfn.XLOOKUP(Y6972,'[2]Data Source'!A:A,'[2]Data Source'!B:B,"N/A",0)</f>
        <v>0</v>
      </c>
      <c r="AB6972" s="18">
        <f t="shared" si="28"/>
        <v>0</v>
      </c>
      <c r="AC6972" s="18" t="str">
        <f>_xlfn.XLOOKUP(L6972,'[3]2025 Mapping v3'!A:A,'[3]2025 Mapping v3'!B:B,"Error",0)</f>
        <v>Error</v>
      </c>
      <c r="AD6972" s="18" t="str">
        <f>_xlfn.XLOOKUP(L6972,'[3]2025 Mapping v3'!A:A,'[3]2025 Mapping v3'!C:C,"Error",0)</f>
        <v>Error</v>
      </c>
      <c r="AE6972" s="18" t="str">
        <f>_xlfn.XLOOKUP(L6972,'[3]2025 Mapping v3'!A:A,'[3]2025 Mapping v3'!D:D,"Error",0)</f>
        <v>Error</v>
      </c>
      <c r="AF6972" s="18" t="str">
        <f>_xlfn.XLOOKUP(L6972,'[3]2025 Mapping v3'!A:A,'[3]2025 Mapping v3'!E:E,"Error",0)</f>
        <v>Error</v>
      </c>
    </row>
    <row r="6973" spans="27:32">
      <c r="AA6973" s="18">
        <f>_xlfn.XLOOKUP(Y6973,'[2]Data Source'!A:A,'[2]Data Source'!B:B,"N/A",0)</f>
        <v>0</v>
      </c>
      <c r="AB6973" s="18">
        <f t="shared" si="28"/>
        <v>0</v>
      </c>
      <c r="AC6973" s="18" t="str">
        <f>_xlfn.XLOOKUP(L6973,'[3]2025 Mapping v3'!A:A,'[3]2025 Mapping v3'!B:B,"Error",0)</f>
        <v>Error</v>
      </c>
      <c r="AD6973" s="18" t="str">
        <f>_xlfn.XLOOKUP(L6973,'[3]2025 Mapping v3'!A:A,'[3]2025 Mapping v3'!C:C,"Error",0)</f>
        <v>Error</v>
      </c>
      <c r="AE6973" s="18" t="str">
        <f>_xlfn.XLOOKUP(L6973,'[3]2025 Mapping v3'!A:A,'[3]2025 Mapping v3'!D:D,"Error",0)</f>
        <v>Error</v>
      </c>
      <c r="AF6973" s="18" t="str">
        <f>_xlfn.XLOOKUP(L6973,'[3]2025 Mapping v3'!A:A,'[3]2025 Mapping v3'!E:E,"Error",0)</f>
        <v>Error</v>
      </c>
    </row>
    <row r="6974" spans="27:32">
      <c r="AA6974" s="18">
        <f>_xlfn.XLOOKUP(Y6974,'[2]Data Source'!A:A,'[2]Data Source'!B:B,"N/A",0)</f>
        <v>0</v>
      </c>
      <c r="AB6974" s="18">
        <f t="shared" si="28"/>
        <v>0</v>
      </c>
      <c r="AC6974" s="18" t="str">
        <f>_xlfn.XLOOKUP(L6974,'[3]2025 Mapping v3'!A:A,'[3]2025 Mapping v3'!B:B,"Error",0)</f>
        <v>Error</v>
      </c>
      <c r="AD6974" s="18" t="str">
        <f>_xlfn.XLOOKUP(L6974,'[3]2025 Mapping v3'!A:A,'[3]2025 Mapping v3'!C:C,"Error",0)</f>
        <v>Error</v>
      </c>
      <c r="AE6974" s="18" t="str">
        <f>_xlfn.XLOOKUP(L6974,'[3]2025 Mapping v3'!A:A,'[3]2025 Mapping v3'!D:D,"Error",0)</f>
        <v>Error</v>
      </c>
      <c r="AF6974" s="18" t="str">
        <f>_xlfn.XLOOKUP(L6974,'[3]2025 Mapping v3'!A:A,'[3]2025 Mapping v3'!E:E,"Error",0)</f>
        <v>Error</v>
      </c>
    </row>
    <row r="6975" spans="27:32">
      <c r="AA6975" s="18">
        <f>_xlfn.XLOOKUP(Y6975,'[2]Data Source'!A:A,'[2]Data Source'!B:B,"N/A",0)</f>
        <v>0</v>
      </c>
      <c r="AB6975" s="18">
        <f t="shared" si="28"/>
        <v>0</v>
      </c>
      <c r="AC6975" s="18" t="str">
        <f>_xlfn.XLOOKUP(L6975,'[3]2025 Mapping v3'!A:A,'[3]2025 Mapping v3'!B:B,"Error",0)</f>
        <v>Error</v>
      </c>
      <c r="AD6975" s="18" t="str">
        <f>_xlfn.XLOOKUP(L6975,'[3]2025 Mapping v3'!A:A,'[3]2025 Mapping v3'!C:C,"Error",0)</f>
        <v>Error</v>
      </c>
      <c r="AE6975" s="18" t="str">
        <f>_xlfn.XLOOKUP(L6975,'[3]2025 Mapping v3'!A:A,'[3]2025 Mapping v3'!D:D,"Error",0)</f>
        <v>Error</v>
      </c>
      <c r="AF6975" s="18" t="str">
        <f>_xlfn.XLOOKUP(L6975,'[3]2025 Mapping v3'!A:A,'[3]2025 Mapping v3'!E:E,"Error",0)</f>
        <v>Error</v>
      </c>
    </row>
    <row r="6976" spans="27:32">
      <c r="AA6976" s="18">
        <f>_xlfn.XLOOKUP(Y6976,'[2]Data Source'!A:A,'[2]Data Source'!B:B,"N/A",0)</f>
        <v>0</v>
      </c>
      <c r="AB6976" s="18">
        <f t="shared" si="28"/>
        <v>0</v>
      </c>
      <c r="AC6976" s="18" t="str">
        <f>_xlfn.XLOOKUP(L6976,'[3]2025 Mapping v3'!A:A,'[3]2025 Mapping v3'!B:B,"Error",0)</f>
        <v>Error</v>
      </c>
      <c r="AD6976" s="18" t="str">
        <f>_xlfn.XLOOKUP(L6976,'[3]2025 Mapping v3'!A:A,'[3]2025 Mapping v3'!C:C,"Error",0)</f>
        <v>Error</v>
      </c>
      <c r="AE6976" s="18" t="str">
        <f>_xlfn.XLOOKUP(L6976,'[3]2025 Mapping v3'!A:A,'[3]2025 Mapping v3'!D:D,"Error",0)</f>
        <v>Error</v>
      </c>
      <c r="AF6976" s="18" t="str">
        <f>_xlfn.XLOOKUP(L6976,'[3]2025 Mapping v3'!A:A,'[3]2025 Mapping v3'!E:E,"Error",0)</f>
        <v>Error</v>
      </c>
    </row>
    <row r="6977" spans="27:32">
      <c r="AA6977" s="18">
        <f>_xlfn.XLOOKUP(Y6977,'[2]Data Source'!A:A,'[2]Data Source'!B:B,"N/A",0)</f>
        <v>0</v>
      </c>
      <c r="AB6977" s="18">
        <f t="shared" si="28"/>
        <v>0</v>
      </c>
      <c r="AC6977" s="18" t="str">
        <f>_xlfn.XLOOKUP(L6977,'[3]2025 Mapping v3'!A:A,'[3]2025 Mapping v3'!B:B,"Error",0)</f>
        <v>Error</v>
      </c>
      <c r="AD6977" s="18" t="str">
        <f>_xlfn.XLOOKUP(L6977,'[3]2025 Mapping v3'!A:A,'[3]2025 Mapping v3'!C:C,"Error",0)</f>
        <v>Error</v>
      </c>
      <c r="AE6977" s="18" t="str">
        <f>_xlfn.XLOOKUP(L6977,'[3]2025 Mapping v3'!A:A,'[3]2025 Mapping v3'!D:D,"Error",0)</f>
        <v>Error</v>
      </c>
      <c r="AF6977" s="18" t="str">
        <f>_xlfn.XLOOKUP(L6977,'[3]2025 Mapping v3'!A:A,'[3]2025 Mapping v3'!E:E,"Error",0)</f>
        <v>Error</v>
      </c>
    </row>
    <row r="6978" spans="27:32">
      <c r="AA6978" s="18">
        <f>_xlfn.XLOOKUP(Y6978,'[2]Data Source'!A:A,'[2]Data Source'!B:B,"N/A",0)</f>
        <v>0</v>
      </c>
      <c r="AB6978" s="18">
        <f t="shared" si="28"/>
        <v>0</v>
      </c>
      <c r="AC6978" s="18" t="str">
        <f>_xlfn.XLOOKUP(L6978,'[3]2025 Mapping v3'!A:A,'[3]2025 Mapping v3'!B:B,"Error",0)</f>
        <v>Error</v>
      </c>
      <c r="AD6978" s="18" t="str">
        <f>_xlfn.XLOOKUP(L6978,'[3]2025 Mapping v3'!A:A,'[3]2025 Mapping v3'!C:C,"Error",0)</f>
        <v>Error</v>
      </c>
      <c r="AE6978" s="18" t="str">
        <f>_xlfn.XLOOKUP(L6978,'[3]2025 Mapping v3'!A:A,'[3]2025 Mapping v3'!D:D,"Error",0)</f>
        <v>Error</v>
      </c>
      <c r="AF6978" s="18" t="str">
        <f>_xlfn.XLOOKUP(L6978,'[3]2025 Mapping v3'!A:A,'[3]2025 Mapping v3'!E:E,"Error",0)</f>
        <v>Error</v>
      </c>
    </row>
    <row r="6979" spans="27:32">
      <c r="AA6979" s="18">
        <f>_xlfn.XLOOKUP(Y6979,'[2]Data Source'!A:A,'[2]Data Source'!B:B,"N/A",0)</f>
        <v>0</v>
      </c>
      <c r="AB6979" s="18">
        <f t="shared" si="28"/>
        <v>0</v>
      </c>
      <c r="AC6979" s="18" t="str">
        <f>_xlfn.XLOOKUP(L6979,'[3]2025 Mapping v3'!A:A,'[3]2025 Mapping v3'!B:B,"Error",0)</f>
        <v>Error</v>
      </c>
      <c r="AD6979" s="18" t="str">
        <f>_xlfn.XLOOKUP(L6979,'[3]2025 Mapping v3'!A:A,'[3]2025 Mapping v3'!C:C,"Error",0)</f>
        <v>Error</v>
      </c>
      <c r="AE6979" s="18" t="str">
        <f>_xlfn.XLOOKUP(L6979,'[3]2025 Mapping v3'!A:A,'[3]2025 Mapping v3'!D:D,"Error",0)</f>
        <v>Error</v>
      </c>
      <c r="AF6979" s="18" t="str">
        <f>_xlfn.XLOOKUP(L6979,'[3]2025 Mapping v3'!A:A,'[3]2025 Mapping v3'!E:E,"Error",0)</f>
        <v>Error</v>
      </c>
    </row>
    <row r="6980" spans="27:32">
      <c r="AA6980" s="18">
        <f>_xlfn.XLOOKUP(Y6980,'[2]Data Source'!A:A,'[2]Data Source'!B:B,"N/A",0)</f>
        <v>0</v>
      </c>
      <c r="AB6980" s="18">
        <f t="shared" si="28"/>
        <v>0</v>
      </c>
      <c r="AC6980" s="18" t="str">
        <f>_xlfn.XLOOKUP(L6980,'[3]2025 Mapping v3'!A:A,'[3]2025 Mapping v3'!B:B,"Error",0)</f>
        <v>Error</v>
      </c>
      <c r="AD6980" s="18" t="str">
        <f>_xlfn.XLOOKUP(L6980,'[3]2025 Mapping v3'!A:A,'[3]2025 Mapping v3'!C:C,"Error",0)</f>
        <v>Error</v>
      </c>
      <c r="AE6980" s="18" t="str">
        <f>_xlfn.XLOOKUP(L6980,'[3]2025 Mapping v3'!A:A,'[3]2025 Mapping v3'!D:D,"Error",0)</f>
        <v>Error</v>
      </c>
      <c r="AF6980" s="18" t="str">
        <f>_xlfn.XLOOKUP(L6980,'[3]2025 Mapping v3'!A:A,'[3]2025 Mapping v3'!E:E,"Error",0)</f>
        <v>Error</v>
      </c>
    </row>
    <row r="6981" spans="27:32">
      <c r="AA6981" s="18">
        <f>_xlfn.XLOOKUP(Y6981,'[2]Data Source'!A:A,'[2]Data Source'!B:B,"N/A",0)</f>
        <v>0</v>
      </c>
      <c r="AB6981" s="18">
        <f t="shared" si="28"/>
        <v>0</v>
      </c>
      <c r="AC6981" s="18" t="str">
        <f>_xlfn.XLOOKUP(L6981,'[3]2025 Mapping v3'!A:A,'[3]2025 Mapping v3'!B:B,"Error",0)</f>
        <v>Error</v>
      </c>
      <c r="AD6981" s="18" t="str">
        <f>_xlfn.XLOOKUP(L6981,'[3]2025 Mapping v3'!A:A,'[3]2025 Mapping v3'!C:C,"Error",0)</f>
        <v>Error</v>
      </c>
      <c r="AE6981" s="18" t="str">
        <f>_xlfn.XLOOKUP(L6981,'[3]2025 Mapping v3'!A:A,'[3]2025 Mapping v3'!D:D,"Error",0)</f>
        <v>Error</v>
      </c>
      <c r="AF6981" s="18" t="str">
        <f>_xlfn.XLOOKUP(L6981,'[3]2025 Mapping v3'!A:A,'[3]2025 Mapping v3'!E:E,"Error",0)</f>
        <v>Error</v>
      </c>
    </row>
    <row r="6982" spans="27:32">
      <c r="AA6982" s="18">
        <f>_xlfn.XLOOKUP(Y6982,'[2]Data Source'!A:A,'[2]Data Source'!B:B,"N/A",0)</f>
        <v>0</v>
      </c>
      <c r="AB6982" s="18">
        <f t="shared" si="28"/>
        <v>0</v>
      </c>
      <c r="AC6982" s="18" t="str">
        <f>_xlfn.XLOOKUP(L6982,'[3]2025 Mapping v3'!A:A,'[3]2025 Mapping v3'!B:B,"Error",0)</f>
        <v>Error</v>
      </c>
      <c r="AD6982" s="18" t="str">
        <f>_xlfn.XLOOKUP(L6982,'[3]2025 Mapping v3'!A:A,'[3]2025 Mapping v3'!C:C,"Error",0)</f>
        <v>Error</v>
      </c>
      <c r="AE6982" s="18" t="str">
        <f>_xlfn.XLOOKUP(L6982,'[3]2025 Mapping v3'!A:A,'[3]2025 Mapping v3'!D:D,"Error",0)</f>
        <v>Error</v>
      </c>
      <c r="AF6982" s="18" t="str">
        <f>_xlfn.XLOOKUP(L6982,'[3]2025 Mapping v3'!A:A,'[3]2025 Mapping v3'!E:E,"Error",0)</f>
        <v>Error</v>
      </c>
    </row>
    <row r="6983" spans="27:32">
      <c r="AA6983" s="18">
        <f>_xlfn.XLOOKUP(Y6983,'[2]Data Source'!A:A,'[2]Data Source'!B:B,"N/A",0)</f>
        <v>0</v>
      </c>
      <c r="AB6983" s="18">
        <f t="shared" si="28"/>
        <v>0</v>
      </c>
      <c r="AC6983" s="18" t="str">
        <f>_xlfn.XLOOKUP(L6983,'[3]2025 Mapping v3'!A:A,'[3]2025 Mapping v3'!B:B,"Error",0)</f>
        <v>Error</v>
      </c>
      <c r="AD6983" s="18" t="str">
        <f>_xlfn.XLOOKUP(L6983,'[3]2025 Mapping v3'!A:A,'[3]2025 Mapping v3'!C:C,"Error",0)</f>
        <v>Error</v>
      </c>
      <c r="AE6983" s="18" t="str">
        <f>_xlfn.XLOOKUP(L6983,'[3]2025 Mapping v3'!A:A,'[3]2025 Mapping v3'!D:D,"Error",0)</f>
        <v>Error</v>
      </c>
      <c r="AF6983" s="18" t="str">
        <f>_xlfn.XLOOKUP(L6983,'[3]2025 Mapping v3'!A:A,'[3]2025 Mapping v3'!E:E,"Error",0)</f>
        <v>Error</v>
      </c>
    </row>
    <row r="6984" spans="27:32">
      <c r="AA6984" s="18">
        <f>_xlfn.XLOOKUP(Y6984,'[2]Data Source'!A:A,'[2]Data Source'!B:B,"N/A",0)</f>
        <v>0</v>
      </c>
      <c r="AB6984" s="18">
        <f t="shared" si="28"/>
        <v>0</v>
      </c>
      <c r="AC6984" s="18" t="str">
        <f>_xlfn.XLOOKUP(L6984,'[3]2025 Mapping v3'!A:A,'[3]2025 Mapping v3'!B:B,"Error",0)</f>
        <v>Error</v>
      </c>
      <c r="AD6984" s="18" t="str">
        <f>_xlfn.XLOOKUP(L6984,'[3]2025 Mapping v3'!A:A,'[3]2025 Mapping v3'!C:C,"Error",0)</f>
        <v>Error</v>
      </c>
      <c r="AE6984" s="18" t="str">
        <f>_xlfn.XLOOKUP(L6984,'[3]2025 Mapping v3'!A:A,'[3]2025 Mapping v3'!D:D,"Error",0)</f>
        <v>Error</v>
      </c>
      <c r="AF6984" s="18" t="str">
        <f>_xlfn.XLOOKUP(L6984,'[3]2025 Mapping v3'!A:A,'[3]2025 Mapping v3'!E:E,"Error",0)</f>
        <v>Error</v>
      </c>
    </row>
    <row r="6985" spans="27:32">
      <c r="AA6985" s="18">
        <f>_xlfn.XLOOKUP(Y6985,'[2]Data Source'!A:A,'[2]Data Source'!B:B,"N/A",0)</f>
        <v>0</v>
      </c>
      <c r="AB6985" s="18">
        <f t="shared" ref="AB6985:AB7048" si="29">L6985</f>
        <v>0</v>
      </c>
      <c r="AC6985" s="18" t="str">
        <f>_xlfn.XLOOKUP(L6985,'[3]2025 Mapping v3'!A:A,'[3]2025 Mapping v3'!B:B,"Error",0)</f>
        <v>Error</v>
      </c>
      <c r="AD6985" s="18" t="str">
        <f>_xlfn.XLOOKUP(L6985,'[3]2025 Mapping v3'!A:A,'[3]2025 Mapping v3'!C:C,"Error",0)</f>
        <v>Error</v>
      </c>
      <c r="AE6985" s="18" t="str">
        <f>_xlfn.XLOOKUP(L6985,'[3]2025 Mapping v3'!A:A,'[3]2025 Mapping v3'!D:D,"Error",0)</f>
        <v>Error</v>
      </c>
      <c r="AF6985" s="18" t="str">
        <f>_xlfn.XLOOKUP(L6985,'[3]2025 Mapping v3'!A:A,'[3]2025 Mapping v3'!E:E,"Error",0)</f>
        <v>Error</v>
      </c>
    </row>
    <row r="6986" spans="27:32">
      <c r="AA6986" s="18">
        <f>_xlfn.XLOOKUP(Y6986,'[2]Data Source'!A:A,'[2]Data Source'!B:B,"N/A",0)</f>
        <v>0</v>
      </c>
      <c r="AB6986" s="18">
        <f t="shared" si="29"/>
        <v>0</v>
      </c>
      <c r="AC6986" s="18" t="str">
        <f>_xlfn.XLOOKUP(L6986,'[3]2025 Mapping v3'!A:A,'[3]2025 Mapping v3'!B:B,"Error",0)</f>
        <v>Error</v>
      </c>
      <c r="AD6986" s="18" t="str">
        <f>_xlfn.XLOOKUP(L6986,'[3]2025 Mapping v3'!A:A,'[3]2025 Mapping v3'!C:C,"Error",0)</f>
        <v>Error</v>
      </c>
      <c r="AE6986" s="18" t="str">
        <f>_xlfn.XLOOKUP(L6986,'[3]2025 Mapping v3'!A:A,'[3]2025 Mapping v3'!D:D,"Error",0)</f>
        <v>Error</v>
      </c>
      <c r="AF6986" s="18" t="str">
        <f>_xlfn.XLOOKUP(L6986,'[3]2025 Mapping v3'!A:A,'[3]2025 Mapping v3'!E:E,"Error",0)</f>
        <v>Error</v>
      </c>
    </row>
    <row r="6987" spans="27:32">
      <c r="AA6987" s="18">
        <f>_xlfn.XLOOKUP(Y6987,'[2]Data Source'!A:A,'[2]Data Source'!B:B,"N/A",0)</f>
        <v>0</v>
      </c>
      <c r="AB6987" s="18">
        <f t="shared" si="29"/>
        <v>0</v>
      </c>
      <c r="AC6987" s="18" t="str">
        <f>_xlfn.XLOOKUP(L6987,'[3]2025 Mapping v3'!A:A,'[3]2025 Mapping v3'!B:B,"Error",0)</f>
        <v>Error</v>
      </c>
      <c r="AD6987" s="18" t="str">
        <f>_xlfn.XLOOKUP(L6987,'[3]2025 Mapping v3'!A:A,'[3]2025 Mapping v3'!C:C,"Error",0)</f>
        <v>Error</v>
      </c>
      <c r="AE6987" s="18" t="str">
        <f>_xlfn.XLOOKUP(L6987,'[3]2025 Mapping v3'!A:A,'[3]2025 Mapping v3'!D:D,"Error",0)</f>
        <v>Error</v>
      </c>
      <c r="AF6987" s="18" t="str">
        <f>_xlfn.XLOOKUP(L6987,'[3]2025 Mapping v3'!A:A,'[3]2025 Mapping v3'!E:E,"Error",0)</f>
        <v>Error</v>
      </c>
    </row>
    <row r="6988" spans="27:32">
      <c r="AA6988" s="18">
        <f>_xlfn.XLOOKUP(Y6988,'[2]Data Source'!A:A,'[2]Data Source'!B:B,"N/A",0)</f>
        <v>0</v>
      </c>
      <c r="AB6988" s="18">
        <f t="shared" si="29"/>
        <v>0</v>
      </c>
      <c r="AC6988" s="18" t="str">
        <f>_xlfn.XLOOKUP(L6988,'[3]2025 Mapping v3'!A:A,'[3]2025 Mapping v3'!B:B,"Error",0)</f>
        <v>Error</v>
      </c>
      <c r="AD6988" s="18" t="str">
        <f>_xlfn.XLOOKUP(L6988,'[3]2025 Mapping v3'!A:A,'[3]2025 Mapping v3'!C:C,"Error",0)</f>
        <v>Error</v>
      </c>
      <c r="AE6988" s="18" t="str">
        <f>_xlfn.XLOOKUP(L6988,'[3]2025 Mapping v3'!A:A,'[3]2025 Mapping v3'!D:D,"Error",0)</f>
        <v>Error</v>
      </c>
      <c r="AF6988" s="18" t="str">
        <f>_xlfn.XLOOKUP(L6988,'[3]2025 Mapping v3'!A:A,'[3]2025 Mapping v3'!E:E,"Error",0)</f>
        <v>Error</v>
      </c>
    </row>
    <row r="6989" spans="27:32">
      <c r="AA6989" s="18">
        <f>_xlfn.XLOOKUP(Y6989,'[2]Data Source'!A:A,'[2]Data Source'!B:B,"N/A",0)</f>
        <v>0</v>
      </c>
      <c r="AB6989" s="18">
        <f t="shared" si="29"/>
        <v>0</v>
      </c>
      <c r="AC6989" s="18" t="str">
        <f>_xlfn.XLOOKUP(L6989,'[3]2025 Mapping v3'!A:A,'[3]2025 Mapping v3'!B:B,"Error",0)</f>
        <v>Error</v>
      </c>
      <c r="AD6989" s="18" t="str">
        <f>_xlfn.XLOOKUP(L6989,'[3]2025 Mapping v3'!A:A,'[3]2025 Mapping v3'!C:C,"Error",0)</f>
        <v>Error</v>
      </c>
      <c r="AE6989" s="18" t="str">
        <f>_xlfn.XLOOKUP(L6989,'[3]2025 Mapping v3'!A:A,'[3]2025 Mapping v3'!D:D,"Error",0)</f>
        <v>Error</v>
      </c>
      <c r="AF6989" s="18" t="str">
        <f>_xlfn.XLOOKUP(L6989,'[3]2025 Mapping v3'!A:A,'[3]2025 Mapping v3'!E:E,"Error",0)</f>
        <v>Error</v>
      </c>
    </row>
    <row r="6990" spans="27:32">
      <c r="AA6990" s="18">
        <f>_xlfn.XLOOKUP(Y6990,'[2]Data Source'!A:A,'[2]Data Source'!B:B,"N/A",0)</f>
        <v>0</v>
      </c>
      <c r="AB6990" s="18">
        <f t="shared" si="29"/>
        <v>0</v>
      </c>
      <c r="AC6990" s="18" t="str">
        <f>_xlfn.XLOOKUP(L6990,'[3]2025 Mapping v3'!A:A,'[3]2025 Mapping v3'!B:B,"Error",0)</f>
        <v>Error</v>
      </c>
      <c r="AD6990" s="18" t="str">
        <f>_xlfn.XLOOKUP(L6990,'[3]2025 Mapping v3'!A:A,'[3]2025 Mapping v3'!C:C,"Error",0)</f>
        <v>Error</v>
      </c>
      <c r="AE6990" s="18" t="str">
        <f>_xlfn.XLOOKUP(L6990,'[3]2025 Mapping v3'!A:A,'[3]2025 Mapping v3'!D:D,"Error",0)</f>
        <v>Error</v>
      </c>
      <c r="AF6990" s="18" t="str">
        <f>_xlfn.XLOOKUP(L6990,'[3]2025 Mapping v3'!A:A,'[3]2025 Mapping v3'!E:E,"Error",0)</f>
        <v>Error</v>
      </c>
    </row>
    <row r="6991" spans="27:32">
      <c r="AA6991" s="18">
        <f>_xlfn.XLOOKUP(Y6991,'[2]Data Source'!A:A,'[2]Data Source'!B:B,"N/A",0)</f>
        <v>0</v>
      </c>
      <c r="AB6991" s="18">
        <f t="shared" si="29"/>
        <v>0</v>
      </c>
      <c r="AC6991" s="18" t="str">
        <f>_xlfn.XLOOKUP(L6991,'[3]2025 Mapping v3'!A:A,'[3]2025 Mapping v3'!B:B,"Error",0)</f>
        <v>Error</v>
      </c>
      <c r="AD6991" s="18" t="str">
        <f>_xlfn.XLOOKUP(L6991,'[3]2025 Mapping v3'!A:A,'[3]2025 Mapping v3'!C:C,"Error",0)</f>
        <v>Error</v>
      </c>
      <c r="AE6991" s="18" t="str">
        <f>_xlfn.XLOOKUP(L6991,'[3]2025 Mapping v3'!A:A,'[3]2025 Mapping v3'!D:D,"Error",0)</f>
        <v>Error</v>
      </c>
      <c r="AF6991" s="18" t="str">
        <f>_xlfn.XLOOKUP(L6991,'[3]2025 Mapping v3'!A:A,'[3]2025 Mapping v3'!E:E,"Error",0)</f>
        <v>Error</v>
      </c>
    </row>
    <row r="6992" spans="27:32">
      <c r="AA6992" s="18">
        <f>_xlfn.XLOOKUP(Y6992,'[2]Data Source'!A:A,'[2]Data Source'!B:B,"N/A",0)</f>
        <v>0</v>
      </c>
      <c r="AB6992" s="18">
        <f t="shared" si="29"/>
        <v>0</v>
      </c>
      <c r="AC6992" s="18" t="str">
        <f>_xlfn.XLOOKUP(L6992,'[3]2025 Mapping v3'!A:A,'[3]2025 Mapping v3'!B:B,"Error",0)</f>
        <v>Error</v>
      </c>
      <c r="AD6992" s="18" t="str">
        <f>_xlfn.XLOOKUP(L6992,'[3]2025 Mapping v3'!A:A,'[3]2025 Mapping v3'!C:C,"Error",0)</f>
        <v>Error</v>
      </c>
      <c r="AE6992" s="18" t="str">
        <f>_xlfn.XLOOKUP(L6992,'[3]2025 Mapping v3'!A:A,'[3]2025 Mapping v3'!D:D,"Error",0)</f>
        <v>Error</v>
      </c>
      <c r="AF6992" s="18" t="str">
        <f>_xlfn.XLOOKUP(L6992,'[3]2025 Mapping v3'!A:A,'[3]2025 Mapping v3'!E:E,"Error",0)</f>
        <v>Error</v>
      </c>
    </row>
    <row r="6993" spans="27:32">
      <c r="AA6993" s="18">
        <f>_xlfn.XLOOKUP(Y6993,'[2]Data Source'!A:A,'[2]Data Source'!B:B,"N/A",0)</f>
        <v>0</v>
      </c>
      <c r="AB6993" s="18">
        <f t="shared" si="29"/>
        <v>0</v>
      </c>
      <c r="AC6993" s="18" t="str">
        <f>_xlfn.XLOOKUP(L6993,'[3]2025 Mapping v3'!A:A,'[3]2025 Mapping v3'!B:B,"Error",0)</f>
        <v>Error</v>
      </c>
      <c r="AD6993" s="18" t="str">
        <f>_xlfn.XLOOKUP(L6993,'[3]2025 Mapping v3'!A:A,'[3]2025 Mapping v3'!C:C,"Error",0)</f>
        <v>Error</v>
      </c>
      <c r="AE6993" s="18" t="str">
        <f>_xlfn.XLOOKUP(L6993,'[3]2025 Mapping v3'!A:A,'[3]2025 Mapping v3'!D:D,"Error",0)</f>
        <v>Error</v>
      </c>
      <c r="AF6993" s="18" t="str">
        <f>_xlfn.XLOOKUP(L6993,'[3]2025 Mapping v3'!A:A,'[3]2025 Mapping v3'!E:E,"Error",0)</f>
        <v>Error</v>
      </c>
    </row>
    <row r="6994" spans="27:32">
      <c r="AA6994" s="18">
        <f>_xlfn.XLOOKUP(Y6994,'[2]Data Source'!A:A,'[2]Data Source'!B:B,"N/A",0)</f>
        <v>0</v>
      </c>
      <c r="AB6994" s="18">
        <f t="shared" si="29"/>
        <v>0</v>
      </c>
      <c r="AC6994" s="18" t="str">
        <f>_xlfn.XLOOKUP(L6994,'[3]2025 Mapping v3'!A:A,'[3]2025 Mapping v3'!B:B,"Error",0)</f>
        <v>Error</v>
      </c>
      <c r="AD6994" s="18" t="str">
        <f>_xlfn.XLOOKUP(L6994,'[3]2025 Mapping v3'!A:A,'[3]2025 Mapping v3'!C:C,"Error",0)</f>
        <v>Error</v>
      </c>
      <c r="AE6994" s="18" t="str">
        <f>_xlfn.XLOOKUP(L6994,'[3]2025 Mapping v3'!A:A,'[3]2025 Mapping v3'!D:D,"Error",0)</f>
        <v>Error</v>
      </c>
      <c r="AF6994" s="18" t="str">
        <f>_xlfn.XLOOKUP(L6994,'[3]2025 Mapping v3'!A:A,'[3]2025 Mapping v3'!E:E,"Error",0)</f>
        <v>Error</v>
      </c>
    </row>
    <row r="6995" spans="27:32">
      <c r="AA6995" s="18">
        <f>_xlfn.XLOOKUP(Y6995,'[2]Data Source'!A:A,'[2]Data Source'!B:B,"N/A",0)</f>
        <v>0</v>
      </c>
      <c r="AB6995" s="18">
        <f t="shared" si="29"/>
        <v>0</v>
      </c>
      <c r="AC6995" s="18" t="str">
        <f>_xlfn.XLOOKUP(L6995,'[3]2025 Mapping v3'!A:A,'[3]2025 Mapping v3'!B:B,"Error",0)</f>
        <v>Error</v>
      </c>
      <c r="AD6995" s="18" t="str">
        <f>_xlfn.XLOOKUP(L6995,'[3]2025 Mapping v3'!A:A,'[3]2025 Mapping v3'!C:C,"Error",0)</f>
        <v>Error</v>
      </c>
      <c r="AE6995" s="18" t="str">
        <f>_xlfn.XLOOKUP(L6995,'[3]2025 Mapping v3'!A:A,'[3]2025 Mapping v3'!D:D,"Error",0)</f>
        <v>Error</v>
      </c>
      <c r="AF6995" s="18" t="str">
        <f>_xlfn.XLOOKUP(L6995,'[3]2025 Mapping v3'!A:A,'[3]2025 Mapping v3'!E:E,"Error",0)</f>
        <v>Error</v>
      </c>
    </row>
    <row r="6996" spans="27:32">
      <c r="AA6996" s="18">
        <f>_xlfn.XLOOKUP(Y6996,'[2]Data Source'!A:A,'[2]Data Source'!B:B,"N/A",0)</f>
        <v>0</v>
      </c>
      <c r="AB6996" s="18">
        <f t="shared" si="29"/>
        <v>0</v>
      </c>
      <c r="AC6996" s="18" t="str">
        <f>_xlfn.XLOOKUP(L6996,'[3]2025 Mapping v3'!A:A,'[3]2025 Mapping v3'!B:B,"Error",0)</f>
        <v>Error</v>
      </c>
      <c r="AD6996" s="18" t="str">
        <f>_xlfn.XLOOKUP(L6996,'[3]2025 Mapping v3'!A:A,'[3]2025 Mapping v3'!C:C,"Error",0)</f>
        <v>Error</v>
      </c>
      <c r="AE6996" s="18" t="str">
        <f>_xlfn.XLOOKUP(L6996,'[3]2025 Mapping v3'!A:A,'[3]2025 Mapping v3'!D:D,"Error",0)</f>
        <v>Error</v>
      </c>
      <c r="AF6996" s="18" t="str">
        <f>_xlfn.XLOOKUP(L6996,'[3]2025 Mapping v3'!A:A,'[3]2025 Mapping v3'!E:E,"Error",0)</f>
        <v>Error</v>
      </c>
    </row>
    <row r="6997" spans="27:32">
      <c r="AA6997" s="18">
        <f>_xlfn.XLOOKUP(Y6997,'[2]Data Source'!A:A,'[2]Data Source'!B:B,"N/A",0)</f>
        <v>0</v>
      </c>
      <c r="AB6997" s="18">
        <f t="shared" si="29"/>
        <v>0</v>
      </c>
      <c r="AC6997" s="18" t="str">
        <f>_xlfn.XLOOKUP(L6997,'[3]2025 Mapping v3'!A:A,'[3]2025 Mapping v3'!B:B,"Error",0)</f>
        <v>Error</v>
      </c>
      <c r="AD6997" s="18" t="str">
        <f>_xlfn.XLOOKUP(L6997,'[3]2025 Mapping v3'!A:A,'[3]2025 Mapping v3'!C:C,"Error",0)</f>
        <v>Error</v>
      </c>
      <c r="AE6997" s="18" t="str">
        <f>_xlfn.XLOOKUP(L6997,'[3]2025 Mapping v3'!A:A,'[3]2025 Mapping v3'!D:D,"Error",0)</f>
        <v>Error</v>
      </c>
      <c r="AF6997" s="18" t="str">
        <f>_xlfn.XLOOKUP(L6997,'[3]2025 Mapping v3'!A:A,'[3]2025 Mapping v3'!E:E,"Error",0)</f>
        <v>Error</v>
      </c>
    </row>
    <row r="6998" spans="27:32">
      <c r="AA6998" s="18">
        <f>_xlfn.XLOOKUP(Y6998,'[2]Data Source'!A:A,'[2]Data Source'!B:B,"N/A",0)</f>
        <v>0</v>
      </c>
      <c r="AB6998" s="18">
        <f t="shared" si="29"/>
        <v>0</v>
      </c>
      <c r="AC6998" s="18" t="str">
        <f>_xlfn.XLOOKUP(L6998,'[3]2025 Mapping v3'!A:A,'[3]2025 Mapping v3'!B:B,"Error",0)</f>
        <v>Error</v>
      </c>
      <c r="AD6998" s="18" t="str">
        <f>_xlfn.XLOOKUP(L6998,'[3]2025 Mapping v3'!A:A,'[3]2025 Mapping v3'!C:C,"Error",0)</f>
        <v>Error</v>
      </c>
      <c r="AE6998" s="18" t="str">
        <f>_xlfn.XLOOKUP(L6998,'[3]2025 Mapping v3'!A:A,'[3]2025 Mapping v3'!D:D,"Error",0)</f>
        <v>Error</v>
      </c>
      <c r="AF6998" s="18" t="str">
        <f>_xlfn.XLOOKUP(L6998,'[3]2025 Mapping v3'!A:A,'[3]2025 Mapping v3'!E:E,"Error",0)</f>
        <v>Error</v>
      </c>
    </row>
    <row r="6999" spans="27:32">
      <c r="AA6999" s="18">
        <f>_xlfn.XLOOKUP(Y6999,'[2]Data Source'!A:A,'[2]Data Source'!B:B,"N/A",0)</f>
        <v>0</v>
      </c>
      <c r="AB6999" s="18">
        <f t="shared" si="29"/>
        <v>0</v>
      </c>
      <c r="AC6999" s="18" t="str">
        <f>_xlfn.XLOOKUP(L6999,'[3]2025 Mapping v3'!A:A,'[3]2025 Mapping v3'!B:B,"Error",0)</f>
        <v>Error</v>
      </c>
      <c r="AD6999" s="18" t="str">
        <f>_xlfn.XLOOKUP(L6999,'[3]2025 Mapping v3'!A:A,'[3]2025 Mapping v3'!C:C,"Error",0)</f>
        <v>Error</v>
      </c>
      <c r="AE6999" s="18" t="str">
        <f>_xlfn.XLOOKUP(L6999,'[3]2025 Mapping v3'!A:A,'[3]2025 Mapping v3'!D:D,"Error",0)</f>
        <v>Error</v>
      </c>
      <c r="AF6999" s="18" t="str">
        <f>_xlfn.XLOOKUP(L6999,'[3]2025 Mapping v3'!A:A,'[3]2025 Mapping v3'!E:E,"Error",0)</f>
        <v>Error</v>
      </c>
    </row>
    <row r="7000" spans="27:32">
      <c r="AA7000" s="18">
        <f>_xlfn.XLOOKUP(Y7000,'[2]Data Source'!A:A,'[2]Data Source'!B:B,"N/A",0)</f>
        <v>0</v>
      </c>
      <c r="AB7000" s="18">
        <f t="shared" si="29"/>
        <v>0</v>
      </c>
      <c r="AC7000" s="18" t="str">
        <f>_xlfn.XLOOKUP(L7000,'[3]2025 Mapping v3'!A:A,'[3]2025 Mapping v3'!B:B,"Error",0)</f>
        <v>Error</v>
      </c>
      <c r="AD7000" s="18" t="str">
        <f>_xlfn.XLOOKUP(L7000,'[3]2025 Mapping v3'!A:A,'[3]2025 Mapping v3'!C:C,"Error",0)</f>
        <v>Error</v>
      </c>
      <c r="AE7000" s="18" t="str">
        <f>_xlfn.XLOOKUP(L7000,'[3]2025 Mapping v3'!A:A,'[3]2025 Mapping v3'!D:D,"Error",0)</f>
        <v>Error</v>
      </c>
      <c r="AF7000" s="18" t="str">
        <f>_xlfn.XLOOKUP(L7000,'[3]2025 Mapping v3'!A:A,'[3]2025 Mapping v3'!E:E,"Error",0)</f>
        <v>Error</v>
      </c>
    </row>
    <row r="7001" spans="27:32">
      <c r="AA7001" s="18">
        <f>_xlfn.XLOOKUP(Y7001,'[2]Data Source'!A:A,'[2]Data Source'!B:B,"N/A",0)</f>
        <v>0</v>
      </c>
      <c r="AB7001" s="18">
        <f t="shared" si="29"/>
        <v>0</v>
      </c>
      <c r="AC7001" s="18" t="str">
        <f>_xlfn.XLOOKUP(L7001,'[3]2025 Mapping v3'!A:A,'[3]2025 Mapping v3'!B:B,"Error",0)</f>
        <v>Error</v>
      </c>
      <c r="AD7001" s="18" t="str">
        <f>_xlfn.XLOOKUP(L7001,'[3]2025 Mapping v3'!A:A,'[3]2025 Mapping v3'!C:C,"Error",0)</f>
        <v>Error</v>
      </c>
      <c r="AE7001" s="18" t="str">
        <f>_xlfn.XLOOKUP(L7001,'[3]2025 Mapping v3'!A:A,'[3]2025 Mapping v3'!D:D,"Error",0)</f>
        <v>Error</v>
      </c>
      <c r="AF7001" s="18" t="str">
        <f>_xlfn.XLOOKUP(L7001,'[3]2025 Mapping v3'!A:A,'[3]2025 Mapping v3'!E:E,"Error",0)</f>
        <v>Error</v>
      </c>
    </row>
    <row r="7002" spans="27:32">
      <c r="AA7002" s="18">
        <f>_xlfn.XLOOKUP(Y7002,'[2]Data Source'!A:A,'[2]Data Source'!B:B,"N/A",0)</f>
        <v>0</v>
      </c>
      <c r="AB7002" s="18">
        <f t="shared" si="29"/>
        <v>0</v>
      </c>
      <c r="AC7002" s="18" t="str">
        <f>_xlfn.XLOOKUP(L7002,'[3]2025 Mapping v3'!A:A,'[3]2025 Mapping v3'!B:B,"Error",0)</f>
        <v>Error</v>
      </c>
      <c r="AD7002" s="18" t="str">
        <f>_xlfn.XLOOKUP(L7002,'[3]2025 Mapping v3'!A:A,'[3]2025 Mapping v3'!C:C,"Error",0)</f>
        <v>Error</v>
      </c>
      <c r="AE7002" s="18" t="str">
        <f>_xlfn.XLOOKUP(L7002,'[3]2025 Mapping v3'!A:A,'[3]2025 Mapping v3'!D:D,"Error",0)</f>
        <v>Error</v>
      </c>
      <c r="AF7002" s="18" t="str">
        <f>_xlfn.XLOOKUP(L7002,'[3]2025 Mapping v3'!A:A,'[3]2025 Mapping v3'!E:E,"Error",0)</f>
        <v>Error</v>
      </c>
    </row>
    <row r="7003" spans="27:32">
      <c r="AA7003" s="18">
        <f>_xlfn.XLOOKUP(Y7003,'[2]Data Source'!A:A,'[2]Data Source'!B:B,"N/A",0)</f>
        <v>0</v>
      </c>
      <c r="AB7003" s="18">
        <f t="shared" si="29"/>
        <v>0</v>
      </c>
      <c r="AC7003" s="18" t="str">
        <f>_xlfn.XLOOKUP(L7003,'[3]2025 Mapping v3'!A:A,'[3]2025 Mapping v3'!B:B,"Error",0)</f>
        <v>Error</v>
      </c>
      <c r="AD7003" s="18" t="str">
        <f>_xlfn.XLOOKUP(L7003,'[3]2025 Mapping v3'!A:A,'[3]2025 Mapping v3'!C:C,"Error",0)</f>
        <v>Error</v>
      </c>
      <c r="AE7003" s="18" t="str">
        <f>_xlfn.XLOOKUP(L7003,'[3]2025 Mapping v3'!A:A,'[3]2025 Mapping v3'!D:D,"Error",0)</f>
        <v>Error</v>
      </c>
      <c r="AF7003" s="18" t="str">
        <f>_xlfn.XLOOKUP(L7003,'[3]2025 Mapping v3'!A:A,'[3]2025 Mapping v3'!E:E,"Error",0)</f>
        <v>Error</v>
      </c>
    </row>
    <row r="7004" spans="27:32">
      <c r="AA7004" s="18">
        <f>_xlfn.XLOOKUP(Y7004,'[2]Data Source'!A:A,'[2]Data Source'!B:B,"N/A",0)</f>
        <v>0</v>
      </c>
      <c r="AB7004" s="18">
        <f t="shared" si="29"/>
        <v>0</v>
      </c>
      <c r="AC7004" s="18" t="str">
        <f>_xlfn.XLOOKUP(L7004,'[3]2025 Mapping v3'!A:A,'[3]2025 Mapping v3'!B:B,"Error",0)</f>
        <v>Error</v>
      </c>
      <c r="AD7004" s="18" t="str">
        <f>_xlfn.XLOOKUP(L7004,'[3]2025 Mapping v3'!A:A,'[3]2025 Mapping v3'!C:C,"Error",0)</f>
        <v>Error</v>
      </c>
      <c r="AE7004" s="18" t="str">
        <f>_xlfn.XLOOKUP(L7004,'[3]2025 Mapping v3'!A:A,'[3]2025 Mapping v3'!D:D,"Error",0)</f>
        <v>Error</v>
      </c>
      <c r="AF7004" s="18" t="str">
        <f>_xlfn.XLOOKUP(L7004,'[3]2025 Mapping v3'!A:A,'[3]2025 Mapping v3'!E:E,"Error",0)</f>
        <v>Error</v>
      </c>
    </row>
    <row r="7005" spans="27:32">
      <c r="AA7005" s="18">
        <f>_xlfn.XLOOKUP(Y7005,'[2]Data Source'!A:A,'[2]Data Source'!B:B,"N/A",0)</f>
        <v>0</v>
      </c>
      <c r="AB7005" s="18">
        <f t="shared" si="29"/>
        <v>0</v>
      </c>
      <c r="AC7005" s="18" t="str">
        <f>_xlfn.XLOOKUP(L7005,'[3]2025 Mapping v3'!A:A,'[3]2025 Mapping v3'!B:B,"Error",0)</f>
        <v>Error</v>
      </c>
      <c r="AD7005" s="18" t="str">
        <f>_xlfn.XLOOKUP(L7005,'[3]2025 Mapping v3'!A:A,'[3]2025 Mapping v3'!C:C,"Error",0)</f>
        <v>Error</v>
      </c>
      <c r="AE7005" s="18" t="str">
        <f>_xlfn.XLOOKUP(L7005,'[3]2025 Mapping v3'!A:A,'[3]2025 Mapping v3'!D:D,"Error",0)</f>
        <v>Error</v>
      </c>
      <c r="AF7005" s="18" t="str">
        <f>_xlfn.XLOOKUP(L7005,'[3]2025 Mapping v3'!A:A,'[3]2025 Mapping v3'!E:E,"Error",0)</f>
        <v>Error</v>
      </c>
    </row>
    <row r="7006" spans="27:32">
      <c r="AA7006" s="18">
        <f>_xlfn.XLOOKUP(Y7006,'[2]Data Source'!A:A,'[2]Data Source'!B:B,"N/A",0)</f>
        <v>0</v>
      </c>
      <c r="AB7006" s="18">
        <f t="shared" si="29"/>
        <v>0</v>
      </c>
      <c r="AC7006" s="18" t="str">
        <f>_xlfn.XLOOKUP(L7006,'[3]2025 Mapping v3'!A:A,'[3]2025 Mapping v3'!B:B,"Error",0)</f>
        <v>Error</v>
      </c>
      <c r="AD7006" s="18" t="str">
        <f>_xlfn.XLOOKUP(L7006,'[3]2025 Mapping v3'!A:A,'[3]2025 Mapping v3'!C:C,"Error",0)</f>
        <v>Error</v>
      </c>
      <c r="AE7006" s="18" t="str">
        <f>_xlfn.XLOOKUP(L7006,'[3]2025 Mapping v3'!A:A,'[3]2025 Mapping v3'!D:D,"Error",0)</f>
        <v>Error</v>
      </c>
      <c r="AF7006" s="18" t="str">
        <f>_xlfn.XLOOKUP(L7006,'[3]2025 Mapping v3'!A:A,'[3]2025 Mapping v3'!E:E,"Error",0)</f>
        <v>Error</v>
      </c>
    </row>
    <row r="7007" spans="27:32">
      <c r="AA7007" s="18">
        <f>_xlfn.XLOOKUP(Y7007,'[2]Data Source'!A:A,'[2]Data Source'!B:B,"N/A",0)</f>
        <v>0</v>
      </c>
      <c r="AB7007" s="18">
        <f t="shared" si="29"/>
        <v>0</v>
      </c>
      <c r="AC7007" s="18" t="str">
        <f>_xlfn.XLOOKUP(L7007,'[3]2025 Mapping v3'!A:A,'[3]2025 Mapping v3'!B:B,"Error",0)</f>
        <v>Error</v>
      </c>
      <c r="AD7007" s="18" t="str">
        <f>_xlfn.XLOOKUP(L7007,'[3]2025 Mapping v3'!A:A,'[3]2025 Mapping v3'!C:C,"Error",0)</f>
        <v>Error</v>
      </c>
      <c r="AE7007" s="18" t="str">
        <f>_xlfn.XLOOKUP(L7007,'[3]2025 Mapping v3'!A:A,'[3]2025 Mapping v3'!D:D,"Error",0)</f>
        <v>Error</v>
      </c>
      <c r="AF7007" s="18" t="str">
        <f>_xlfn.XLOOKUP(L7007,'[3]2025 Mapping v3'!A:A,'[3]2025 Mapping v3'!E:E,"Error",0)</f>
        <v>Error</v>
      </c>
    </row>
    <row r="7008" spans="27:32">
      <c r="AA7008" s="18">
        <f>_xlfn.XLOOKUP(Y7008,'[2]Data Source'!A:A,'[2]Data Source'!B:B,"N/A",0)</f>
        <v>0</v>
      </c>
      <c r="AB7008" s="18">
        <f t="shared" si="29"/>
        <v>0</v>
      </c>
      <c r="AC7008" s="18" t="str">
        <f>_xlfn.XLOOKUP(L7008,'[3]2025 Mapping v3'!A:A,'[3]2025 Mapping v3'!B:B,"Error",0)</f>
        <v>Error</v>
      </c>
      <c r="AD7008" s="18" t="str">
        <f>_xlfn.XLOOKUP(L7008,'[3]2025 Mapping v3'!A:A,'[3]2025 Mapping v3'!C:C,"Error",0)</f>
        <v>Error</v>
      </c>
      <c r="AE7008" s="18" t="str">
        <f>_xlfn.XLOOKUP(L7008,'[3]2025 Mapping v3'!A:A,'[3]2025 Mapping v3'!D:D,"Error",0)</f>
        <v>Error</v>
      </c>
      <c r="AF7008" s="18" t="str">
        <f>_xlfn.XLOOKUP(L7008,'[3]2025 Mapping v3'!A:A,'[3]2025 Mapping v3'!E:E,"Error",0)</f>
        <v>Error</v>
      </c>
    </row>
    <row r="7009" spans="27:32">
      <c r="AA7009" s="18">
        <f>_xlfn.XLOOKUP(Y7009,'[2]Data Source'!A:A,'[2]Data Source'!B:B,"N/A",0)</f>
        <v>0</v>
      </c>
      <c r="AB7009" s="18">
        <f t="shared" si="29"/>
        <v>0</v>
      </c>
      <c r="AC7009" s="18" t="str">
        <f>_xlfn.XLOOKUP(L7009,'[3]2025 Mapping v3'!A:A,'[3]2025 Mapping v3'!B:B,"Error",0)</f>
        <v>Error</v>
      </c>
      <c r="AD7009" s="18" t="str">
        <f>_xlfn.XLOOKUP(L7009,'[3]2025 Mapping v3'!A:A,'[3]2025 Mapping v3'!C:C,"Error",0)</f>
        <v>Error</v>
      </c>
      <c r="AE7009" s="18" t="str">
        <f>_xlfn.XLOOKUP(L7009,'[3]2025 Mapping v3'!A:A,'[3]2025 Mapping v3'!D:D,"Error",0)</f>
        <v>Error</v>
      </c>
      <c r="AF7009" s="18" t="str">
        <f>_xlfn.XLOOKUP(L7009,'[3]2025 Mapping v3'!A:A,'[3]2025 Mapping v3'!E:E,"Error",0)</f>
        <v>Error</v>
      </c>
    </row>
    <row r="7010" spans="27:32">
      <c r="AA7010" s="18">
        <f>_xlfn.XLOOKUP(Y7010,'[2]Data Source'!A:A,'[2]Data Source'!B:B,"N/A",0)</f>
        <v>0</v>
      </c>
      <c r="AB7010" s="18">
        <f t="shared" si="29"/>
        <v>0</v>
      </c>
      <c r="AC7010" s="18" t="str">
        <f>_xlfn.XLOOKUP(L7010,'[3]2025 Mapping v3'!A:A,'[3]2025 Mapping v3'!B:B,"Error",0)</f>
        <v>Error</v>
      </c>
      <c r="AD7010" s="18" t="str">
        <f>_xlfn.XLOOKUP(L7010,'[3]2025 Mapping v3'!A:A,'[3]2025 Mapping v3'!C:C,"Error",0)</f>
        <v>Error</v>
      </c>
      <c r="AE7010" s="18" t="str">
        <f>_xlfn.XLOOKUP(L7010,'[3]2025 Mapping v3'!A:A,'[3]2025 Mapping v3'!D:D,"Error",0)</f>
        <v>Error</v>
      </c>
      <c r="AF7010" s="18" t="str">
        <f>_xlfn.XLOOKUP(L7010,'[3]2025 Mapping v3'!A:A,'[3]2025 Mapping v3'!E:E,"Error",0)</f>
        <v>Error</v>
      </c>
    </row>
    <row r="7011" spans="27:32">
      <c r="AA7011" s="18">
        <f>_xlfn.XLOOKUP(Y7011,'[2]Data Source'!A:A,'[2]Data Source'!B:B,"N/A",0)</f>
        <v>0</v>
      </c>
      <c r="AB7011" s="18">
        <f t="shared" si="29"/>
        <v>0</v>
      </c>
      <c r="AC7011" s="18" t="str">
        <f>_xlfn.XLOOKUP(L7011,'[3]2025 Mapping v3'!A:A,'[3]2025 Mapping v3'!B:B,"Error",0)</f>
        <v>Error</v>
      </c>
      <c r="AD7011" s="18" t="str">
        <f>_xlfn.XLOOKUP(L7011,'[3]2025 Mapping v3'!A:A,'[3]2025 Mapping v3'!C:C,"Error",0)</f>
        <v>Error</v>
      </c>
      <c r="AE7011" s="18" t="str">
        <f>_xlfn.XLOOKUP(L7011,'[3]2025 Mapping v3'!A:A,'[3]2025 Mapping v3'!D:D,"Error",0)</f>
        <v>Error</v>
      </c>
      <c r="AF7011" s="18" t="str">
        <f>_xlfn.XLOOKUP(L7011,'[3]2025 Mapping v3'!A:A,'[3]2025 Mapping v3'!E:E,"Error",0)</f>
        <v>Error</v>
      </c>
    </row>
    <row r="7012" spans="27:32">
      <c r="AA7012" s="18">
        <f>_xlfn.XLOOKUP(Y7012,'[2]Data Source'!A:A,'[2]Data Source'!B:B,"N/A",0)</f>
        <v>0</v>
      </c>
      <c r="AB7012" s="18">
        <f t="shared" si="29"/>
        <v>0</v>
      </c>
      <c r="AC7012" s="18" t="str">
        <f>_xlfn.XLOOKUP(L7012,'[3]2025 Mapping v3'!A:A,'[3]2025 Mapping v3'!B:B,"Error",0)</f>
        <v>Error</v>
      </c>
      <c r="AD7012" s="18" t="str">
        <f>_xlfn.XLOOKUP(L7012,'[3]2025 Mapping v3'!A:A,'[3]2025 Mapping v3'!C:C,"Error",0)</f>
        <v>Error</v>
      </c>
      <c r="AE7012" s="18" t="str">
        <f>_xlfn.XLOOKUP(L7012,'[3]2025 Mapping v3'!A:A,'[3]2025 Mapping v3'!D:D,"Error",0)</f>
        <v>Error</v>
      </c>
      <c r="AF7012" s="18" t="str">
        <f>_xlfn.XLOOKUP(L7012,'[3]2025 Mapping v3'!A:A,'[3]2025 Mapping v3'!E:E,"Error",0)</f>
        <v>Error</v>
      </c>
    </row>
    <row r="7013" spans="27:32">
      <c r="AA7013" s="18">
        <f>_xlfn.XLOOKUP(Y7013,'[2]Data Source'!A:A,'[2]Data Source'!B:B,"N/A",0)</f>
        <v>0</v>
      </c>
      <c r="AB7013" s="18">
        <f t="shared" si="29"/>
        <v>0</v>
      </c>
      <c r="AC7013" s="18" t="str">
        <f>_xlfn.XLOOKUP(L7013,'[3]2025 Mapping v3'!A:A,'[3]2025 Mapping v3'!B:B,"Error",0)</f>
        <v>Error</v>
      </c>
      <c r="AD7013" s="18" t="str">
        <f>_xlfn.XLOOKUP(L7013,'[3]2025 Mapping v3'!A:A,'[3]2025 Mapping v3'!C:C,"Error",0)</f>
        <v>Error</v>
      </c>
      <c r="AE7013" s="18" t="str">
        <f>_xlfn.XLOOKUP(L7013,'[3]2025 Mapping v3'!A:A,'[3]2025 Mapping v3'!D:D,"Error",0)</f>
        <v>Error</v>
      </c>
      <c r="AF7013" s="18" t="str">
        <f>_xlfn.XLOOKUP(L7013,'[3]2025 Mapping v3'!A:A,'[3]2025 Mapping v3'!E:E,"Error",0)</f>
        <v>Error</v>
      </c>
    </row>
    <row r="7014" spans="27:32">
      <c r="AA7014" s="18">
        <f>_xlfn.XLOOKUP(Y7014,'[2]Data Source'!A:A,'[2]Data Source'!B:B,"N/A",0)</f>
        <v>0</v>
      </c>
      <c r="AB7014" s="18">
        <f t="shared" si="29"/>
        <v>0</v>
      </c>
      <c r="AC7014" s="18" t="str">
        <f>_xlfn.XLOOKUP(L7014,'[3]2025 Mapping v3'!A:A,'[3]2025 Mapping v3'!B:B,"Error",0)</f>
        <v>Error</v>
      </c>
      <c r="AD7014" s="18" t="str">
        <f>_xlfn.XLOOKUP(L7014,'[3]2025 Mapping v3'!A:A,'[3]2025 Mapping v3'!C:C,"Error",0)</f>
        <v>Error</v>
      </c>
      <c r="AE7014" s="18" t="str">
        <f>_xlfn.XLOOKUP(L7014,'[3]2025 Mapping v3'!A:A,'[3]2025 Mapping v3'!D:D,"Error",0)</f>
        <v>Error</v>
      </c>
      <c r="AF7014" s="18" t="str">
        <f>_xlfn.XLOOKUP(L7014,'[3]2025 Mapping v3'!A:A,'[3]2025 Mapping v3'!E:E,"Error",0)</f>
        <v>Error</v>
      </c>
    </row>
    <row r="7015" spans="27:32">
      <c r="AA7015" s="18">
        <f>_xlfn.XLOOKUP(Y7015,'[2]Data Source'!A:A,'[2]Data Source'!B:B,"N/A",0)</f>
        <v>0</v>
      </c>
      <c r="AB7015" s="18">
        <f t="shared" si="29"/>
        <v>0</v>
      </c>
      <c r="AC7015" s="18" t="str">
        <f>_xlfn.XLOOKUP(L7015,'[3]2025 Mapping v3'!A:A,'[3]2025 Mapping v3'!B:B,"Error",0)</f>
        <v>Error</v>
      </c>
      <c r="AD7015" s="18" t="str">
        <f>_xlfn.XLOOKUP(L7015,'[3]2025 Mapping v3'!A:A,'[3]2025 Mapping v3'!C:C,"Error",0)</f>
        <v>Error</v>
      </c>
      <c r="AE7015" s="18" t="str">
        <f>_xlfn.XLOOKUP(L7015,'[3]2025 Mapping v3'!A:A,'[3]2025 Mapping v3'!D:D,"Error",0)</f>
        <v>Error</v>
      </c>
      <c r="AF7015" s="18" t="str">
        <f>_xlfn.XLOOKUP(L7015,'[3]2025 Mapping v3'!A:A,'[3]2025 Mapping v3'!E:E,"Error",0)</f>
        <v>Error</v>
      </c>
    </row>
    <row r="7016" spans="27:32">
      <c r="AA7016" s="18">
        <f>_xlfn.XLOOKUP(Y7016,'[2]Data Source'!A:A,'[2]Data Source'!B:B,"N/A",0)</f>
        <v>0</v>
      </c>
      <c r="AB7016" s="18">
        <f t="shared" si="29"/>
        <v>0</v>
      </c>
      <c r="AC7016" s="18" t="str">
        <f>_xlfn.XLOOKUP(L7016,'[3]2025 Mapping v3'!A:A,'[3]2025 Mapping v3'!B:B,"Error",0)</f>
        <v>Error</v>
      </c>
      <c r="AD7016" s="18" t="str">
        <f>_xlfn.XLOOKUP(L7016,'[3]2025 Mapping v3'!A:A,'[3]2025 Mapping v3'!C:C,"Error",0)</f>
        <v>Error</v>
      </c>
      <c r="AE7016" s="18" t="str">
        <f>_xlfn.XLOOKUP(L7016,'[3]2025 Mapping v3'!A:A,'[3]2025 Mapping v3'!D:D,"Error",0)</f>
        <v>Error</v>
      </c>
      <c r="AF7016" s="18" t="str">
        <f>_xlfn.XLOOKUP(L7016,'[3]2025 Mapping v3'!A:A,'[3]2025 Mapping v3'!E:E,"Error",0)</f>
        <v>Error</v>
      </c>
    </row>
    <row r="7017" spans="27:32">
      <c r="AA7017" s="18">
        <f>_xlfn.XLOOKUP(Y7017,'[2]Data Source'!A:A,'[2]Data Source'!B:B,"N/A",0)</f>
        <v>0</v>
      </c>
      <c r="AB7017" s="18">
        <f t="shared" si="29"/>
        <v>0</v>
      </c>
      <c r="AC7017" s="18" t="str">
        <f>_xlfn.XLOOKUP(L7017,'[3]2025 Mapping v3'!A:A,'[3]2025 Mapping v3'!B:B,"Error",0)</f>
        <v>Error</v>
      </c>
      <c r="AD7017" s="18" t="str">
        <f>_xlfn.XLOOKUP(L7017,'[3]2025 Mapping v3'!A:A,'[3]2025 Mapping v3'!C:C,"Error",0)</f>
        <v>Error</v>
      </c>
      <c r="AE7017" s="18" t="str">
        <f>_xlfn.XLOOKUP(L7017,'[3]2025 Mapping v3'!A:A,'[3]2025 Mapping v3'!D:D,"Error",0)</f>
        <v>Error</v>
      </c>
      <c r="AF7017" s="18" t="str">
        <f>_xlfn.XLOOKUP(L7017,'[3]2025 Mapping v3'!A:A,'[3]2025 Mapping v3'!E:E,"Error",0)</f>
        <v>Error</v>
      </c>
    </row>
    <row r="7018" spans="27:32">
      <c r="AA7018" s="18">
        <f>_xlfn.XLOOKUP(Y7018,'[2]Data Source'!A:A,'[2]Data Source'!B:B,"N/A",0)</f>
        <v>0</v>
      </c>
      <c r="AB7018" s="18">
        <f t="shared" si="29"/>
        <v>0</v>
      </c>
      <c r="AC7018" s="18" t="str">
        <f>_xlfn.XLOOKUP(L7018,'[3]2025 Mapping v3'!A:A,'[3]2025 Mapping v3'!B:B,"Error",0)</f>
        <v>Error</v>
      </c>
      <c r="AD7018" s="18" t="str">
        <f>_xlfn.XLOOKUP(L7018,'[3]2025 Mapping v3'!A:A,'[3]2025 Mapping v3'!C:C,"Error",0)</f>
        <v>Error</v>
      </c>
      <c r="AE7018" s="18" t="str">
        <f>_xlfn.XLOOKUP(L7018,'[3]2025 Mapping v3'!A:A,'[3]2025 Mapping v3'!D:D,"Error",0)</f>
        <v>Error</v>
      </c>
      <c r="AF7018" s="18" t="str">
        <f>_xlfn.XLOOKUP(L7018,'[3]2025 Mapping v3'!A:A,'[3]2025 Mapping v3'!E:E,"Error",0)</f>
        <v>Error</v>
      </c>
    </row>
    <row r="7019" spans="27:32">
      <c r="AA7019" s="18">
        <f>_xlfn.XLOOKUP(Y7019,'[2]Data Source'!A:A,'[2]Data Source'!B:B,"N/A",0)</f>
        <v>0</v>
      </c>
      <c r="AB7019" s="18">
        <f t="shared" si="29"/>
        <v>0</v>
      </c>
      <c r="AC7019" s="18" t="str">
        <f>_xlfn.XLOOKUP(L7019,'[3]2025 Mapping v3'!A:A,'[3]2025 Mapping v3'!B:B,"Error",0)</f>
        <v>Error</v>
      </c>
      <c r="AD7019" s="18" t="str">
        <f>_xlfn.XLOOKUP(L7019,'[3]2025 Mapping v3'!A:A,'[3]2025 Mapping v3'!C:C,"Error",0)</f>
        <v>Error</v>
      </c>
      <c r="AE7019" s="18" t="str">
        <f>_xlfn.XLOOKUP(L7019,'[3]2025 Mapping v3'!A:A,'[3]2025 Mapping v3'!D:D,"Error",0)</f>
        <v>Error</v>
      </c>
      <c r="AF7019" s="18" t="str">
        <f>_xlfn.XLOOKUP(L7019,'[3]2025 Mapping v3'!A:A,'[3]2025 Mapping v3'!E:E,"Error",0)</f>
        <v>Error</v>
      </c>
    </row>
    <row r="7020" spans="27:32">
      <c r="AA7020" s="18">
        <f>_xlfn.XLOOKUP(Y7020,'[2]Data Source'!A:A,'[2]Data Source'!B:B,"N/A",0)</f>
        <v>0</v>
      </c>
      <c r="AB7020" s="18">
        <f t="shared" si="29"/>
        <v>0</v>
      </c>
      <c r="AC7020" s="18" t="str">
        <f>_xlfn.XLOOKUP(L7020,'[3]2025 Mapping v3'!A:A,'[3]2025 Mapping v3'!B:B,"Error",0)</f>
        <v>Error</v>
      </c>
      <c r="AD7020" s="18" t="str">
        <f>_xlfn.XLOOKUP(L7020,'[3]2025 Mapping v3'!A:A,'[3]2025 Mapping v3'!C:C,"Error",0)</f>
        <v>Error</v>
      </c>
      <c r="AE7020" s="18" t="str">
        <f>_xlfn.XLOOKUP(L7020,'[3]2025 Mapping v3'!A:A,'[3]2025 Mapping v3'!D:D,"Error",0)</f>
        <v>Error</v>
      </c>
      <c r="AF7020" s="18" t="str">
        <f>_xlfn.XLOOKUP(L7020,'[3]2025 Mapping v3'!A:A,'[3]2025 Mapping v3'!E:E,"Error",0)</f>
        <v>Error</v>
      </c>
    </row>
    <row r="7021" spans="27:32">
      <c r="AA7021" s="18">
        <f>_xlfn.XLOOKUP(Y7021,'[2]Data Source'!A:A,'[2]Data Source'!B:B,"N/A",0)</f>
        <v>0</v>
      </c>
      <c r="AB7021" s="18">
        <f t="shared" si="29"/>
        <v>0</v>
      </c>
      <c r="AC7021" s="18" t="str">
        <f>_xlfn.XLOOKUP(L7021,'[3]2025 Mapping v3'!A:A,'[3]2025 Mapping v3'!B:B,"Error",0)</f>
        <v>Error</v>
      </c>
      <c r="AD7021" s="18" t="str">
        <f>_xlfn.XLOOKUP(L7021,'[3]2025 Mapping v3'!A:A,'[3]2025 Mapping v3'!C:C,"Error",0)</f>
        <v>Error</v>
      </c>
      <c r="AE7021" s="18" t="str">
        <f>_xlfn.XLOOKUP(L7021,'[3]2025 Mapping v3'!A:A,'[3]2025 Mapping v3'!D:D,"Error",0)</f>
        <v>Error</v>
      </c>
      <c r="AF7021" s="18" t="str">
        <f>_xlfn.XLOOKUP(L7021,'[3]2025 Mapping v3'!A:A,'[3]2025 Mapping v3'!E:E,"Error",0)</f>
        <v>Error</v>
      </c>
    </row>
    <row r="7022" spans="27:32">
      <c r="AA7022" s="18">
        <f>_xlfn.XLOOKUP(Y7022,'[2]Data Source'!A:A,'[2]Data Source'!B:B,"N/A",0)</f>
        <v>0</v>
      </c>
      <c r="AB7022" s="18">
        <f t="shared" si="29"/>
        <v>0</v>
      </c>
      <c r="AC7022" s="18" t="str">
        <f>_xlfn.XLOOKUP(L7022,'[3]2025 Mapping v3'!A:A,'[3]2025 Mapping v3'!B:B,"Error",0)</f>
        <v>Error</v>
      </c>
      <c r="AD7022" s="18" t="str">
        <f>_xlfn.XLOOKUP(L7022,'[3]2025 Mapping v3'!A:A,'[3]2025 Mapping v3'!C:C,"Error",0)</f>
        <v>Error</v>
      </c>
      <c r="AE7022" s="18" t="str">
        <f>_xlfn.XLOOKUP(L7022,'[3]2025 Mapping v3'!A:A,'[3]2025 Mapping v3'!D:D,"Error",0)</f>
        <v>Error</v>
      </c>
      <c r="AF7022" s="18" t="str">
        <f>_xlfn.XLOOKUP(L7022,'[3]2025 Mapping v3'!A:A,'[3]2025 Mapping v3'!E:E,"Error",0)</f>
        <v>Error</v>
      </c>
    </row>
    <row r="7023" spans="27:32">
      <c r="AA7023" s="18">
        <f>_xlfn.XLOOKUP(Y7023,'[2]Data Source'!A:A,'[2]Data Source'!B:B,"N/A",0)</f>
        <v>0</v>
      </c>
      <c r="AB7023" s="18">
        <f t="shared" si="29"/>
        <v>0</v>
      </c>
      <c r="AC7023" s="18" t="str">
        <f>_xlfn.XLOOKUP(L7023,'[3]2025 Mapping v3'!A:A,'[3]2025 Mapping v3'!B:B,"Error",0)</f>
        <v>Error</v>
      </c>
      <c r="AD7023" s="18" t="str">
        <f>_xlfn.XLOOKUP(L7023,'[3]2025 Mapping v3'!A:A,'[3]2025 Mapping v3'!C:C,"Error",0)</f>
        <v>Error</v>
      </c>
      <c r="AE7023" s="18" t="str">
        <f>_xlfn.XLOOKUP(L7023,'[3]2025 Mapping v3'!A:A,'[3]2025 Mapping v3'!D:D,"Error",0)</f>
        <v>Error</v>
      </c>
      <c r="AF7023" s="18" t="str">
        <f>_xlfn.XLOOKUP(L7023,'[3]2025 Mapping v3'!A:A,'[3]2025 Mapping v3'!E:E,"Error",0)</f>
        <v>Error</v>
      </c>
    </row>
    <row r="7024" spans="27:32">
      <c r="AA7024" s="18">
        <f>_xlfn.XLOOKUP(Y7024,'[2]Data Source'!A:A,'[2]Data Source'!B:B,"N/A",0)</f>
        <v>0</v>
      </c>
      <c r="AB7024" s="18">
        <f t="shared" si="29"/>
        <v>0</v>
      </c>
      <c r="AC7024" s="18" t="str">
        <f>_xlfn.XLOOKUP(L7024,'[3]2025 Mapping v3'!A:A,'[3]2025 Mapping v3'!B:B,"Error",0)</f>
        <v>Error</v>
      </c>
      <c r="AD7024" s="18" t="str">
        <f>_xlfn.XLOOKUP(L7024,'[3]2025 Mapping v3'!A:A,'[3]2025 Mapping v3'!C:C,"Error",0)</f>
        <v>Error</v>
      </c>
      <c r="AE7024" s="18" t="str">
        <f>_xlfn.XLOOKUP(L7024,'[3]2025 Mapping v3'!A:A,'[3]2025 Mapping v3'!D:D,"Error",0)</f>
        <v>Error</v>
      </c>
      <c r="AF7024" s="18" t="str">
        <f>_xlfn.XLOOKUP(L7024,'[3]2025 Mapping v3'!A:A,'[3]2025 Mapping v3'!E:E,"Error",0)</f>
        <v>Error</v>
      </c>
    </row>
    <row r="7025" spans="27:32">
      <c r="AA7025" s="18">
        <f>_xlfn.XLOOKUP(Y7025,'[2]Data Source'!A:A,'[2]Data Source'!B:B,"N/A",0)</f>
        <v>0</v>
      </c>
      <c r="AB7025" s="18">
        <f t="shared" si="29"/>
        <v>0</v>
      </c>
      <c r="AC7025" s="18" t="str">
        <f>_xlfn.XLOOKUP(L7025,'[3]2025 Mapping v3'!A:A,'[3]2025 Mapping v3'!B:B,"Error",0)</f>
        <v>Error</v>
      </c>
      <c r="AD7025" s="18" t="str">
        <f>_xlfn.XLOOKUP(L7025,'[3]2025 Mapping v3'!A:A,'[3]2025 Mapping v3'!C:C,"Error",0)</f>
        <v>Error</v>
      </c>
      <c r="AE7025" s="18" t="str">
        <f>_xlfn.XLOOKUP(L7025,'[3]2025 Mapping v3'!A:A,'[3]2025 Mapping v3'!D:D,"Error",0)</f>
        <v>Error</v>
      </c>
      <c r="AF7025" s="18" t="str">
        <f>_xlfn.XLOOKUP(L7025,'[3]2025 Mapping v3'!A:A,'[3]2025 Mapping v3'!E:E,"Error",0)</f>
        <v>Error</v>
      </c>
    </row>
    <row r="7026" spans="27:32">
      <c r="AA7026" s="18">
        <f>_xlfn.XLOOKUP(Y7026,'[2]Data Source'!A:A,'[2]Data Source'!B:B,"N/A",0)</f>
        <v>0</v>
      </c>
      <c r="AB7026" s="18">
        <f t="shared" si="29"/>
        <v>0</v>
      </c>
      <c r="AC7026" s="18" t="str">
        <f>_xlfn.XLOOKUP(L7026,'[3]2025 Mapping v3'!A:A,'[3]2025 Mapping v3'!B:B,"Error",0)</f>
        <v>Error</v>
      </c>
      <c r="AD7026" s="18" t="str">
        <f>_xlfn.XLOOKUP(L7026,'[3]2025 Mapping v3'!A:A,'[3]2025 Mapping v3'!C:C,"Error",0)</f>
        <v>Error</v>
      </c>
      <c r="AE7026" s="18" t="str">
        <f>_xlfn.XLOOKUP(L7026,'[3]2025 Mapping v3'!A:A,'[3]2025 Mapping v3'!D:D,"Error",0)</f>
        <v>Error</v>
      </c>
      <c r="AF7026" s="18" t="str">
        <f>_xlfn.XLOOKUP(L7026,'[3]2025 Mapping v3'!A:A,'[3]2025 Mapping v3'!E:E,"Error",0)</f>
        <v>Error</v>
      </c>
    </row>
    <row r="7027" spans="27:32">
      <c r="AA7027" s="18">
        <f>_xlfn.XLOOKUP(Y7027,'[2]Data Source'!A:A,'[2]Data Source'!B:B,"N/A",0)</f>
        <v>0</v>
      </c>
      <c r="AB7027" s="18">
        <f t="shared" si="29"/>
        <v>0</v>
      </c>
      <c r="AC7027" s="18" t="str">
        <f>_xlfn.XLOOKUP(L7027,'[3]2025 Mapping v3'!A:A,'[3]2025 Mapping v3'!B:B,"Error",0)</f>
        <v>Error</v>
      </c>
      <c r="AD7027" s="18" t="str">
        <f>_xlfn.XLOOKUP(L7027,'[3]2025 Mapping v3'!A:A,'[3]2025 Mapping v3'!C:C,"Error",0)</f>
        <v>Error</v>
      </c>
      <c r="AE7027" s="18" t="str">
        <f>_xlfn.XLOOKUP(L7027,'[3]2025 Mapping v3'!A:A,'[3]2025 Mapping v3'!D:D,"Error",0)</f>
        <v>Error</v>
      </c>
      <c r="AF7027" s="18" t="str">
        <f>_xlfn.XLOOKUP(L7027,'[3]2025 Mapping v3'!A:A,'[3]2025 Mapping v3'!E:E,"Error",0)</f>
        <v>Error</v>
      </c>
    </row>
    <row r="7028" spans="27:32">
      <c r="AA7028" s="18">
        <f>_xlfn.XLOOKUP(Y7028,'[2]Data Source'!A:A,'[2]Data Source'!B:B,"N/A",0)</f>
        <v>0</v>
      </c>
      <c r="AB7028" s="18">
        <f t="shared" si="29"/>
        <v>0</v>
      </c>
      <c r="AC7028" s="18" t="str">
        <f>_xlfn.XLOOKUP(L7028,'[3]2025 Mapping v3'!A:A,'[3]2025 Mapping v3'!B:B,"Error",0)</f>
        <v>Error</v>
      </c>
      <c r="AD7028" s="18" t="str">
        <f>_xlfn.XLOOKUP(L7028,'[3]2025 Mapping v3'!A:A,'[3]2025 Mapping v3'!C:C,"Error",0)</f>
        <v>Error</v>
      </c>
      <c r="AE7028" s="18" t="str">
        <f>_xlfn.XLOOKUP(L7028,'[3]2025 Mapping v3'!A:A,'[3]2025 Mapping v3'!D:D,"Error",0)</f>
        <v>Error</v>
      </c>
      <c r="AF7028" s="18" t="str">
        <f>_xlfn.XLOOKUP(L7028,'[3]2025 Mapping v3'!A:A,'[3]2025 Mapping v3'!E:E,"Error",0)</f>
        <v>Error</v>
      </c>
    </row>
    <row r="7029" spans="27:32">
      <c r="AA7029" s="18">
        <f>_xlfn.XLOOKUP(Y7029,'[2]Data Source'!A:A,'[2]Data Source'!B:B,"N/A",0)</f>
        <v>0</v>
      </c>
      <c r="AB7029" s="18">
        <f t="shared" si="29"/>
        <v>0</v>
      </c>
      <c r="AC7029" s="18" t="str">
        <f>_xlfn.XLOOKUP(L7029,'[3]2025 Mapping v3'!A:A,'[3]2025 Mapping v3'!B:B,"Error",0)</f>
        <v>Error</v>
      </c>
      <c r="AD7029" s="18" t="str">
        <f>_xlfn.XLOOKUP(L7029,'[3]2025 Mapping v3'!A:A,'[3]2025 Mapping v3'!C:C,"Error",0)</f>
        <v>Error</v>
      </c>
      <c r="AE7029" s="18" t="str">
        <f>_xlfn.XLOOKUP(L7029,'[3]2025 Mapping v3'!A:A,'[3]2025 Mapping v3'!D:D,"Error",0)</f>
        <v>Error</v>
      </c>
      <c r="AF7029" s="18" t="str">
        <f>_xlfn.XLOOKUP(L7029,'[3]2025 Mapping v3'!A:A,'[3]2025 Mapping v3'!E:E,"Error",0)</f>
        <v>Error</v>
      </c>
    </row>
    <row r="7030" spans="27:32">
      <c r="AA7030" s="18">
        <f>_xlfn.XLOOKUP(Y7030,'[2]Data Source'!A:A,'[2]Data Source'!B:B,"N/A",0)</f>
        <v>0</v>
      </c>
      <c r="AB7030" s="18">
        <f t="shared" si="29"/>
        <v>0</v>
      </c>
      <c r="AC7030" s="18" t="str">
        <f>_xlfn.XLOOKUP(L7030,'[3]2025 Mapping v3'!A:A,'[3]2025 Mapping v3'!B:B,"Error",0)</f>
        <v>Error</v>
      </c>
      <c r="AD7030" s="18" t="str">
        <f>_xlfn.XLOOKUP(L7030,'[3]2025 Mapping v3'!A:A,'[3]2025 Mapping v3'!C:C,"Error",0)</f>
        <v>Error</v>
      </c>
      <c r="AE7030" s="18" t="str">
        <f>_xlfn.XLOOKUP(L7030,'[3]2025 Mapping v3'!A:A,'[3]2025 Mapping v3'!D:D,"Error",0)</f>
        <v>Error</v>
      </c>
      <c r="AF7030" s="18" t="str">
        <f>_xlfn.XLOOKUP(L7030,'[3]2025 Mapping v3'!A:A,'[3]2025 Mapping v3'!E:E,"Error",0)</f>
        <v>Error</v>
      </c>
    </row>
    <row r="7031" spans="27:32">
      <c r="AA7031" s="18">
        <f>_xlfn.XLOOKUP(Y7031,'[2]Data Source'!A:A,'[2]Data Source'!B:B,"N/A",0)</f>
        <v>0</v>
      </c>
      <c r="AB7031" s="18">
        <f t="shared" si="29"/>
        <v>0</v>
      </c>
      <c r="AC7031" s="18" t="str">
        <f>_xlfn.XLOOKUP(L7031,'[3]2025 Mapping v3'!A:A,'[3]2025 Mapping v3'!B:B,"Error",0)</f>
        <v>Error</v>
      </c>
      <c r="AD7031" s="18" t="str">
        <f>_xlfn.XLOOKUP(L7031,'[3]2025 Mapping v3'!A:A,'[3]2025 Mapping v3'!C:C,"Error",0)</f>
        <v>Error</v>
      </c>
      <c r="AE7031" s="18" t="str">
        <f>_xlfn.XLOOKUP(L7031,'[3]2025 Mapping v3'!A:A,'[3]2025 Mapping v3'!D:D,"Error",0)</f>
        <v>Error</v>
      </c>
      <c r="AF7031" s="18" t="str">
        <f>_xlfn.XLOOKUP(L7031,'[3]2025 Mapping v3'!A:A,'[3]2025 Mapping v3'!E:E,"Error",0)</f>
        <v>Error</v>
      </c>
    </row>
    <row r="7032" spans="27:32">
      <c r="AA7032" s="18">
        <f>_xlfn.XLOOKUP(Y7032,'[2]Data Source'!A:A,'[2]Data Source'!B:B,"N/A",0)</f>
        <v>0</v>
      </c>
      <c r="AB7032" s="18">
        <f t="shared" si="29"/>
        <v>0</v>
      </c>
      <c r="AC7032" s="18" t="str">
        <f>_xlfn.XLOOKUP(L7032,'[3]2025 Mapping v3'!A:A,'[3]2025 Mapping v3'!B:B,"Error",0)</f>
        <v>Error</v>
      </c>
      <c r="AD7032" s="18" t="str">
        <f>_xlfn.XLOOKUP(L7032,'[3]2025 Mapping v3'!A:A,'[3]2025 Mapping v3'!C:C,"Error",0)</f>
        <v>Error</v>
      </c>
      <c r="AE7032" s="18" t="str">
        <f>_xlfn.XLOOKUP(L7032,'[3]2025 Mapping v3'!A:A,'[3]2025 Mapping v3'!D:D,"Error",0)</f>
        <v>Error</v>
      </c>
      <c r="AF7032" s="18" t="str">
        <f>_xlfn.XLOOKUP(L7032,'[3]2025 Mapping v3'!A:A,'[3]2025 Mapping v3'!E:E,"Error",0)</f>
        <v>Error</v>
      </c>
    </row>
    <row r="7033" spans="27:32">
      <c r="AA7033" s="18">
        <f>_xlfn.XLOOKUP(Y7033,'[2]Data Source'!A:A,'[2]Data Source'!B:B,"N/A",0)</f>
        <v>0</v>
      </c>
      <c r="AB7033" s="18">
        <f t="shared" si="29"/>
        <v>0</v>
      </c>
      <c r="AC7033" s="18" t="str">
        <f>_xlfn.XLOOKUP(L7033,'[3]2025 Mapping v3'!A:A,'[3]2025 Mapping v3'!B:B,"Error",0)</f>
        <v>Error</v>
      </c>
      <c r="AD7033" s="18" t="str">
        <f>_xlfn.XLOOKUP(L7033,'[3]2025 Mapping v3'!A:A,'[3]2025 Mapping v3'!C:C,"Error",0)</f>
        <v>Error</v>
      </c>
      <c r="AE7033" s="18" t="str">
        <f>_xlfn.XLOOKUP(L7033,'[3]2025 Mapping v3'!A:A,'[3]2025 Mapping v3'!D:D,"Error",0)</f>
        <v>Error</v>
      </c>
      <c r="AF7033" s="18" t="str">
        <f>_xlfn.XLOOKUP(L7033,'[3]2025 Mapping v3'!A:A,'[3]2025 Mapping v3'!E:E,"Error",0)</f>
        <v>Error</v>
      </c>
    </row>
    <row r="7034" spans="27:32">
      <c r="AA7034" s="18">
        <f>_xlfn.XLOOKUP(Y7034,'[2]Data Source'!A:A,'[2]Data Source'!B:B,"N/A",0)</f>
        <v>0</v>
      </c>
      <c r="AB7034" s="18">
        <f t="shared" si="29"/>
        <v>0</v>
      </c>
      <c r="AC7034" s="18" t="str">
        <f>_xlfn.XLOOKUP(L7034,'[3]2025 Mapping v3'!A:A,'[3]2025 Mapping v3'!B:B,"Error",0)</f>
        <v>Error</v>
      </c>
      <c r="AD7034" s="18" t="str">
        <f>_xlfn.XLOOKUP(L7034,'[3]2025 Mapping v3'!A:A,'[3]2025 Mapping v3'!C:C,"Error",0)</f>
        <v>Error</v>
      </c>
      <c r="AE7034" s="18" t="str">
        <f>_xlfn.XLOOKUP(L7034,'[3]2025 Mapping v3'!A:A,'[3]2025 Mapping v3'!D:D,"Error",0)</f>
        <v>Error</v>
      </c>
      <c r="AF7034" s="18" t="str">
        <f>_xlfn.XLOOKUP(L7034,'[3]2025 Mapping v3'!A:A,'[3]2025 Mapping v3'!E:E,"Error",0)</f>
        <v>Error</v>
      </c>
    </row>
    <row r="7035" spans="27:32">
      <c r="AA7035" s="18">
        <f>_xlfn.XLOOKUP(Y7035,'[2]Data Source'!A:A,'[2]Data Source'!B:B,"N/A",0)</f>
        <v>0</v>
      </c>
      <c r="AB7035" s="18">
        <f t="shared" si="29"/>
        <v>0</v>
      </c>
      <c r="AC7035" s="18" t="str">
        <f>_xlfn.XLOOKUP(L7035,'[3]2025 Mapping v3'!A:A,'[3]2025 Mapping v3'!B:B,"Error",0)</f>
        <v>Error</v>
      </c>
      <c r="AD7035" s="18" t="str">
        <f>_xlfn.XLOOKUP(L7035,'[3]2025 Mapping v3'!A:A,'[3]2025 Mapping v3'!C:C,"Error",0)</f>
        <v>Error</v>
      </c>
      <c r="AE7035" s="18" t="str">
        <f>_xlfn.XLOOKUP(L7035,'[3]2025 Mapping v3'!A:A,'[3]2025 Mapping v3'!D:D,"Error",0)</f>
        <v>Error</v>
      </c>
      <c r="AF7035" s="18" t="str">
        <f>_xlfn.XLOOKUP(L7035,'[3]2025 Mapping v3'!A:A,'[3]2025 Mapping v3'!E:E,"Error",0)</f>
        <v>Error</v>
      </c>
    </row>
    <row r="7036" spans="27:32">
      <c r="AA7036" s="18">
        <f>_xlfn.XLOOKUP(Y7036,'[2]Data Source'!A:A,'[2]Data Source'!B:B,"N/A",0)</f>
        <v>0</v>
      </c>
      <c r="AB7036" s="18">
        <f t="shared" si="29"/>
        <v>0</v>
      </c>
      <c r="AC7036" s="18" t="str">
        <f>_xlfn.XLOOKUP(L7036,'[3]2025 Mapping v3'!A:A,'[3]2025 Mapping v3'!B:B,"Error",0)</f>
        <v>Error</v>
      </c>
      <c r="AD7036" s="18" t="str">
        <f>_xlfn.XLOOKUP(L7036,'[3]2025 Mapping v3'!A:A,'[3]2025 Mapping v3'!C:C,"Error",0)</f>
        <v>Error</v>
      </c>
      <c r="AE7036" s="18" t="str">
        <f>_xlfn.XLOOKUP(L7036,'[3]2025 Mapping v3'!A:A,'[3]2025 Mapping v3'!D:D,"Error",0)</f>
        <v>Error</v>
      </c>
      <c r="AF7036" s="18" t="str">
        <f>_xlfn.XLOOKUP(L7036,'[3]2025 Mapping v3'!A:A,'[3]2025 Mapping v3'!E:E,"Error",0)</f>
        <v>Error</v>
      </c>
    </row>
    <row r="7037" spans="27:32">
      <c r="AA7037" s="18">
        <f>_xlfn.XLOOKUP(Y7037,'[2]Data Source'!A:A,'[2]Data Source'!B:B,"N/A",0)</f>
        <v>0</v>
      </c>
      <c r="AB7037" s="18">
        <f t="shared" si="29"/>
        <v>0</v>
      </c>
      <c r="AC7037" s="18" t="str">
        <f>_xlfn.XLOOKUP(L7037,'[3]2025 Mapping v3'!A:A,'[3]2025 Mapping v3'!B:B,"Error",0)</f>
        <v>Error</v>
      </c>
      <c r="AD7037" s="18" t="str">
        <f>_xlfn.XLOOKUP(L7037,'[3]2025 Mapping v3'!A:A,'[3]2025 Mapping v3'!C:C,"Error",0)</f>
        <v>Error</v>
      </c>
      <c r="AE7037" s="18" t="str">
        <f>_xlfn.XLOOKUP(L7037,'[3]2025 Mapping v3'!A:A,'[3]2025 Mapping v3'!D:D,"Error",0)</f>
        <v>Error</v>
      </c>
      <c r="AF7037" s="18" t="str">
        <f>_xlfn.XLOOKUP(L7037,'[3]2025 Mapping v3'!A:A,'[3]2025 Mapping v3'!E:E,"Error",0)</f>
        <v>Error</v>
      </c>
    </row>
    <row r="7038" spans="27:32">
      <c r="AA7038" s="18">
        <f>_xlfn.XLOOKUP(Y7038,'[2]Data Source'!A:A,'[2]Data Source'!B:B,"N/A",0)</f>
        <v>0</v>
      </c>
      <c r="AB7038" s="18">
        <f t="shared" si="29"/>
        <v>0</v>
      </c>
      <c r="AC7038" s="18" t="str">
        <f>_xlfn.XLOOKUP(L7038,'[3]2025 Mapping v3'!A:A,'[3]2025 Mapping v3'!B:B,"Error",0)</f>
        <v>Error</v>
      </c>
      <c r="AD7038" s="18" t="str">
        <f>_xlfn.XLOOKUP(L7038,'[3]2025 Mapping v3'!A:A,'[3]2025 Mapping v3'!C:C,"Error",0)</f>
        <v>Error</v>
      </c>
      <c r="AE7038" s="18" t="str">
        <f>_xlfn.XLOOKUP(L7038,'[3]2025 Mapping v3'!A:A,'[3]2025 Mapping v3'!D:D,"Error",0)</f>
        <v>Error</v>
      </c>
      <c r="AF7038" s="18" t="str">
        <f>_xlfn.XLOOKUP(L7038,'[3]2025 Mapping v3'!A:A,'[3]2025 Mapping v3'!E:E,"Error",0)</f>
        <v>Error</v>
      </c>
    </row>
    <row r="7039" spans="27:32">
      <c r="AA7039" s="18">
        <f>_xlfn.XLOOKUP(Y7039,'[2]Data Source'!A:A,'[2]Data Source'!B:B,"N/A",0)</f>
        <v>0</v>
      </c>
      <c r="AB7039" s="18">
        <f t="shared" si="29"/>
        <v>0</v>
      </c>
      <c r="AC7039" s="18" t="str">
        <f>_xlfn.XLOOKUP(L7039,'[3]2025 Mapping v3'!A:A,'[3]2025 Mapping v3'!B:B,"Error",0)</f>
        <v>Error</v>
      </c>
      <c r="AD7039" s="18" t="str">
        <f>_xlfn.XLOOKUP(L7039,'[3]2025 Mapping v3'!A:A,'[3]2025 Mapping v3'!C:C,"Error",0)</f>
        <v>Error</v>
      </c>
      <c r="AE7039" s="18" t="str">
        <f>_xlfn.XLOOKUP(L7039,'[3]2025 Mapping v3'!A:A,'[3]2025 Mapping v3'!D:D,"Error",0)</f>
        <v>Error</v>
      </c>
      <c r="AF7039" s="18" t="str">
        <f>_xlfn.XLOOKUP(L7039,'[3]2025 Mapping v3'!A:A,'[3]2025 Mapping v3'!E:E,"Error",0)</f>
        <v>Error</v>
      </c>
    </row>
    <row r="7040" spans="27:32">
      <c r="AA7040" s="18">
        <f>_xlfn.XLOOKUP(Y7040,'[2]Data Source'!A:A,'[2]Data Source'!B:B,"N/A",0)</f>
        <v>0</v>
      </c>
      <c r="AB7040" s="18">
        <f t="shared" si="29"/>
        <v>0</v>
      </c>
      <c r="AC7040" s="18" t="str">
        <f>_xlfn.XLOOKUP(L7040,'[3]2025 Mapping v3'!A:A,'[3]2025 Mapping v3'!B:B,"Error",0)</f>
        <v>Error</v>
      </c>
      <c r="AD7040" s="18" t="str">
        <f>_xlfn.XLOOKUP(L7040,'[3]2025 Mapping v3'!A:A,'[3]2025 Mapping v3'!C:C,"Error",0)</f>
        <v>Error</v>
      </c>
      <c r="AE7040" s="18" t="str">
        <f>_xlfn.XLOOKUP(L7040,'[3]2025 Mapping v3'!A:A,'[3]2025 Mapping v3'!D:D,"Error",0)</f>
        <v>Error</v>
      </c>
      <c r="AF7040" s="18" t="str">
        <f>_xlfn.XLOOKUP(L7040,'[3]2025 Mapping v3'!A:A,'[3]2025 Mapping v3'!E:E,"Error",0)</f>
        <v>Error</v>
      </c>
    </row>
    <row r="7041" spans="27:32">
      <c r="AA7041" s="18">
        <f>_xlfn.XLOOKUP(Y7041,'[2]Data Source'!A:A,'[2]Data Source'!B:B,"N/A",0)</f>
        <v>0</v>
      </c>
      <c r="AB7041" s="18">
        <f t="shared" si="29"/>
        <v>0</v>
      </c>
      <c r="AC7041" s="18" t="str">
        <f>_xlfn.XLOOKUP(L7041,'[3]2025 Mapping v3'!A:A,'[3]2025 Mapping v3'!B:B,"Error",0)</f>
        <v>Error</v>
      </c>
      <c r="AD7041" s="18" t="str">
        <f>_xlfn.XLOOKUP(L7041,'[3]2025 Mapping v3'!A:A,'[3]2025 Mapping v3'!C:C,"Error",0)</f>
        <v>Error</v>
      </c>
      <c r="AE7041" s="18" t="str">
        <f>_xlfn.XLOOKUP(L7041,'[3]2025 Mapping v3'!A:A,'[3]2025 Mapping v3'!D:D,"Error",0)</f>
        <v>Error</v>
      </c>
      <c r="AF7041" s="18" t="str">
        <f>_xlfn.XLOOKUP(L7041,'[3]2025 Mapping v3'!A:A,'[3]2025 Mapping v3'!E:E,"Error",0)</f>
        <v>Error</v>
      </c>
    </row>
    <row r="7042" spans="27:32">
      <c r="AA7042" s="18">
        <f>_xlfn.XLOOKUP(Y7042,'[2]Data Source'!A:A,'[2]Data Source'!B:B,"N/A",0)</f>
        <v>0</v>
      </c>
      <c r="AB7042" s="18">
        <f t="shared" si="29"/>
        <v>0</v>
      </c>
      <c r="AC7042" s="18" t="str">
        <f>_xlfn.XLOOKUP(L7042,'[3]2025 Mapping v3'!A:A,'[3]2025 Mapping v3'!B:B,"Error",0)</f>
        <v>Error</v>
      </c>
      <c r="AD7042" s="18" t="str">
        <f>_xlfn.XLOOKUP(L7042,'[3]2025 Mapping v3'!A:A,'[3]2025 Mapping v3'!C:C,"Error",0)</f>
        <v>Error</v>
      </c>
      <c r="AE7042" s="18" t="str">
        <f>_xlfn.XLOOKUP(L7042,'[3]2025 Mapping v3'!A:A,'[3]2025 Mapping v3'!D:D,"Error",0)</f>
        <v>Error</v>
      </c>
      <c r="AF7042" s="18" t="str">
        <f>_xlfn.XLOOKUP(L7042,'[3]2025 Mapping v3'!A:A,'[3]2025 Mapping v3'!E:E,"Error",0)</f>
        <v>Error</v>
      </c>
    </row>
    <row r="7043" spans="27:32">
      <c r="AA7043" s="18">
        <f>_xlfn.XLOOKUP(Y7043,'[2]Data Source'!A:A,'[2]Data Source'!B:B,"N/A",0)</f>
        <v>0</v>
      </c>
      <c r="AB7043" s="18">
        <f t="shared" si="29"/>
        <v>0</v>
      </c>
      <c r="AC7043" s="18" t="str">
        <f>_xlfn.XLOOKUP(L7043,'[3]2025 Mapping v3'!A:A,'[3]2025 Mapping v3'!B:B,"Error",0)</f>
        <v>Error</v>
      </c>
      <c r="AD7043" s="18" t="str">
        <f>_xlfn.XLOOKUP(L7043,'[3]2025 Mapping v3'!A:A,'[3]2025 Mapping v3'!C:C,"Error",0)</f>
        <v>Error</v>
      </c>
      <c r="AE7043" s="18" t="str">
        <f>_xlfn.XLOOKUP(L7043,'[3]2025 Mapping v3'!A:A,'[3]2025 Mapping v3'!D:D,"Error",0)</f>
        <v>Error</v>
      </c>
      <c r="AF7043" s="18" t="str">
        <f>_xlfn.XLOOKUP(L7043,'[3]2025 Mapping v3'!A:A,'[3]2025 Mapping v3'!E:E,"Error",0)</f>
        <v>Error</v>
      </c>
    </row>
    <row r="7044" spans="27:32">
      <c r="AA7044" s="18">
        <f>_xlfn.XLOOKUP(Y7044,'[2]Data Source'!A:A,'[2]Data Source'!B:B,"N/A",0)</f>
        <v>0</v>
      </c>
      <c r="AB7044" s="18">
        <f t="shared" si="29"/>
        <v>0</v>
      </c>
      <c r="AC7044" s="18" t="str">
        <f>_xlfn.XLOOKUP(L7044,'[3]2025 Mapping v3'!A:A,'[3]2025 Mapping v3'!B:B,"Error",0)</f>
        <v>Error</v>
      </c>
      <c r="AD7044" s="18" t="str">
        <f>_xlfn.XLOOKUP(L7044,'[3]2025 Mapping v3'!A:A,'[3]2025 Mapping v3'!C:C,"Error",0)</f>
        <v>Error</v>
      </c>
      <c r="AE7044" s="18" t="str">
        <f>_xlfn.XLOOKUP(L7044,'[3]2025 Mapping v3'!A:A,'[3]2025 Mapping v3'!D:D,"Error",0)</f>
        <v>Error</v>
      </c>
      <c r="AF7044" s="18" t="str">
        <f>_xlfn.XLOOKUP(L7044,'[3]2025 Mapping v3'!A:A,'[3]2025 Mapping v3'!E:E,"Error",0)</f>
        <v>Error</v>
      </c>
    </row>
    <row r="7045" spans="27:32">
      <c r="AA7045" s="18">
        <f>_xlfn.XLOOKUP(Y7045,'[2]Data Source'!A:A,'[2]Data Source'!B:B,"N/A",0)</f>
        <v>0</v>
      </c>
      <c r="AB7045" s="18">
        <f t="shared" si="29"/>
        <v>0</v>
      </c>
      <c r="AC7045" s="18" t="str">
        <f>_xlfn.XLOOKUP(L7045,'[3]2025 Mapping v3'!A:A,'[3]2025 Mapping v3'!B:B,"Error",0)</f>
        <v>Error</v>
      </c>
      <c r="AD7045" s="18" t="str">
        <f>_xlfn.XLOOKUP(L7045,'[3]2025 Mapping v3'!A:A,'[3]2025 Mapping v3'!C:C,"Error",0)</f>
        <v>Error</v>
      </c>
      <c r="AE7045" s="18" t="str">
        <f>_xlfn.XLOOKUP(L7045,'[3]2025 Mapping v3'!A:A,'[3]2025 Mapping v3'!D:D,"Error",0)</f>
        <v>Error</v>
      </c>
      <c r="AF7045" s="18" t="str">
        <f>_xlfn.XLOOKUP(L7045,'[3]2025 Mapping v3'!A:A,'[3]2025 Mapping v3'!E:E,"Error",0)</f>
        <v>Error</v>
      </c>
    </row>
    <row r="7046" spans="27:32">
      <c r="AA7046" s="18">
        <f>_xlfn.XLOOKUP(Y7046,'[2]Data Source'!A:A,'[2]Data Source'!B:B,"N/A",0)</f>
        <v>0</v>
      </c>
      <c r="AB7046" s="18">
        <f t="shared" si="29"/>
        <v>0</v>
      </c>
      <c r="AC7046" s="18" t="str">
        <f>_xlfn.XLOOKUP(L7046,'[3]2025 Mapping v3'!A:A,'[3]2025 Mapping v3'!B:B,"Error",0)</f>
        <v>Error</v>
      </c>
      <c r="AD7046" s="18" t="str">
        <f>_xlfn.XLOOKUP(L7046,'[3]2025 Mapping v3'!A:A,'[3]2025 Mapping v3'!C:C,"Error",0)</f>
        <v>Error</v>
      </c>
      <c r="AE7046" s="18" t="str">
        <f>_xlfn.XLOOKUP(L7046,'[3]2025 Mapping v3'!A:A,'[3]2025 Mapping v3'!D:D,"Error",0)</f>
        <v>Error</v>
      </c>
      <c r="AF7046" s="18" t="str">
        <f>_xlfn.XLOOKUP(L7046,'[3]2025 Mapping v3'!A:A,'[3]2025 Mapping v3'!E:E,"Error",0)</f>
        <v>Error</v>
      </c>
    </row>
    <row r="7047" spans="27:32">
      <c r="AA7047" s="18">
        <f>_xlfn.XLOOKUP(Y7047,'[2]Data Source'!A:A,'[2]Data Source'!B:B,"N/A",0)</f>
        <v>0</v>
      </c>
      <c r="AB7047" s="18">
        <f t="shared" si="29"/>
        <v>0</v>
      </c>
      <c r="AC7047" s="18" t="str">
        <f>_xlfn.XLOOKUP(L7047,'[3]2025 Mapping v3'!A:A,'[3]2025 Mapping v3'!B:B,"Error",0)</f>
        <v>Error</v>
      </c>
      <c r="AD7047" s="18" t="str">
        <f>_xlfn.XLOOKUP(L7047,'[3]2025 Mapping v3'!A:A,'[3]2025 Mapping v3'!C:C,"Error",0)</f>
        <v>Error</v>
      </c>
      <c r="AE7047" s="18" t="str">
        <f>_xlfn.XLOOKUP(L7047,'[3]2025 Mapping v3'!A:A,'[3]2025 Mapping v3'!D:D,"Error",0)</f>
        <v>Error</v>
      </c>
      <c r="AF7047" s="18" t="str">
        <f>_xlfn.XLOOKUP(L7047,'[3]2025 Mapping v3'!A:A,'[3]2025 Mapping v3'!E:E,"Error",0)</f>
        <v>Error</v>
      </c>
    </row>
    <row r="7048" spans="27:32">
      <c r="AA7048" s="18">
        <f>_xlfn.XLOOKUP(Y7048,'[2]Data Source'!A:A,'[2]Data Source'!B:B,"N/A",0)</f>
        <v>0</v>
      </c>
      <c r="AB7048" s="18">
        <f t="shared" si="29"/>
        <v>0</v>
      </c>
      <c r="AC7048" s="18" t="str">
        <f>_xlfn.XLOOKUP(L7048,'[3]2025 Mapping v3'!A:A,'[3]2025 Mapping v3'!B:B,"Error",0)</f>
        <v>Error</v>
      </c>
      <c r="AD7048" s="18" t="str">
        <f>_xlfn.XLOOKUP(L7048,'[3]2025 Mapping v3'!A:A,'[3]2025 Mapping v3'!C:C,"Error",0)</f>
        <v>Error</v>
      </c>
      <c r="AE7048" s="18" t="str">
        <f>_xlfn.XLOOKUP(L7048,'[3]2025 Mapping v3'!A:A,'[3]2025 Mapping v3'!D:D,"Error",0)</f>
        <v>Error</v>
      </c>
      <c r="AF7048" s="18" t="str">
        <f>_xlfn.XLOOKUP(L7048,'[3]2025 Mapping v3'!A:A,'[3]2025 Mapping v3'!E:E,"Error",0)</f>
        <v>Error</v>
      </c>
    </row>
    <row r="7049" spans="27:32">
      <c r="AA7049" s="18">
        <f>_xlfn.XLOOKUP(Y7049,'[2]Data Source'!A:A,'[2]Data Source'!B:B,"N/A",0)</f>
        <v>0</v>
      </c>
      <c r="AB7049" s="18">
        <f t="shared" ref="AB7049:AB7112" si="30">L7049</f>
        <v>0</v>
      </c>
      <c r="AC7049" s="18" t="str">
        <f>_xlfn.XLOOKUP(L7049,'[3]2025 Mapping v3'!A:A,'[3]2025 Mapping v3'!B:B,"Error",0)</f>
        <v>Error</v>
      </c>
      <c r="AD7049" s="18" t="str">
        <f>_xlfn.XLOOKUP(L7049,'[3]2025 Mapping v3'!A:A,'[3]2025 Mapping v3'!C:C,"Error",0)</f>
        <v>Error</v>
      </c>
      <c r="AE7049" s="18" t="str">
        <f>_xlfn.XLOOKUP(L7049,'[3]2025 Mapping v3'!A:A,'[3]2025 Mapping v3'!D:D,"Error",0)</f>
        <v>Error</v>
      </c>
      <c r="AF7049" s="18" t="str">
        <f>_xlfn.XLOOKUP(L7049,'[3]2025 Mapping v3'!A:A,'[3]2025 Mapping v3'!E:E,"Error",0)</f>
        <v>Error</v>
      </c>
    </row>
    <row r="7050" spans="27:32">
      <c r="AA7050" s="18">
        <f>_xlfn.XLOOKUP(Y7050,'[2]Data Source'!A:A,'[2]Data Source'!B:B,"N/A",0)</f>
        <v>0</v>
      </c>
      <c r="AB7050" s="18">
        <f t="shared" si="30"/>
        <v>0</v>
      </c>
      <c r="AC7050" s="18" t="str">
        <f>_xlfn.XLOOKUP(L7050,'[3]2025 Mapping v3'!A:A,'[3]2025 Mapping v3'!B:B,"Error",0)</f>
        <v>Error</v>
      </c>
      <c r="AD7050" s="18" t="str">
        <f>_xlfn.XLOOKUP(L7050,'[3]2025 Mapping v3'!A:A,'[3]2025 Mapping v3'!C:C,"Error",0)</f>
        <v>Error</v>
      </c>
      <c r="AE7050" s="18" t="str">
        <f>_xlfn.XLOOKUP(L7050,'[3]2025 Mapping v3'!A:A,'[3]2025 Mapping v3'!D:D,"Error",0)</f>
        <v>Error</v>
      </c>
      <c r="AF7050" s="18" t="str">
        <f>_xlfn.XLOOKUP(L7050,'[3]2025 Mapping v3'!A:A,'[3]2025 Mapping v3'!E:E,"Error",0)</f>
        <v>Error</v>
      </c>
    </row>
    <row r="7051" spans="27:32">
      <c r="AA7051" s="18">
        <f>_xlfn.XLOOKUP(Y7051,'[2]Data Source'!A:A,'[2]Data Source'!B:B,"N/A",0)</f>
        <v>0</v>
      </c>
      <c r="AB7051" s="18">
        <f t="shared" si="30"/>
        <v>0</v>
      </c>
      <c r="AC7051" s="18" t="str">
        <f>_xlfn.XLOOKUP(L7051,'[3]2025 Mapping v3'!A:A,'[3]2025 Mapping v3'!B:B,"Error",0)</f>
        <v>Error</v>
      </c>
      <c r="AD7051" s="18" t="str">
        <f>_xlfn.XLOOKUP(L7051,'[3]2025 Mapping v3'!A:A,'[3]2025 Mapping v3'!C:C,"Error",0)</f>
        <v>Error</v>
      </c>
      <c r="AE7051" s="18" t="str">
        <f>_xlfn.XLOOKUP(L7051,'[3]2025 Mapping v3'!A:A,'[3]2025 Mapping v3'!D:D,"Error",0)</f>
        <v>Error</v>
      </c>
      <c r="AF7051" s="18" t="str">
        <f>_xlfn.XLOOKUP(L7051,'[3]2025 Mapping v3'!A:A,'[3]2025 Mapping v3'!E:E,"Error",0)</f>
        <v>Error</v>
      </c>
    </row>
    <row r="7052" spans="27:32">
      <c r="AA7052" s="18">
        <f>_xlfn.XLOOKUP(Y7052,'[2]Data Source'!A:A,'[2]Data Source'!B:B,"N/A",0)</f>
        <v>0</v>
      </c>
      <c r="AB7052" s="18">
        <f t="shared" si="30"/>
        <v>0</v>
      </c>
      <c r="AC7052" s="18" t="str">
        <f>_xlfn.XLOOKUP(L7052,'[3]2025 Mapping v3'!A:A,'[3]2025 Mapping v3'!B:B,"Error",0)</f>
        <v>Error</v>
      </c>
      <c r="AD7052" s="18" t="str">
        <f>_xlfn.XLOOKUP(L7052,'[3]2025 Mapping v3'!A:A,'[3]2025 Mapping v3'!C:C,"Error",0)</f>
        <v>Error</v>
      </c>
      <c r="AE7052" s="18" t="str">
        <f>_xlfn.XLOOKUP(L7052,'[3]2025 Mapping v3'!A:A,'[3]2025 Mapping v3'!D:D,"Error",0)</f>
        <v>Error</v>
      </c>
      <c r="AF7052" s="18" t="str">
        <f>_xlfn.XLOOKUP(L7052,'[3]2025 Mapping v3'!A:A,'[3]2025 Mapping v3'!E:E,"Error",0)</f>
        <v>Error</v>
      </c>
    </row>
    <row r="7053" spans="27:32">
      <c r="AA7053" s="18">
        <f>_xlfn.XLOOKUP(Y7053,'[2]Data Source'!A:A,'[2]Data Source'!B:B,"N/A",0)</f>
        <v>0</v>
      </c>
      <c r="AB7053" s="18">
        <f t="shared" si="30"/>
        <v>0</v>
      </c>
      <c r="AC7053" s="18" t="str">
        <f>_xlfn.XLOOKUP(L7053,'[3]2025 Mapping v3'!A:A,'[3]2025 Mapping v3'!B:B,"Error",0)</f>
        <v>Error</v>
      </c>
      <c r="AD7053" s="18" t="str">
        <f>_xlfn.XLOOKUP(L7053,'[3]2025 Mapping v3'!A:A,'[3]2025 Mapping v3'!C:C,"Error",0)</f>
        <v>Error</v>
      </c>
      <c r="AE7053" s="18" t="str">
        <f>_xlfn.XLOOKUP(L7053,'[3]2025 Mapping v3'!A:A,'[3]2025 Mapping v3'!D:D,"Error",0)</f>
        <v>Error</v>
      </c>
      <c r="AF7053" s="18" t="str">
        <f>_xlfn.XLOOKUP(L7053,'[3]2025 Mapping v3'!A:A,'[3]2025 Mapping v3'!E:E,"Error",0)</f>
        <v>Error</v>
      </c>
    </row>
    <row r="7054" spans="27:32">
      <c r="AA7054" s="18">
        <f>_xlfn.XLOOKUP(Y7054,'[2]Data Source'!A:A,'[2]Data Source'!B:B,"N/A",0)</f>
        <v>0</v>
      </c>
      <c r="AB7054" s="18">
        <f t="shared" si="30"/>
        <v>0</v>
      </c>
      <c r="AC7054" s="18" t="str">
        <f>_xlfn.XLOOKUP(L7054,'[3]2025 Mapping v3'!A:A,'[3]2025 Mapping v3'!B:B,"Error",0)</f>
        <v>Error</v>
      </c>
      <c r="AD7054" s="18" t="str">
        <f>_xlfn.XLOOKUP(L7054,'[3]2025 Mapping v3'!A:A,'[3]2025 Mapping v3'!C:C,"Error",0)</f>
        <v>Error</v>
      </c>
      <c r="AE7054" s="18" t="str">
        <f>_xlfn.XLOOKUP(L7054,'[3]2025 Mapping v3'!A:A,'[3]2025 Mapping v3'!D:D,"Error",0)</f>
        <v>Error</v>
      </c>
      <c r="AF7054" s="18" t="str">
        <f>_xlfn.XLOOKUP(L7054,'[3]2025 Mapping v3'!A:A,'[3]2025 Mapping v3'!E:E,"Error",0)</f>
        <v>Error</v>
      </c>
    </row>
    <row r="7055" spans="27:32">
      <c r="AA7055" s="18">
        <f>_xlfn.XLOOKUP(Y7055,'[2]Data Source'!A:A,'[2]Data Source'!B:B,"N/A",0)</f>
        <v>0</v>
      </c>
      <c r="AB7055" s="18">
        <f t="shared" si="30"/>
        <v>0</v>
      </c>
      <c r="AC7055" s="18" t="str">
        <f>_xlfn.XLOOKUP(L7055,'[3]2025 Mapping v3'!A:A,'[3]2025 Mapping v3'!B:B,"Error",0)</f>
        <v>Error</v>
      </c>
      <c r="AD7055" s="18" t="str">
        <f>_xlfn.XLOOKUP(L7055,'[3]2025 Mapping v3'!A:A,'[3]2025 Mapping v3'!C:C,"Error",0)</f>
        <v>Error</v>
      </c>
      <c r="AE7055" s="18" t="str">
        <f>_xlfn.XLOOKUP(L7055,'[3]2025 Mapping v3'!A:A,'[3]2025 Mapping v3'!D:D,"Error",0)</f>
        <v>Error</v>
      </c>
      <c r="AF7055" s="18" t="str">
        <f>_xlfn.XLOOKUP(L7055,'[3]2025 Mapping v3'!A:A,'[3]2025 Mapping v3'!E:E,"Error",0)</f>
        <v>Error</v>
      </c>
    </row>
    <row r="7056" spans="27:32">
      <c r="AA7056" s="18">
        <f>_xlfn.XLOOKUP(Y7056,'[2]Data Source'!A:A,'[2]Data Source'!B:B,"N/A",0)</f>
        <v>0</v>
      </c>
      <c r="AB7056" s="18">
        <f t="shared" si="30"/>
        <v>0</v>
      </c>
      <c r="AC7056" s="18" t="str">
        <f>_xlfn.XLOOKUP(L7056,'[3]2025 Mapping v3'!A:A,'[3]2025 Mapping v3'!B:B,"Error",0)</f>
        <v>Error</v>
      </c>
      <c r="AD7056" s="18" t="str">
        <f>_xlfn.XLOOKUP(L7056,'[3]2025 Mapping v3'!A:A,'[3]2025 Mapping v3'!C:C,"Error",0)</f>
        <v>Error</v>
      </c>
      <c r="AE7056" s="18" t="str">
        <f>_xlfn.XLOOKUP(L7056,'[3]2025 Mapping v3'!A:A,'[3]2025 Mapping v3'!D:D,"Error",0)</f>
        <v>Error</v>
      </c>
      <c r="AF7056" s="18" t="str">
        <f>_xlfn.XLOOKUP(L7056,'[3]2025 Mapping v3'!A:A,'[3]2025 Mapping v3'!E:E,"Error",0)</f>
        <v>Error</v>
      </c>
    </row>
    <row r="7057" spans="27:32">
      <c r="AA7057" s="18">
        <f>_xlfn.XLOOKUP(Y7057,'[2]Data Source'!A:A,'[2]Data Source'!B:B,"N/A",0)</f>
        <v>0</v>
      </c>
      <c r="AB7057" s="18">
        <f t="shared" si="30"/>
        <v>0</v>
      </c>
      <c r="AC7057" s="18" t="str">
        <f>_xlfn.XLOOKUP(L7057,'[3]2025 Mapping v3'!A:A,'[3]2025 Mapping v3'!B:B,"Error",0)</f>
        <v>Error</v>
      </c>
      <c r="AD7057" s="18" t="str">
        <f>_xlfn.XLOOKUP(L7057,'[3]2025 Mapping v3'!A:A,'[3]2025 Mapping v3'!C:C,"Error",0)</f>
        <v>Error</v>
      </c>
      <c r="AE7057" s="18" t="str">
        <f>_xlfn.XLOOKUP(L7057,'[3]2025 Mapping v3'!A:A,'[3]2025 Mapping v3'!D:D,"Error",0)</f>
        <v>Error</v>
      </c>
      <c r="AF7057" s="18" t="str">
        <f>_xlfn.XLOOKUP(L7057,'[3]2025 Mapping v3'!A:A,'[3]2025 Mapping v3'!E:E,"Error",0)</f>
        <v>Error</v>
      </c>
    </row>
    <row r="7058" spans="27:32">
      <c r="AA7058" s="18">
        <f>_xlfn.XLOOKUP(Y7058,'[2]Data Source'!A:A,'[2]Data Source'!B:B,"N/A",0)</f>
        <v>0</v>
      </c>
      <c r="AB7058" s="18">
        <f t="shared" si="30"/>
        <v>0</v>
      </c>
      <c r="AC7058" s="18" t="str">
        <f>_xlfn.XLOOKUP(L7058,'[3]2025 Mapping v3'!A:A,'[3]2025 Mapping v3'!B:B,"Error",0)</f>
        <v>Error</v>
      </c>
      <c r="AD7058" s="18" t="str">
        <f>_xlfn.XLOOKUP(L7058,'[3]2025 Mapping v3'!A:A,'[3]2025 Mapping v3'!C:C,"Error",0)</f>
        <v>Error</v>
      </c>
      <c r="AE7058" s="18" t="str">
        <f>_xlfn.XLOOKUP(L7058,'[3]2025 Mapping v3'!A:A,'[3]2025 Mapping v3'!D:D,"Error",0)</f>
        <v>Error</v>
      </c>
      <c r="AF7058" s="18" t="str">
        <f>_xlfn.XLOOKUP(L7058,'[3]2025 Mapping v3'!A:A,'[3]2025 Mapping v3'!E:E,"Error",0)</f>
        <v>Error</v>
      </c>
    </row>
    <row r="7059" spans="27:32">
      <c r="AA7059" s="18">
        <f>_xlfn.XLOOKUP(Y7059,'[2]Data Source'!A:A,'[2]Data Source'!B:B,"N/A",0)</f>
        <v>0</v>
      </c>
      <c r="AB7059" s="18">
        <f t="shared" si="30"/>
        <v>0</v>
      </c>
      <c r="AC7059" s="18" t="str">
        <f>_xlfn.XLOOKUP(L7059,'[3]2025 Mapping v3'!A:A,'[3]2025 Mapping v3'!B:B,"Error",0)</f>
        <v>Error</v>
      </c>
      <c r="AD7059" s="18" t="str">
        <f>_xlfn.XLOOKUP(L7059,'[3]2025 Mapping v3'!A:A,'[3]2025 Mapping v3'!C:C,"Error",0)</f>
        <v>Error</v>
      </c>
      <c r="AE7059" s="18" t="str">
        <f>_xlfn.XLOOKUP(L7059,'[3]2025 Mapping v3'!A:A,'[3]2025 Mapping v3'!D:D,"Error",0)</f>
        <v>Error</v>
      </c>
      <c r="AF7059" s="18" t="str">
        <f>_xlfn.XLOOKUP(L7059,'[3]2025 Mapping v3'!A:A,'[3]2025 Mapping v3'!E:E,"Error",0)</f>
        <v>Error</v>
      </c>
    </row>
    <row r="7060" spans="27:32">
      <c r="AA7060" s="18">
        <f>_xlfn.XLOOKUP(Y7060,'[2]Data Source'!A:A,'[2]Data Source'!B:B,"N/A",0)</f>
        <v>0</v>
      </c>
      <c r="AB7060" s="18">
        <f t="shared" si="30"/>
        <v>0</v>
      </c>
      <c r="AC7060" s="18" t="str">
        <f>_xlfn.XLOOKUP(L7060,'[3]2025 Mapping v3'!A:A,'[3]2025 Mapping v3'!B:B,"Error",0)</f>
        <v>Error</v>
      </c>
      <c r="AD7060" s="18" t="str">
        <f>_xlfn.XLOOKUP(L7060,'[3]2025 Mapping v3'!A:A,'[3]2025 Mapping v3'!C:C,"Error",0)</f>
        <v>Error</v>
      </c>
      <c r="AE7060" s="18" t="str">
        <f>_xlfn.XLOOKUP(L7060,'[3]2025 Mapping v3'!A:A,'[3]2025 Mapping v3'!D:D,"Error",0)</f>
        <v>Error</v>
      </c>
      <c r="AF7060" s="18" t="str">
        <f>_xlfn.XLOOKUP(L7060,'[3]2025 Mapping v3'!A:A,'[3]2025 Mapping v3'!E:E,"Error",0)</f>
        <v>Error</v>
      </c>
    </row>
    <row r="7061" spans="27:32">
      <c r="AA7061" s="18">
        <f>_xlfn.XLOOKUP(Y7061,'[2]Data Source'!A:A,'[2]Data Source'!B:B,"N/A",0)</f>
        <v>0</v>
      </c>
      <c r="AB7061" s="18">
        <f t="shared" si="30"/>
        <v>0</v>
      </c>
      <c r="AC7061" s="18" t="str">
        <f>_xlfn.XLOOKUP(L7061,'[3]2025 Mapping v3'!A:A,'[3]2025 Mapping v3'!B:B,"Error",0)</f>
        <v>Error</v>
      </c>
      <c r="AD7061" s="18" t="str">
        <f>_xlfn.XLOOKUP(L7061,'[3]2025 Mapping v3'!A:A,'[3]2025 Mapping v3'!C:C,"Error",0)</f>
        <v>Error</v>
      </c>
      <c r="AE7061" s="18" t="str">
        <f>_xlfn.XLOOKUP(L7061,'[3]2025 Mapping v3'!A:A,'[3]2025 Mapping v3'!D:D,"Error",0)</f>
        <v>Error</v>
      </c>
      <c r="AF7061" s="18" t="str">
        <f>_xlfn.XLOOKUP(L7061,'[3]2025 Mapping v3'!A:A,'[3]2025 Mapping v3'!E:E,"Error",0)</f>
        <v>Error</v>
      </c>
    </row>
    <row r="7062" spans="27:32">
      <c r="AA7062" s="18">
        <f>_xlfn.XLOOKUP(Y7062,'[2]Data Source'!A:A,'[2]Data Source'!B:B,"N/A",0)</f>
        <v>0</v>
      </c>
      <c r="AB7062" s="18">
        <f t="shared" si="30"/>
        <v>0</v>
      </c>
      <c r="AC7062" s="18" t="str">
        <f>_xlfn.XLOOKUP(L7062,'[3]2025 Mapping v3'!A:A,'[3]2025 Mapping v3'!B:B,"Error",0)</f>
        <v>Error</v>
      </c>
      <c r="AD7062" s="18" t="str">
        <f>_xlfn.XLOOKUP(L7062,'[3]2025 Mapping v3'!A:A,'[3]2025 Mapping v3'!C:C,"Error",0)</f>
        <v>Error</v>
      </c>
      <c r="AE7062" s="18" t="str">
        <f>_xlfn.XLOOKUP(L7062,'[3]2025 Mapping v3'!A:A,'[3]2025 Mapping v3'!D:D,"Error",0)</f>
        <v>Error</v>
      </c>
      <c r="AF7062" s="18" t="str">
        <f>_xlfn.XLOOKUP(L7062,'[3]2025 Mapping v3'!A:A,'[3]2025 Mapping v3'!E:E,"Error",0)</f>
        <v>Error</v>
      </c>
    </row>
    <row r="7063" spans="27:32">
      <c r="AA7063" s="18">
        <f>_xlfn.XLOOKUP(Y7063,'[2]Data Source'!A:A,'[2]Data Source'!B:B,"N/A",0)</f>
        <v>0</v>
      </c>
      <c r="AB7063" s="18">
        <f t="shared" si="30"/>
        <v>0</v>
      </c>
      <c r="AC7063" s="18" t="str">
        <f>_xlfn.XLOOKUP(L7063,'[3]2025 Mapping v3'!A:A,'[3]2025 Mapping v3'!B:B,"Error",0)</f>
        <v>Error</v>
      </c>
      <c r="AD7063" s="18" t="str">
        <f>_xlfn.XLOOKUP(L7063,'[3]2025 Mapping v3'!A:A,'[3]2025 Mapping v3'!C:C,"Error",0)</f>
        <v>Error</v>
      </c>
      <c r="AE7063" s="18" t="str">
        <f>_xlfn.XLOOKUP(L7063,'[3]2025 Mapping v3'!A:A,'[3]2025 Mapping v3'!D:D,"Error",0)</f>
        <v>Error</v>
      </c>
      <c r="AF7063" s="18" t="str">
        <f>_xlfn.XLOOKUP(L7063,'[3]2025 Mapping v3'!A:A,'[3]2025 Mapping v3'!E:E,"Error",0)</f>
        <v>Error</v>
      </c>
    </row>
    <row r="7064" spans="27:32">
      <c r="AA7064" s="18">
        <f>_xlfn.XLOOKUP(Y7064,'[2]Data Source'!A:A,'[2]Data Source'!B:B,"N/A",0)</f>
        <v>0</v>
      </c>
      <c r="AB7064" s="18">
        <f t="shared" si="30"/>
        <v>0</v>
      </c>
      <c r="AC7064" s="18" t="str">
        <f>_xlfn.XLOOKUP(L7064,'[3]2025 Mapping v3'!A:A,'[3]2025 Mapping v3'!B:B,"Error",0)</f>
        <v>Error</v>
      </c>
      <c r="AD7064" s="18" t="str">
        <f>_xlfn.XLOOKUP(L7064,'[3]2025 Mapping v3'!A:A,'[3]2025 Mapping v3'!C:C,"Error",0)</f>
        <v>Error</v>
      </c>
      <c r="AE7064" s="18" t="str">
        <f>_xlfn.XLOOKUP(L7064,'[3]2025 Mapping v3'!A:A,'[3]2025 Mapping v3'!D:D,"Error",0)</f>
        <v>Error</v>
      </c>
      <c r="AF7064" s="18" t="str">
        <f>_xlfn.XLOOKUP(L7064,'[3]2025 Mapping v3'!A:A,'[3]2025 Mapping v3'!E:E,"Error",0)</f>
        <v>Error</v>
      </c>
    </row>
    <row r="7065" spans="27:32">
      <c r="AA7065" s="18">
        <f>_xlfn.XLOOKUP(Y7065,'[2]Data Source'!A:A,'[2]Data Source'!B:B,"N/A",0)</f>
        <v>0</v>
      </c>
      <c r="AB7065" s="18">
        <f t="shared" si="30"/>
        <v>0</v>
      </c>
      <c r="AC7065" s="18" t="str">
        <f>_xlfn.XLOOKUP(L7065,'[3]2025 Mapping v3'!A:A,'[3]2025 Mapping v3'!B:B,"Error",0)</f>
        <v>Error</v>
      </c>
      <c r="AD7065" s="18" t="str">
        <f>_xlfn.XLOOKUP(L7065,'[3]2025 Mapping v3'!A:A,'[3]2025 Mapping v3'!C:C,"Error",0)</f>
        <v>Error</v>
      </c>
      <c r="AE7065" s="18" t="str">
        <f>_xlfn.XLOOKUP(L7065,'[3]2025 Mapping v3'!A:A,'[3]2025 Mapping v3'!D:D,"Error",0)</f>
        <v>Error</v>
      </c>
      <c r="AF7065" s="18" t="str">
        <f>_xlfn.XLOOKUP(L7065,'[3]2025 Mapping v3'!A:A,'[3]2025 Mapping v3'!E:E,"Error",0)</f>
        <v>Error</v>
      </c>
    </row>
    <row r="7066" spans="27:32">
      <c r="AA7066" s="18">
        <f>_xlfn.XLOOKUP(Y7066,'[2]Data Source'!A:A,'[2]Data Source'!B:B,"N/A",0)</f>
        <v>0</v>
      </c>
      <c r="AB7066" s="18">
        <f t="shared" si="30"/>
        <v>0</v>
      </c>
      <c r="AC7066" s="18" t="str">
        <f>_xlfn.XLOOKUP(L7066,'[3]2025 Mapping v3'!A:A,'[3]2025 Mapping v3'!B:B,"Error",0)</f>
        <v>Error</v>
      </c>
      <c r="AD7066" s="18" t="str">
        <f>_xlfn.XLOOKUP(L7066,'[3]2025 Mapping v3'!A:A,'[3]2025 Mapping v3'!C:C,"Error",0)</f>
        <v>Error</v>
      </c>
      <c r="AE7066" s="18" t="str">
        <f>_xlfn.XLOOKUP(L7066,'[3]2025 Mapping v3'!A:A,'[3]2025 Mapping v3'!D:D,"Error",0)</f>
        <v>Error</v>
      </c>
      <c r="AF7066" s="18" t="str">
        <f>_xlfn.XLOOKUP(L7066,'[3]2025 Mapping v3'!A:A,'[3]2025 Mapping v3'!E:E,"Error",0)</f>
        <v>Error</v>
      </c>
    </row>
    <row r="7067" spans="27:32">
      <c r="AA7067" s="18">
        <f>_xlfn.XLOOKUP(Y7067,'[2]Data Source'!A:A,'[2]Data Source'!B:B,"N/A",0)</f>
        <v>0</v>
      </c>
      <c r="AB7067" s="18">
        <f t="shared" si="30"/>
        <v>0</v>
      </c>
      <c r="AC7067" s="18" t="str">
        <f>_xlfn.XLOOKUP(L7067,'[3]2025 Mapping v3'!A:A,'[3]2025 Mapping v3'!B:B,"Error",0)</f>
        <v>Error</v>
      </c>
      <c r="AD7067" s="18" t="str">
        <f>_xlfn.XLOOKUP(L7067,'[3]2025 Mapping v3'!A:A,'[3]2025 Mapping v3'!C:C,"Error",0)</f>
        <v>Error</v>
      </c>
      <c r="AE7067" s="18" t="str">
        <f>_xlfn.XLOOKUP(L7067,'[3]2025 Mapping v3'!A:A,'[3]2025 Mapping v3'!D:D,"Error",0)</f>
        <v>Error</v>
      </c>
      <c r="AF7067" s="18" t="str">
        <f>_xlfn.XLOOKUP(L7067,'[3]2025 Mapping v3'!A:A,'[3]2025 Mapping v3'!E:E,"Error",0)</f>
        <v>Error</v>
      </c>
    </row>
    <row r="7068" spans="27:32">
      <c r="AA7068" s="18">
        <f>_xlfn.XLOOKUP(Y7068,'[2]Data Source'!A:A,'[2]Data Source'!B:B,"N/A",0)</f>
        <v>0</v>
      </c>
      <c r="AB7068" s="18">
        <f t="shared" si="30"/>
        <v>0</v>
      </c>
      <c r="AC7068" s="18" t="str">
        <f>_xlfn.XLOOKUP(L7068,'[3]2025 Mapping v3'!A:A,'[3]2025 Mapping v3'!B:B,"Error",0)</f>
        <v>Error</v>
      </c>
      <c r="AD7068" s="18" t="str">
        <f>_xlfn.XLOOKUP(L7068,'[3]2025 Mapping v3'!A:A,'[3]2025 Mapping v3'!C:C,"Error",0)</f>
        <v>Error</v>
      </c>
      <c r="AE7068" s="18" t="str">
        <f>_xlfn.XLOOKUP(L7068,'[3]2025 Mapping v3'!A:A,'[3]2025 Mapping v3'!D:D,"Error",0)</f>
        <v>Error</v>
      </c>
      <c r="AF7068" s="18" t="str">
        <f>_xlfn.XLOOKUP(L7068,'[3]2025 Mapping v3'!A:A,'[3]2025 Mapping v3'!E:E,"Error",0)</f>
        <v>Error</v>
      </c>
    </row>
    <row r="7069" spans="27:32">
      <c r="AA7069" s="18">
        <f>_xlfn.XLOOKUP(Y7069,'[2]Data Source'!A:A,'[2]Data Source'!B:B,"N/A",0)</f>
        <v>0</v>
      </c>
      <c r="AB7069" s="18">
        <f t="shared" si="30"/>
        <v>0</v>
      </c>
      <c r="AC7069" s="18" t="str">
        <f>_xlfn.XLOOKUP(L7069,'[3]2025 Mapping v3'!A:A,'[3]2025 Mapping v3'!B:B,"Error",0)</f>
        <v>Error</v>
      </c>
      <c r="AD7069" s="18" t="str">
        <f>_xlfn.XLOOKUP(L7069,'[3]2025 Mapping v3'!A:A,'[3]2025 Mapping v3'!C:C,"Error",0)</f>
        <v>Error</v>
      </c>
      <c r="AE7069" s="18" t="str">
        <f>_xlfn.XLOOKUP(L7069,'[3]2025 Mapping v3'!A:A,'[3]2025 Mapping v3'!D:D,"Error",0)</f>
        <v>Error</v>
      </c>
      <c r="AF7069" s="18" t="str">
        <f>_xlfn.XLOOKUP(L7069,'[3]2025 Mapping v3'!A:A,'[3]2025 Mapping v3'!E:E,"Error",0)</f>
        <v>Error</v>
      </c>
    </row>
    <row r="7070" spans="27:32">
      <c r="AA7070" s="18">
        <f>_xlfn.XLOOKUP(Y7070,'[2]Data Source'!A:A,'[2]Data Source'!B:B,"N/A",0)</f>
        <v>0</v>
      </c>
      <c r="AB7070" s="18">
        <f t="shared" si="30"/>
        <v>0</v>
      </c>
      <c r="AC7070" s="18" t="str">
        <f>_xlfn.XLOOKUP(L7070,'[3]2025 Mapping v3'!A:A,'[3]2025 Mapping v3'!B:B,"Error",0)</f>
        <v>Error</v>
      </c>
      <c r="AD7070" s="18" t="str">
        <f>_xlfn.XLOOKUP(L7070,'[3]2025 Mapping v3'!A:A,'[3]2025 Mapping v3'!C:C,"Error",0)</f>
        <v>Error</v>
      </c>
      <c r="AE7070" s="18" t="str">
        <f>_xlfn.XLOOKUP(L7070,'[3]2025 Mapping v3'!A:A,'[3]2025 Mapping v3'!D:D,"Error",0)</f>
        <v>Error</v>
      </c>
      <c r="AF7070" s="18" t="str">
        <f>_xlfn.XLOOKUP(L7070,'[3]2025 Mapping v3'!A:A,'[3]2025 Mapping v3'!E:E,"Error",0)</f>
        <v>Error</v>
      </c>
    </row>
    <row r="7071" spans="27:32">
      <c r="AA7071" s="18">
        <f>_xlfn.XLOOKUP(Y7071,'[2]Data Source'!A:A,'[2]Data Source'!B:B,"N/A",0)</f>
        <v>0</v>
      </c>
      <c r="AB7071" s="18">
        <f t="shared" si="30"/>
        <v>0</v>
      </c>
      <c r="AC7071" s="18" t="str">
        <f>_xlfn.XLOOKUP(L7071,'[3]2025 Mapping v3'!A:A,'[3]2025 Mapping v3'!B:B,"Error",0)</f>
        <v>Error</v>
      </c>
      <c r="AD7071" s="18" t="str">
        <f>_xlfn.XLOOKUP(L7071,'[3]2025 Mapping v3'!A:A,'[3]2025 Mapping v3'!C:C,"Error",0)</f>
        <v>Error</v>
      </c>
      <c r="AE7071" s="18" t="str">
        <f>_xlfn.XLOOKUP(L7071,'[3]2025 Mapping v3'!A:A,'[3]2025 Mapping v3'!D:D,"Error",0)</f>
        <v>Error</v>
      </c>
      <c r="AF7071" s="18" t="str">
        <f>_xlfn.XLOOKUP(L7071,'[3]2025 Mapping v3'!A:A,'[3]2025 Mapping v3'!E:E,"Error",0)</f>
        <v>Error</v>
      </c>
    </row>
    <row r="7072" spans="27:32">
      <c r="AA7072" s="18">
        <f>_xlfn.XLOOKUP(Y7072,'[2]Data Source'!A:A,'[2]Data Source'!B:B,"N/A",0)</f>
        <v>0</v>
      </c>
      <c r="AB7072" s="18">
        <f t="shared" si="30"/>
        <v>0</v>
      </c>
      <c r="AC7072" s="18" t="str">
        <f>_xlfn.XLOOKUP(L7072,'[3]2025 Mapping v3'!A:A,'[3]2025 Mapping v3'!B:B,"Error",0)</f>
        <v>Error</v>
      </c>
      <c r="AD7072" s="18" t="str">
        <f>_xlfn.XLOOKUP(L7072,'[3]2025 Mapping v3'!A:A,'[3]2025 Mapping v3'!C:C,"Error",0)</f>
        <v>Error</v>
      </c>
      <c r="AE7072" s="18" t="str">
        <f>_xlfn.XLOOKUP(L7072,'[3]2025 Mapping v3'!A:A,'[3]2025 Mapping v3'!D:D,"Error",0)</f>
        <v>Error</v>
      </c>
      <c r="AF7072" s="18" t="str">
        <f>_xlfn.XLOOKUP(L7072,'[3]2025 Mapping v3'!A:A,'[3]2025 Mapping v3'!E:E,"Error",0)</f>
        <v>Error</v>
      </c>
    </row>
    <row r="7073" spans="27:32">
      <c r="AA7073" s="18">
        <f>_xlfn.XLOOKUP(Y7073,'[2]Data Source'!A:A,'[2]Data Source'!B:B,"N/A",0)</f>
        <v>0</v>
      </c>
      <c r="AB7073" s="18">
        <f t="shared" si="30"/>
        <v>0</v>
      </c>
      <c r="AC7073" s="18" t="str">
        <f>_xlfn.XLOOKUP(L7073,'[3]2025 Mapping v3'!A:A,'[3]2025 Mapping v3'!B:B,"Error",0)</f>
        <v>Error</v>
      </c>
      <c r="AD7073" s="18" t="str">
        <f>_xlfn.XLOOKUP(L7073,'[3]2025 Mapping v3'!A:A,'[3]2025 Mapping v3'!C:C,"Error",0)</f>
        <v>Error</v>
      </c>
      <c r="AE7073" s="18" t="str">
        <f>_xlfn.XLOOKUP(L7073,'[3]2025 Mapping v3'!A:A,'[3]2025 Mapping v3'!D:D,"Error",0)</f>
        <v>Error</v>
      </c>
      <c r="AF7073" s="18" t="str">
        <f>_xlfn.XLOOKUP(L7073,'[3]2025 Mapping v3'!A:A,'[3]2025 Mapping v3'!E:E,"Error",0)</f>
        <v>Error</v>
      </c>
    </row>
    <row r="7074" spans="27:32">
      <c r="AA7074" s="18">
        <f>_xlfn.XLOOKUP(Y7074,'[2]Data Source'!A:A,'[2]Data Source'!B:B,"N/A",0)</f>
        <v>0</v>
      </c>
      <c r="AB7074" s="18">
        <f t="shared" si="30"/>
        <v>0</v>
      </c>
      <c r="AC7074" s="18" t="str">
        <f>_xlfn.XLOOKUP(L7074,'[3]2025 Mapping v3'!A:A,'[3]2025 Mapping v3'!B:B,"Error",0)</f>
        <v>Error</v>
      </c>
      <c r="AD7074" s="18" t="str">
        <f>_xlfn.XLOOKUP(L7074,'[3]2025 Mapping v3'!A:A,'[3]2025 Mapping v3'!C:C,"Error",0)</f>
        <v>Error</v>
      </c>
      <c r="AE7074" s="18" t="str">
        <f>_xlfn.XLOOKUP(L7074,'[3]2025 Mapping v3'!A:A,'[3]2025 Mapping v3'!D:D,"Error",0)</f>
        <v>Error</v>
      </c>
      <c r="AF7074" s="18" t="str">
        <f>_xlfn.XLOOKUP(L7074,'[3]2025 Mapping v3'!A:A,'[3]2025 Mapping v3'!E:E,"Error",0)</f>
        <v>Error</v>
      </c>
    </row>
    <row r="7075" spans="27:32">
      <c r="AA7075" s="18">
        <f>_xlfn.XLOOKUP(Y7075,'[2]Data Source'!A:A,'[2]Data Source'!B:B,"N/A",0)</f>
        <v>0</v>
      </c>
      <c r="AB7075" s="18">
        <f t="shared" si="30"/>
        <v>0</v>
      </c>
      <c r="AC7075" s="18" t="str">
        <f>_xlfn.XLOOKUP(L7075,'[3]2025 Mapping v3'!A:A,'[3]2025 Mapping v3'!B:B,"Error",0)</f>
        <v>Error</v>
      </c>
      <c r="AD7075" s="18" t="str">
        <f>_xlfn.XLOOKUP(L7075,'[3]2025 Mapping v3'!A:A,'[3]2025 Mapping v3'!C:C,"Error",0)</f>
        <v>Error</v>
      </c>
      <c r="AE7075" s="18" t="str">
        <f>_xlfn.XLOOKUP(L7075,'[3]2025 Mapping v3'!A:A,'[3]2025 Mapping v3'!D:D,"Error",0)</f>
        <v>Error</v>
      </c>
      <c r="AF7075" s="18" t="str">
        <f>_xlfn.XLOOKUP(L7075,'[3]2025 Mapping v3'!A:A,'[3]2025 Mapping v3'!E:E,"Error",0)</f>
        <v>Error</v>
      </c>
    </row>
    <row r="7076" spans="27:32">
      <c r="AA7076" s="18">
        <f>_xlfn.XLOOKUP(Y7076,'[2]Data Source'!A:A,'[2]Data Source'!B:B,"N/A",0)</f>
        <v>0</v>
      </c>
      <c r="AB7076" s="18">
        <f t="shared" si="30"/>
        <v>0</v>
      </c>
      <c r="AC7076" s="18" t="str">
        <f>_xlfn.XLOOKUP(L7076,'[3]2025 Mapping v3'!A:A,'[3]2025 Mapping v3'!B:B,"Error",0)</f>
        <v>Error</v>
      </c>
      <c r="AD7076" s="18" t="str">
        <f>_xlfn.XLOOKUP(L7076,'[3]2025 Mapping v3'!A:A,'[3]2025 Mapping v3'!C:C,"Error",0)</f>
        <v>Error</v>
      </c>
      <c r="AE7076" s="18" t="str">
        <f>_xlfn.XLOOKUP(L7076,'[3]2025 Mapping v3'!A:A,'[3]2025 Mapping v3'!D:D,"Error",0)</f>
        <v>Error</v>
      </c>
      <c r="AF7076" s="18" t="str">
        <f>_xlfn.XLOOKUP(L7076,'[3]2025 Mapping v3'!A:A,'[3]2025 Mapping v3'!E:E,"Error",0)</f>
        <v>Error</v>
      </c>
    </row>
    <row r="7077" spans="27:32">
      <c r="AA7077" s="18">
        <f>_xlfn.XLOOKUP(Y7077,'[2]Data Source'!A:A,'[2]Data Source'!B:B,"N/A",0)</f>
        <v>0</v>
      </c>
      <c r="AB7077" s="18">
        <f t="shared" si="30"/>
        <v>0</v>
      </c>
      <c r="AC7077" s="18" t="str">
        <f>_xlfn.XLOOKUP(L7077,'[3]2025 Mapping v3'!A:A,'[3]2025 Mapping v3'!B:B,"Error",0)</f>
        <v>Error</v>
      </c>
      <c r="AD7077" s="18" t="str">
        <f>_xlfn.XLOOKUP(L7077,'[3]2025 Mapping v3'!A:A,'[3]2025 Mapping v3'!C:C,"Error",0)</f>
        <v>Error</v>
      </c>
      <c r="AE7077" s="18" t="str">
        <f>_xlfn.XLOOKUP(L7077,'[3]2025 Mapping v3'!A:A,'[3]2025 Mapping v3'!D:D,"Error",0)</f>
        <v>Error</v>
      </c>
      <c r="AF7077" s="18" t="str">
        <f>_xlfn.XLOOKUP(L7077,'[3]2025 Mapping v3'!A:A,'[3]2025 Mapping v3'!E:E,"Error",0)</f>
        <v>Error</v>
      </c>
    </row>
    <row r="7078" spans="27:32">
      <c r="AA7078" s="18">
        <f>_xlfn.XLOOKUP(Y7078,'[2]Data Source'!A:A,'[2]Data Source'!B:B,"N/A",0)</f>
        <v>0</v>
      </c>
      <c r="AB7078" s="18">
        <f t="shared" si="30"/>
        <v>0</v>
      </c>
      <c r="AC7078" s="18" t="str">
        <f>_xlfn.XLOOKUP(L7078,'[3]2025 Mapping v3'!A:A,'[3]2025 Mapping v3'!B:B,"Error",0)</f>
        <v>Error</v>
      </c>
      <c r="AD7078" s="18" t="str">
        <f>_xlfn.XLOOKUP(L7078,'[3]2025 Mapping v3'!A:A,'[3]2025 Mapping v3'!C:C,"Error",0)</f>
        <v>Error</v>
      </c>
      <c r="AE7078" s="18" t="str">
        <f>_xlfn.XLOOKUP(L7078,'[3]2025 Mapping v3'!A:A,'[3]2025 Mapping v3'!D:D,"Error",0)</f>
        <v>Error</v>
      </c>
      <c r="AF7078" s="18" t="str">
        <f>_xlfn.XLOOKUP(L7078,'[3]2025 Mapping v3'!A:A,'[3]2025 Mapping v3'!E:E,"Error",0)</f>
        <v>Error</v>
      </c>
    </row>
    <row r="7079" spans="27:32">
      <c r="AA7079" s="18">
        <f>_xlfn.XLOOKUP(Y7079,'[2]Data Source'!A:A,'[2]Data Source'!B:B,"N/A",0)</f>
        <v>0</v>
      </c>
      <c r="AB7079" s="18">
        <f t="shared" si="30"/>
        <v>0</v>
      </c>
      <c r="AC7079" s="18" t="str">
        <f>_xlfn.XLOOKUP(L7079,'[3]2025 Mapping v3'!A:A,'[3]2025 Mapping v3'!B:B,"Error",0)</f>
        <v>Error</v>
      </c>
      <c r="AD7079" s="18" t="str">
        <f>_xlfn.XLOOKUP(L7079,'[3]2025 Mapping v3'!A:A,'[3]2025 Mapping v3'!C:C,"Error",0)</f>
        <v>Error</v>
      </c>
      <c r="AE7079" s="18" t="str">
        <f>_xlfn.XLOOKUP(L7079,'[3]2025 Mapping v3'!A:A,'[3]2025 Mapping v3'!D:D,"Error",0)</f>
        <v>Error</v>
      </c>
      <c r="AF7079" s="18" t="str">
        <f>_xlfn.XLOOKUP(L7079,'[3]2025 Mapping v3'!A:A,'[3]2025 Mapping v3'!E:E,"Error",0)</f>
        <v>Error</v>
      </c>
    </row>
    <row r="7080" spans="27:32">
      <c r="AA7080" s="18">
        <f>_xlfn.XLOOKUP(Y7080,'[2]Data Source'!A:A,'[2]Data Source'!B:B,"N/A",0)</f>
        <v>0</v>
      </c>
      <c r="AB7080" s="18">
        <f t="shared" si="30"/>
        <v>0</v>
      </c>
      <c r="AC7080" s="18" t="str">
        <f>_xlfn.XLOOKUP(L7080,'[3]2025 Mapping v3'!A:A,'[3]2025 Mapping v3'!B:B,"Error",0)</f>
        <v>Error</v>
      </c>
      <c r="AD7080" s="18" t="str">
        <f>_xlfn.XLOOKUP(L7080,'[3]2025 Mapping v3'!A:A,'[3]2025 Mapping v3'!C:C,"Error",0)</f>
        <v>Error</v>
      </c>
      <c r="AE7080" s="18" t="str">
        <f>_xlfn.XLOOKUP(L7080,'[3]2025 Mapping v3'!A:A,'[3]2025 Mapping v3'!D:D,"Error",0)</f>
        <v>Error</v>
      </c>
      <c r="AF7080" s="18" t="str">
        <f>_xlfn.XLOOKUP(L7080,'[3]2025 Mapping v3'!A:A,'[3]2025 Mapping v3'!E:E,"Error",0)</f>
        <v>Error</v>
      </c>
    </row>
    <row r="7081" spans="27:32">
      <c r="AA7081" s="18">
        <f>_xlfn.XLOOKUP(Y7081,'[2]Data Source'!A:A,'[2]Data Source'!B:B,"N/A",0)</f>
        <v>0</v>
      </c>
      <c r="AB7081" s="18">
        <f t="shared" si="30"/>
        <v>0</v>
      </c>
      <c r="AC7081" s="18" t="str">
        <f>_xlfn.XLOOKUP(L7081,'[3]2025 Mapping v3'!A:A,'[3]2025 Mapping v3'!B:B,"Error",0)</f>
        <v>Error</v>
      </c>
      <c r="AD7081" s="18" t="str">
        <f>_xlfn.XLOOKUP(L7081,'[3]2025 Mapping v3'!A:A,'[3]2025 Mapping v3'!C:C,"Error",0)</f>
        <v>Error</v>
      </c>
      <c r="AE7081" s="18" t="str">
        <f>_xlfn.XLOOKUP(L7081,'[3]2025 Mapping v3'!A:A,'[3]2025 Mapping v3'!D:D,"Error",0)</f>
        <v>Error</v>
      </c>
      <c r="AF7081" s="18" t="str">
        <f>_xlfn.XLOOKUP(L7081,'[3]2025 Mapping v3'!A:A,'[3]2025 Mapping v3'!E:E,"Error",0)</f>
        <v>Error</v>
      </c>
    </row>
    <row r="7082" spans="27:32">
      <c r="AA7082" s="18">
        <f>_xlfn.XLOOKUP(Y7082,'[2]Data Source'!A:A,'[2]Data Source'!B:B,"N/A",0)</f>
        <v>0</v>
      </c>
      <c r="AB7082" s="18">
        <f t="shared" si="30"/>
        <v>0</v>
      </c>
      <c r="AC7082" s="18" t="str">
        <f>_xlfn.XLOOKUP(L7082,'[3]2025 Mapping v3'!A:A,'[3]2025 Mapping v3'!B:B,"Error",0)</f>
        <v>Error</v>
      </c>
      <c r="AD7082" s="18" t="str">
        <f>_xlfn.XLOOKUP(L7082,'[3]2025 Mapping v3'!A:A,'[3]2025 Mapping v3'!C:C,"Error",0)</f>
        <v>Error</v>
      </c>
      <c r="AE7082" s="18" t="str">
        <f>_xlfn.XLOOKUP(L7082,'[3]2025 Mapping v3'!A:A,'[3]2025 Mapping v3'!D:D,"Error",0)</f>
        <v>Error</v>
      </c>
      <c r="AF7082" s="18" t="str">
        <f>_xlfn.XLOOKUP(L7082,'[3]2025 Mapping v3'!A:A,'[3]2025 Mapping v3'!E:E,"Error",0)</f>
        <v>Error</v>
      </c>
    </row>
    <row r="7083" spans="27:32">
      <c r="AA7083" s="18">
        <f>_xlfn.XLOOKUP(Y7083,'[2]Data Source'!A:A,'[2]Data Source'!B:B,"N/A",0)</f>
        <v>0</v>
      </c>
      <c r="AB7083" s="18">
        <f t="shared" si="30"/>
        <v>0</v>
      </c>
      <c r="AC7083" s="18" t="str">
        <f>_xlfn.XLOOKUP(L7083,'[3]2025 Mapping v3'!A:A,'[3]2025 Mapping v3'!B:B,"Error",0)</f>
        <v>Error</v>
      </c>
      <c r="AD7083" s="18" t="str">
        <f>_xlfn.XLOOKUP(L7083,'[3]2025 Mapping v3'!A:A,'[3]2025 Mapping v3'!C:C,"Error",0)</f>
        <v>Error</v>
      </c>
      <c r="AE7083" s="18" t="str">
        <f>_xlfn.XLOOKUP(L7083,'[3]2025 Mapping v3'!A:A,'[3]2025 Mapping v3'!D:D,"Error",0)</f>
        <v>Error</v>
      </c>
      <c r="AF7083" s="18" t="str">
        <f>_xlfn.XLOOKUP(L7083,'[3]2025 Mapping v3'!A:A,'[3]2025 Mapping v3'!E:E,"Error",0)</f>
        <v>Error</v>
      </c>
    </row>
    <row r="7084" spans="27:32">
      <c r="AA7084" s="18">
        <f>_xlfn.XLOOKUP(Y7084,'[2]Data Source'!A:A,'[2]Data Source'!B:B,"N/A",0)</f>
        <v>0</v>
      </c>
      <c r="AB7084" s="18">
        <f t="shared" si="30"/>
        <v>0</v>
      </c>
      <c r="AC7084" s="18" t="str">
        <f>_xlfn.XLOOKUP(L7084,'[3]2025 Mapping v3'!A:A,'[3]2025 Mapping v3'!B:B,"Error",0)</f>
        <v>Error</v>
      </c>
      <c r="AD7084" s="18" t="str">
        <f>_xlfn.XLOOKUP(L7084,'[3]2025 Mapping v3'!A:A,'[3]2025 Mapping v3'!C:C,"Error",0)</f>
        <v>Error</v>
      </c>
      <c r="AE7084" s="18" t="str">
        <f>_xlfn.XLOOKUP(L7084,'[3]2025 Mapping v3'!A:A,'[3]2025 Mapping v3'!D:D,"Error",0)</f>
        <v>Error</v>
      </c>
      <c r="AF7084" s="18" t="str">
        <f>_xlfn.XLOOKUP(L7084,'[3]2025 Mapping v3'!A:A,'[3]2025 Mapping v3'!E:E,"Error",0)</f>
        <v>Error</v>
      </c>
    </row>
    <row r="7085" spans="27:32">
      <c r="AA7085" s="18">
        <f>_xlfn.XLOOKUP(Y7085,'[2]Data Source'!A:A,'[2]Data Source'!B:B,"N/A",0)</f>
        <v>0</v>
      </c>
      <c r="AB7085" s="18">
        <f t="shared" si="30"/>
        <v>0</v>
      </c>
      <c r="AC7085" s="18" t="str">
        <f>_xlfn.XLOOKUP(L7085,'[3]2025 Mapping v3'!A:A,'[3]2025 Mapping v3'!B:B,"Error",0)</f>
        <v>Error</v>
      </c>
      <c r="AD7085" s="18" t="str">
        <f>_xlfn.XLOOKUP(L7085,'[3]2025 Mapping v3'!A:A,'[3]2025 Mapping v3'!C:C,"Error",0)</f>
        <v>Error</v>
      </c>
      <c r="AE7085" s="18" t="str">
        <f>_xlfn.XLOOKUP(L7085,'[3]2025 Mapping v3'!A:A,'[3]2025 Mapping v3'!D:D,"Error",0)</f>
        <v>Error</v>
      </c>
      <c r="AF7085" s="18" t="str">
        <f>_xlfn.XLOOKUP(L7085,'[3]2025 Mapping v3'!A:A,'[3]2025 Mapping v3'!E:E,"Error",0)</f>
        <v>Error</v>
      </c>
    </row>
    <row r="7086" spans="27:32">
      <c r="AA7086" s="18">
        <f>_xlfn.XLOOKUP(Y7086,'[2]Data Source'!A:A,'[2]Data Source'!B:B,"N/A",0)</f>
        <v>0</v>
      </c>
      <c r="AB7086" s="18">
        <f t="shared" si="30"/>
        <v>0</v>
      </c>
      <c r="AC7086" s="18" t="str">
        <f>_xlfn.XLOOKUP(L7086,'[3]2025 Mapping v3'!A:A,'[3]2025 Mapping v3'!B:B,"Error",0)</f>
        <v>Error</v>
      </c>
      <c r="AD7086" s="18" t="str">
        <f>_xlfn.XLOOKUP(L7086,'[3]2025 Mapping v3'!A:A,'[3]2025 Mapping v3'!C:C,"Error",0)</f>
        <v>Error</v>
      </c>
      <c r="AE7086" s="18" t="str">
        <f>_xlfn.XLOOKUP(L7086,'[3]2025 Mapping v3'!A:A,'[3]2025 Mapping v3'!D:D,"Error",0)</f>
        <v>Error</v>
      </c>
      <c r="AF7086" s="18" t="str">
        <f>_xlfn.XLOOKUP(L7086,'[3]2025 Mapping v3'!A:A,'[3]2025 Mapping v3'!E:E,"Error",0)</f>
        <v>Error</v>
      </c>
    </row>
    <row r="7087" spans="27:32">
      <c r="AA7087" s="18">
        <f>_xlfn.XLOOKUP(Y7087,'[2]Data Source'!A:A,'[2]Data Source'!B:B,"N/A",0)</f>
        <v>0</v>
      </c>
      <c r="AB7087" s="18">
        <f t="shared" si="30"/>
        <v>0</v>
      </c>
      <c r="AC7087" s="18" t="str">
        <f>_xlfn.XLOOKUP(L7087,'[3]2025 Mapping v3'!A:A,'[3]2025 Mapping v3'!B:B,"Error",0)</f>
        <v>Error</v>
      </c>
      <c r="AD7087" s="18" t="str">
        <f>_xlfn.XLOOKUP(L7087,'[3]2025 Mapping v3'!A:A,'[3]2025 Mapping v3'!C:C,"Error",0)</f>
        <v>Error</v>
      </c>
      <c r="AE7087" s="18" t="str">
        <f>_xlfn.XLOOKUP(L7087,'[3]2025 Mapping v3'!A:A,'[3]2025 Mapping v3'!D:D,"Error",0)</f>
        <v>Error</v>
      </c>
      <c r="AF7087" s="18" t="str">
        <f>_xlfn.XLOOKUP(L7087,'[3]2025 Mapping v3'!A:A,'[3]2025 Mapping v3'!E:E,"Error",0)</f>
        <v>Error</v>
      </c>
    </row>
    <row r="7088" spans="27:32">
      <c r="AA7088" s="18">
        <f>_xlfn.XLOOKUP(Y7088,'[2]Data Source'!A:A,'[2]Data Source'!B:B,"N/A",0)</f>
        <v>0</v>
      </c>
      <c r="AB7088" s="18">
        <f t="shared" si="30"/>
        <v>0</v>
      </c>
      <c r="AC7088" s="18" t="str">
        <f>_xlfn.XLOOKUP(L7088,'[3]2025 Mapping v3'!A:A,'[3]2025 Mapping v3'!B:B,"Error",0)</f>
        <v>Error</v>
      </c>
      <c r="AD7088" s="18" t="str">
        <f>_xlfn.XLOOKUP(L7088,'[3]2025 Mapping v3'!A:A,'[3]2025 Mapping v3'!C:C,"Error",0)</f>
        <v>Error</v>
      </c>
      <c r="AE7088" s="18" t="str">
        <f>_xlfn.XLOOKUP(L7088,'[3]2025 Mapping v3'!A:A,'[3]2025 Mapping v3'!D:D,"Error",0)</f>
        <v>Error</v>
      </c>
      <c r="AF7088" s="18" t="str">
        <f>_xlfn.XLOOKUP(L7088,'[3]2025 Mapping v3'!A:A,'[3]2025 Mapping v3'!E:E,"Error",0)</f>
        <v>Error</v>
      </c>
    </row>
    <row r="7089" spans="27:32">
      <c r="AA7089" s="18">
        <f>_xlfn.XLOOKUP(Y7089,'[2]Data Source'!A:A,'[2]Data Source'!B:B,"N/A",0)</f>
        <v>0</v>
      </c>
      <c r="AB7089" s="18">
        <f t="shared" si="30"/>
        <v>0</v>
      </c>
      <c r="AC7089" s="18" t="str">
        <f>_xlfn.XLOOKUP(L7089,'[3]2025 Mapping v3'!A:A,'[3]2025 Mapping v3'!B:B,"Error",0)</f>
        <v>Error</v>
      </c>
      <c r="AD7089" s="18" t="str">
        <f>_xlfn.XLOOKUP(L7089,'[3]2025 Mapping v3'!A:A,'[3]2025 Mapping v3'!C:C,"Error",0)</f>
        <v>Error</v>
      </c>
      <c r="AE7089" s="18" t="str">
        <f>_xlfn.XLOOKUP(L7089,'[3]2025 Mapping v3'!A:A,'[3]2025 Mapping v3'!D:D,"Error",0)</f>
        <v>Error</v>
      </c>
      <c r="AF7089" s="18" t="str">
        <f>_xlfn.XLOOKUP(L7089,'[3]2025 Mapping v3'!A:A,'[3]2025 Mapping v3'!E:E,"Error",0)</f>
        <v>Error</v>
      </c>
    </row>
    <row r="7090" spans="27:32">
      <c r="AA7090" s="18">
        <f>_xlfn.XLOOKUP(Y7090,'[2]Data Source'!A:A,'[2]Data Source'!B:B,"N/A",0)</f>
        <v>0</v>
      </c>
      <c r="AB7090" s="18">
        <f t="shared" si="30"/>
        <v>0</v>
      </c>
      <c r="AC7090" s="18" t="str">
        <f>_xlfn.XLOOKUP(L7090,'[3]2025 Mapping v3'!A:A,'[3]2025 Mapping v3'!B:B,"Error",0)</f>
        <v>Error</v>
      </c>
      <c r="AD7090" s="18" t="str">
        <f>_xlfn.XLOOKUP(L7090,'[3]2025 Mapping v3'!A:A,'[3]2025 Mapping v3'!C:C,"Error",0)</f>
        <v>Error</v>
      </c>
      <c r="AE7090" s="18" t="str">
        <f>_xlfn.XLOOKUP(L7090,'[3]2025 Mapping v3'!A:A,'[3]2025 Mapping v3'!D:D,"Error",0)</f>
        <v>Error</v>
      </c>
      <c r="AF7090" s="18" t="str">
        <f>_xlfn.XLOOKUP(L7090,'[3]2025 Mapping v3'!A:A,'[3]2025 Mapping v3'!E:E,"Error",0)</f>
        <v>Error</v>
      </c>
    </row>
    <row r="7091" spans="27:32">
      <c r="AA7091" s="18">
        <f>_xlfn.XLOOKUP(Y7091,'[2]Data Source'!A:A,'[2]Data Source'!B:B,"N/A",0)</f>
        <v>0</v>
      </c>
      <c r="AB7091" s="18">
        <f t="shared" si="30"/>
        <v>0</v>
      </c>
      <c r="AC7091" s="18" t="str">
        <f>_xlfn.XLOOKUP(L7091,'[3]2025 Mapping v3'!A:A,'[3]2025 Mapping v3'!B:B,"Error",0)</f>
        <v>Error</v>
      </c>
      <c r="AD7091" s="18" t="str">
        <f>_xlfn.XLOOKUP(L7091,'[3]2025 Mapping v3'!A:A,'[3]2025 Mapping v3'!C:C,"Error",0)</f>
        <v>Error</v>
      </c>
      <c r="AE7091" s="18" t="str">
        <f>_xlfn.XLOOKUP(L7091,'[3]2025 Mapping v3'!A:A,'[3]2025 Mapping v3'!D:D,"Error",0)</f>
        <v>Error</v>
      </c>
      <c r="AF7091" s="18" t="str">
        <f>_xlfn.XLOOKUP(L7091,'[3]2025 Mapping v3'!A:A,'[3]2025 Mapping v3'!E:E,"Error",0)</f>
        <v>Error</v>
      </c>
    </row>
    <row r="7092" spans="27:32">
      <c r="AA7092" s="18">
        <f>_xlfn.XLOOKUP(Y7092,'[2]Data Source'!A:A,'[2]Data Source'!B:B,"N/A",0)</f>
        <v>0</v>
      </c>
      <c r="AB7092" s="18">
        <f t="shared" si="30"/>
        <v>0</v>
      </c>
      <c r="AC7092" s="18" t="str">
        <f>_xlfn.XLOOKUP(L7092,'[3]2025 Mapping v3'!A:A,'[3]2025 Mapping v3'!B:B,"Error",0)</f>
        <v>Error</v>
      </c>
      <c r="AD7092" s="18" t="str">
        <f>_xlfn.XLOOKUP(L7092,'[3]2025 Mapping v3'!A:A,'[3]2025 Mapping v3'!C:C,"Error",0)</f>
        <v>Error</v>
      </c>
      <c r="AE7092" s="18" t="str">
        <f>_xlfn.XLOOKUP(L7092,'[3]2025 Mapping v3'!A:A,'[3]2025 Mapping v3'!D:D,"Error",0)</f>
        <v>Error</v>
      </c>
      <c r="AF7092" s="18" t="str">
        <f>_xlfn.XLOOKUP(L7092,'[3]2025 Mapping v3'!A:A,'[3]2025 Mapping v3'!E:E,"Error",0)</f>
        <v>Error</v>
      </c>
    </row>
    <row r="7093" spans="27:32">
      <c r="AA7093" s="18">
        <f>_xlfn.XLOOKUP(Y7093,'[2]Data Source'!A:A,'[2]Data Source'!B:B,"N/A",0)</f>
        <v>0</v>
      </c>
      <c r="AB7093" s="18">
        <f t="shared" si="30"/>
        <v>0</v>
      </c>
      <c r="AC7093" s="18" t="str">
        <f>_xlfn.XLOOKUP(L7093,'[3]2025 Mapping v3'!A:A,'[3]2025 Mapping v3'!B:B,"Error",0)</f>
        <v>Error</v>
      </c>
      <c r="AD7093" s="18" t="str">
        <f>_xlfn.XLOOKUP(L7093,'[3]2025 Mapping v3'!A:A,'[3]2025 Mapping v3'!C:C,"Error",0)</f>
        <v>Error</v>
      </c>
      <c r="AE7093" s="18" t="str">
        <f>_xlfn.XLOOKUP(L7093,'[3]2025 Mapping v3'!A:A,'[3]2025 Mapping v3'!D:D,"Error",0)</f>
        <v>Error</v>
      </c>
      <c r="AF7093" s="18" t="str">
        <f>_xlfn.XLOOKUP(L7093,'[3]2025 Mapping v3'!A:A,'[3]2025 Mapping v3'!E:E,"Error",0)</f>
        <v>Error</v>
      </c>
    </row>
    <row r="7094" spans="27:32">
      <c r="AA7094" s="18">
        <f>_xlfn.XLOOKUP(Y7094,'[2]Data Source'!A:A,'[2]Data Source'!B:B,"N/A",0)</f>
        <v>0</v>
      </c>
      <c r="AB7094" s="18">
        <f t="shared" si="30"/>
        <v>0</v>
      </c>
      <c r="AC7094" s="18" t="str">
        <f>_xlfn.XLOOKUP(L7094,'[3]2025 Mapping v3'!A:A,'[3]2025 Mapping v3'!B:B,"Error",0)</f>
        <v>Error</v>
      </c>
      <c r="AD7094" s="18" t="str">
        <f>_xlfn.XLOOKUP(L7094,'[3]2025 Mapping v3'!A:A,'[3]2025 Mapping v3'!C:C,"Error",0)</f>
        <v>Error</v>
      </c>
      <c r="AE7094" s="18" t="str">
        <f>_xlfn.XLOOKUP(L7094,'[3]2025 Mapping v3'!A:A,'[3]2025 Mapping v3'!D:D,"Error",0)</f>
        <v>Error</v>
      </c>
      <c r="AF7094" s="18" t="str">
        <f>_xlfn.XLOOKUP(L7094,'[3]2025 Mapping v3'!A:A,'[3]2025 Mapping v3'!E:E,"Error",0)</f>
        <v>Error</v>
      </c>
    </row>
    <row r="7095" spans="27:32">
      <c r="AA7095" s="18">
        <f>_xlfn.XLOOKUP(Y7095,'[2]Data Source'!A:A,'[2]Data Source'!B:B,"N/A",0)</f>
        <v>0</v>
      </c>
      <c r="AB7095" s="18">
        <f t="shared" si="30"/>
        <v>0</v>
      </c>
      <c r="AC7095" s="18" t="str">
        <f>_xlfn.XLOOKUP(L7095,'[3]2025 Mapping v3'!A:A,'[3]2025 Mapping v3'!B:B,"Error",0)</f>
        <v>Error</v>
      </c>
      <c r="AD7095" s="18" t="str">
        <f>_xlfn.XLOOKUP(L7095,'[3]2025 Mapping v3'!A:A,'[3]2025 Mapping v3'!C:C,"Error",0)</f>
        <v>Error</v>
      </c>
      <c r="AE7095" s="18" t="str">
        <f>_xlfn.XLOOKUP(L7095,'[3]2025 Mapping v3'!A:A,'[3]2025 Mapping v3'!D:D,"Error",0)</f>
        <v>Error</v>
      </c>
      <c r="AF7095" s="18" t="str">
        <f>_xlfn.XLOOKUP(L7095,'[3]2025 Mapping v3'!A:A,'[3]2025 Mapping v3'!E:E,"Error",0)</f>
        <v>Error</v>
      </c>
    </row>
    <row r="7096" spans="27:32">
      <c r="AA7096" s="18">
        <f>_xlfn.XLOOKUP(Y7096,'[2]Data Source'!A:A,'[2]Data Source'!B:B,"N/A",0)</f>
        <v>0</v>
      </c>
      <c r="AB7096" s="18">
        <f t="shared" si="30"/>
        <v>0</v>
      </c>
      <c r="AC7096" s="18" t="str">
        <f>_xlfn.XLOOKUP(L7096,'[3]2025 Mapping v3'!A:A,'[3]2025 Mapping v3'!B:B,"Error",0)</f>
        <v>Error</v>
      </c>
      <c r="AD7096" s="18" t="str">
        <f>_xlfn.XLOOKUP(L7096,'[3]2025 Mapping v3'!A:A,'[3]2025 Mapping v3'!C:C,"Error",0)</f>
        <v>Error</v>
      </c>
      <c r="AE7096" s="18" t="str">
        <f>_xlfn.XLOOKUP(L7096,'[3]2025 Mapping v3'!A:A,'[3]2025 Mapping v3'!D:D,"Error",0)</f>
        <v>Error</v>
      </c>
      <c r="AF7096" s="18" t="str">
        <f>_xlfn.XLOOKUP(L7096,'[3]2025 Mapping v3'!A:A,'[3]2025 Mapping v3'!E:E,"Error",0)</f>
        <v>Error</v>
      </c>
    </row>
    <row r="7097" spans="27:32">
      <c r="AA7097" s="18">
        <f>_xlfn.XLOOKUP(Y7097,'[2]Data Source'!A:A,'[2]Data Source'!B:B,"N/A",0)</f>
        <v>0</v>
      </c>
      <c r="AB7097" s="18">
        <f t="shared" si="30"/>
        <v>0</v>
      </c>
      <c r="AC7097" s="18" t="str">
        <f>_xlfn.XLOOKUP(L7097,'[3]2025 Mapping v3'!A:A,'[3]2025 Mapping v3'!B:B,"Error",0)</f>
        <v>Error</v>
      </c>
      <c r="AD7097" s="18" t="str">
        <f>_xlfn.XLOOKUP(L7097,'[3]2025 Mapping v3'!A:A,'[3]2025 Mapping v3'!C:C,"Error",0)</f>
        <v>Error</v>
      </c>
      <c r="AE7097" s="18" t="str">
        <f>_xlfn.XLOOKUP(L7097,'[3]2025 Mapping v3'!A:A,'[3]2025 Mapping v3'!D:D,"Error",0)</f>
        <v>Error</v>
      </c>
      <c r="AF7097" s="18" t="str">
        <f>_xlfn.XLOOKUP(L7097,'[3]2025 Mapping v3'!A:A,'[3]2025 Mapping v3'!E:E,"Error",0)</f>
        <v>Error</v>
      </c>
    </row>
    <row r="7098" spans="27:32">
      <c r="AA7098" s="18">
        <f>_xlfn.XLOOKUP(Y7098,'[2]Data Source'!A:A,'[2]Data Source'!B:B,"N/A",0)</f>
        <v>0</v>
      </c>
      <c r="AB7098" s="18">
        <f t="shared" si="30"/>
        <v>0</v>
      </c>
      <c r="AC7098" s="18" t="str">
        <f>_xlfn.XLOOKUP(L7098,'[3]2025 Mapping v3'!A:A,'[3]2025 Mapping v3'!B:B,"Error",0)</f>
        <v>Error</v>
      </c>
      <c r="AD7098" s="18" t="str">
        <f>_xlfn.XLOOKUP(L7098,'[3]2025 Mapping v3'!A:A,'[3]2025 Mapping v3'!C:C,"Error",0)</f>
        <v>Error</v>
      </c>
      <c r="AE7098" s="18" t="str">
        <f>_xlfn.XLOOKUP(L7098,'[3]2025 Mapping v3'!A:A,'[3]2025 Mapping v3'!D:D,"Error",0)</f>
        <v>Error</v>
      </c>
      <c r="AF7098" s="18" t="str">
        <f>_xlfn.XLOOKUP(L7098,'[3]2025 Mapping v3'!A:A,'[3]2025 Mapping v3'!E:E,"Error",0)</f>
        <v>Error</v>
      </c>
    </row>
    <row r="7099" spans="27:32">
      <c r="AA7099" s="18">
        <f>_xlfn.XLOOKUP(Y7099,'[2]Data Source'!A:A,'[2]Data Source'!B:B,"N/A",0)</f>
        <v>0</v>
      </c>
      <c r="AB7099" s="18">
        <f t="shared" si="30"/>
        <v>0</v>
      </c>
      <c r="AC7099" s="18" t="str">
        <f>_xlfn.XLOOKUP(L7099,'[3]2025 Mapping v3'!A:A,'[3]2025 Mapping v3'!B:B,"Error",0)</f>
        <v>Error</v>
      </c>
      <c r="AD7099" s="18" t="str">
        <f>_xlfn.XLOOKUP(L7099,'[3]2025 Mapping v3'!A:A,'[3]2025 Mapping v3'!C:C,"Error",0)</f>
        <v>Error</v>
      </c>
      <c r="AE7099" s="18" t="str">
        <f>_xlfn.XLOOKUP(L7099,'[3]2025 Mapping v3'!A:A,'[3]2025 Mapping v3'!D:D,"Error",0)</f>
        <v>Error</v>
      </c>
      <c r="AF7099" s="18" t="str">
        <f>_xlfn.XLOOKUP(L7099,'[3]2025 Mapping v3'!A:A,'[3]2025 Mapping v3'!E:E,"Error",0)</f>
        <v>Error</v>
      </c>
    </row>
    <row r="7100" spans="27:32">
      <c r="AA7100" s="18">
        <f>_xlfn.XLOOKUP(Y7100,'[2]Data Source'!A:A,'[2]Data Source'!B:B,"N/A",0)</f>
        <v>0</v>
      </c>
      <c r="AB7100" s="18">
        <f t="shared" si="30"/>
        <v>0</v>
      </c>
      <c r="AC7100" s="18" t="str">
        <f>_xlfn.XLOOKUP(L7100,'[3]2025 Mapping v3'!A:A,'[3]2025 Mapping v3'!B:B,"Error",0)</f>
        <v>Error</v>
      </c>
      <c r="AD7100" s="18" t="str">
        <f>_xlfn.XLOOKUP(L7100,'[3]2025 Mapping v3'!A:A,'[3]2025 Mapping v3'!C:C,"Error",0)</f>
        <v>Error</v>
      </c>
      <c r="AE7100" s="18" t="str">
        <f>_xlfn.XLOOKUP(L7100,'[3]2025 Mapping v3'!A:A,'[3]2025 Mapping v3'!D:D,"Error",0)</f>
        <v>Error</v>
      </c>
      <c r="AF7100" s="18" t="str">
        <f>_xlfn.XLOOKUP(L7100,'[3]2025 Mapping v3'!A:A,'[3]2025 Mapping v3'!E:E,"Error",0)</f>
        <v>Error</v>
      </c>
    </row>
    <row r="7101" spans="27:32">
      <c r="AA7101" s="18">
        <f>_xlfn.XLOOKUP(Y7101,'[2]Data Source'!A:A,'[2]Data Source'!B:B,"N/A",0)</f>
        <v>0</v>
      </c>
      <c r="AB7101" s="18">
        <f t="shared" si="30"/>
        <v>0</v>
      </c>
      <c r="AC7101" s="18" t="str">
        <f>_xlfn.XLOOKUP(L7101,'[3]2025 Mapping v3'!A:A,'[3]2025 Mapping v3'!B:B,"Error",0)</f>
        <v>Error</v>
      </c>
      <c r="AD7101" s="18" t="str">
        <f>_xlfn.XLOOKUP(L7101,'[3]2025 Mapping v3'!A:A,'[3]2025 Mapping v3'!C:C,"Error",0)</f>
        <v>Error</v>
      </c>
      <c r="AE7101" s="18" t="str">
        <f>_xlfn.XLOOKUP(L7101,'[3]2025 Mapping v3'!A:A,'[3]2025 Mapping v3'!D:D,"Error",0)</f>
        <v>Error</v>
      </c>
      <c r="AF7101" s="18" t="str">
        <f>_xlfn.XLOOKUP(L7101,'[3]2025 Mapping v3'!A:A,'[3]2025 Mapping v3'!E:E,"Error",0)</f>
        <v>Error</v>
      </c>
    </row>
    <row r="7102" spans="27:32">
      <c r="AA7102" s="18">
        <f>_xlfn.XLOOKUP(Y7102,'[2]Data Source'!A:A,'[2]Data Source'!B:B,"N/A",0)</f>
        <v>0</v>
      </c>
      <c r="AB7102" s="18">
        <f t="shared" si="30"/>
        <v>0</v>
      </c>
      <c r="AC7102" s="18" t="str">
        <f>_xlfn.XLOOKUP(L7102,'[3]2025 Mapping v3'!A:A,'[3]2025 Mapping v3'!B:B,"Error",0)</f>
        <v>Error</v>
      </c>
      <c r="AD7102" s="18" t="str">
        <f>_xlfn.XLOOKUP(L7102,'[3]2025 Mapping v3'!A:A,'[3]2025 Mapping v3'!C:C,"Error",0)</f>
        <v>Error</v>
      </c>
      <c r="AE7102" s="18" t="str">
        <f>_xlfn.XLOOKUP(L7102,'[3]2025 Mapping v3'!A:A,'[3]2025 Mapping v3'!D:D,"Error",0)</f>
        <v>Error</v>
      </c>
      <c r="AF7102" s="18" t="str">
        <f>_xlfn.XLOOKUP(L7102,'[3]2025 Mapping v3'!A:A,'[3]2025 Mapping v3'!E:E,"Error",0)</f>
        <v>Error</v>
      </c>
    </row>
    <row r="7103" spans="27:32">
      <c r="AA7103" s="18">
        <f>_xlfn.XLOOKUP(Y7103,'[2]Data Source'!A:A,'[2]Data Source'!B:B,"N/A",0)</f>
        <v>0</v>
      </c>
      <c r="AB7103" s="18">
        <f t="shared" si="30"/>
        <v>0</v>
      </c>
      <c r="AC7103" s="18" t="str">
        <f>_xlfn.XLOOKUP(L7103,'[3]2025 Mapping v3'!A:A,'[3]2025 Mapping v3'!B:B,"Error",0)</f>
        <v>Error</v>
      </c>
      <c r="AD7103" s="18" t="str">
        <f>_xlfn.XLOOKUP(L7103,'[3]2025 Mapping v3'!A:A,'[3]2025 Mapping v3'!C:C,"Error",0)</f>
        <v>Error</v>
      </c>
      <c r="AE7103" s="18" t="str">
        <f>_xlfn.XLOOKUP(L7103,'[3]2025 Mapping v3'!A:A,'[3]2025 Mapping v3'!D:D,"Error",0)</f>
        <v>Error</v>
      </c>
      <c r="AF7103" s="18" t="str">
        <f>_xlfn.XLOOKUP(L7103,'[3]2025 Mapping v3'!A:A,'[3]2025 Mapping v3'!E:E,"Error",0)</f>
        <v>Error</v>
      </c>
    </row>
    <row r="7104" spans="27:32">
      <c r="AA7104" s="18">
        <f>_xlfn.XLOOKUP(Y7104,'[2]Data Source'!A:A,'[2]Data Source'!B:B,"N/A",0)</f>
        <v>0</v>
      </c>
      <c r="AB7104" s="18">
        <f t="shared" si="30"/>
        <v>0</v>
      </c>
      <c r="AC7104" s="18" t="str">
        <f>_xlfn.XLOOKUP(L7104,'[3]2025 Mapping v3'!A:A,'[3]2025 Mapping v3'!B:B,"Error",0)</f>
        <v>Error</v>
      </c>
      <c r="AD7104" s="18" t="str">
        <f>_xlfn.XLOOKUP(L7104,'[3]2025 Mapping v3'!A:A,'[3]2025 Mapping v3'!C:C,"Error",0)</f>
        <v>Error</v>
      </c>
      <c r="AE7104" s="18" t="str">
        <f>_xlfn.XLOOKUP(L7104,'[3]2025 Mapping v3'!A:A,'[3]2025 Mapping v3'!D:D,"Error",0)</f>
        <v>Error</v>
      </c>
      <c r="AF7104" s="18" t="str">
        <f>_xlfn.XLOOKUP(L7104,'[3]2025 Mapping v3'!A:A,'[3]2025 Mapping v3'!E:E,"Error",0)</f>
        <v>Error</v>
      </c>
    </row>
    <row r="7105" spans="27:32">
      <c r="AA7105" s="18">
        <f>_xlfn.XLOOKUP(Y7105,'[2]Data Source'!A:A,'[2]Data Source'!B:B,"N/A",0)</f>
        <v>0</v>
      </c>
      <c r="AB7105" s="18">
        <f t="shared" si="30"/>
        <v>0</v>
      </c>
      <c r="AC7105" s="18" t="str">
        <f>_xlfn.XLOOKUP(L7105,'[3]2025 Mapping v3'!A:A,'[3]2025 Mapping v3'!B:B,"Error",0)</f>
        <v>Error</v>
      </c>
      <c r="AD7105" s="18" t="str">
        <f>_xlfn.XLOOKUP(L7105,'[3]2025 Mapping v3'!A:A,'[3]2025 Mapping v3'!C:C,"Error",0)</f>
        <v>Error</v>
      </c>
      <c r="AE7105" s="18" t="str">
        <f>_xlfn.XLOOKUP(L7105,'[3]2025 Mapping v3'!A:A,'[3]2025 Mapping v3'!D:D,"Error",0)</f>
        <v>Error</v>
      </c>
      <c r="AF7105" s="18" t="str">
        <f>_xlfn.XLOOKUP(L7105,'[3]2025 Mapping v3'!A:A,'[3]2025 Mapping v3'!E:E,"Error",0)</f>
        <v>Error</v>
      </c>
    </row>
    <row r="7106" spans="27:32">
      <c r="AA7106" s="18">
        <f>_xlfn.XLOOKUP(Y7106,'[2]Data Source'!A:A,'[2]Data Source'!B:B,"N/A",0)</f>
        <v>0</v>
      </c>
      <c r="AB7106" s="18">
        <f t="shared" si="30"/>
        <v>0</v>
      </c>
      <c r="AC7106" s="18" t="str">
        <f>_xlfn.XLOOKUP(L7106,'[3]2025 Mapping v3'!A:A,'[3]2025 Mapping v3'!B:B,"Error",0)</f>
        <v>Error</v>
      </c>
      <c r="AD7106" s="18" t="str">
        <f>_xlfn.XLOOKUP(L7106,'[3]2025 Mapping v3'!A:A,'[3]2025 Mapping v3'!C:C,"Error",0)</f>
        <v>Error</v>
      </c>
      <c r="AE7106" s="18" t="str">
        <f>_xlfn.XLOOKUP(L7106,'[3]2025 Mapping v3'!A:A,'[3]2025 Mapping v3'!D:D,"Error",0)</f>
        <v>Error</v>
      </c>
      <c r="AF7106" s="18" t="str">
        <f>_xlfn.XLOOKUP(L7106,'[3]2025 Mapping v3'!A:A,'[3]2025 Mapping v3'!E:E,"Error",0)</f>
        <v>Error</v>
      </c>
    </row>
    <row r="7107" spans="27:32">
      <c r="AA7107" s="18">
        <f>_xlfn.XLOOKUP(Y7107,'[2]Data Source'!A:A,'[2]Data Source'!B:B,"N/A",0)</f>
        <v>0</v>
      </c>
      <c r="AB7107" s="18">
        <f t="shared" si="30"/>
        <v>0</v>
      </c>
      <c r="AC7107" s="18" t="str">
        <f>_xlfn.XLOOKUP(L7107,'[3]2025 Mapping v3'!A:A,'[3]2025 Mapping v3'!B:B,"Error",0)</f>
        <v>Error</v>
      </c>
      <c r="AD7107" s="18" t="str">
        <f>_xlfn.XLOOKUP(L7107,'[3]2025 Mapping v3'!A:A,'[3]2025 Mapping v3'!C:C,"Error",0)</f>
        <v>Error</v>
      </c>
      <c r="AE7107" s="18" t="str">
        <f>_xlfn.XLOOKUP(L7107,'[3]2025 Mapping v3'!A:A,'[3]2025 Mapping v3'!D:D,"Error",0)</f>
        <v>Error</v>
      </c>
      <c r="AF7107" s="18" t="str">
        <f>_xlfn.XLOOKUP(L7107,'[3]2025 Mapping v3'!A:A,'[3]2025 Mapping v3'!E:E,"Error",0)</f>
        <v>Error</v>
      </c>
    </row>
    <row r="7108" spans="27:32">
      <c r="AA7108" s="18">
        <f>_xlfn.XLOOKUP(Y7108,'[2]Data Source'!A:A,'[2]Data Source'!B:B,"N/A",0)</f>
        <v>0</v>
      </c>
      <c r="AB7108" s="18">
        <f t="shared" si="30"/>
        <v>0</v>
      </c>
      <c r="AC7108" s="18" t="str">
        <f>_xlfn.XLOOKUP(L7108,'[3]2025 Mapping v3'!A:A,'[3]2025 Mapping v3'!B:B,"Error",0)</f>
        <v>Error</v>
      </c>
      <c r="AD7108" s="18" t="str">
        <f>_xlfn.XLOOKUP(L7108,'[3]2025 Mapping v3'!A:A,'[3]2025 Mapping v3'!C:C,"Error",0)</f>
        <v>Error</v>
      </c>
      <c r="AE7108" s="18" t="str">
        <f>_xlfn.XLOOKUP(L7108,'[3]2025 Mapping v3'!A:A,'[3]2025 Mapping v3'!D:D,"Error",0)</f>
        <v>Error</v>
      </c>
      <c r="AF7108" s="18" t="str">
        <f>_xlfn.XLOOKUP(L7108,'[3]2025 Mapping v3'!A:A,'[3]2025 Mapping v3'!E:E,"Error",0)</f>
        <v>Error</v>
      </c>
    </row>
    <row r="7109" spans="27:32">
      <c r="AA7109" s="18">
        <f>_xlfn.XLOOKUP(Y7109,'[2]Data Source'!A:A,'[2]Data Source'!B:B,"N/A",0)</f>
        <v>0</v>
      </c>
      <c r="AB7109" s="18">
        <f t="shared" si="30"/>
        <v>0</v>
      </c>
      <c r="AC7109" s="18" t="str">
        <f>_xlfn.XLOOKUP(L7109,'[3]2025 Mapping v3'!A:A,'[3]2025 Mapping v3'!B:B,"Error",0)</f>
        <v>Error</v>
      </c>
      <c r="AD7109" s="18" t="str">
        <f>_xlfn.XLOOKUP(L7109,'[3]2025 Mapping v3'!A:A,'[3]2025 Mapping v3'!C:C,"Error",0)</f>
        <v>Error</v>
      </c>
      <c r="AE7109" s="18" t="str">
        <f>_xlfn.XLOOKUP(L7109,'[3]2025 Mapping v3'!A:A,'[3]2025 Mapping v3'!D:D,"Error",0)</f>
        <v>Error</v>
      </c>
      <c r="AF7109" s="18" t="str">
        <f>_xlfn.XLOOKUP(L7109,'[3]2025 Mapping v3'!A:A,'[3]2025 Mapping v3'!E:E,"Error",0)</f>
        <v>Error</v>
      </c>
    </row>
    <row r="7110" spans="27:32">
      <c r="AA7110" s="18">
        <f>_xlfn.XLOOKUP(Y7110,'[2]Data Source'!A:A,'[2]Data Source'!B:B,"N/A",0)</f>
        <v>0</v>
      </c>
      <c r="AB7110" s="18">
        <f t="shared" si="30"/>
        <v>0</v>
      </c>
      <c r="AC7110" s="18" t="str">
        <f>_xlfn.XLOOKUP(L7110,'[3]2025 Mapping v3'!A:A,'[3]2025 Mapping v3'!B:B,"Error",0)</f>
        <v>Error</v>
      </c>
      <c r="AD7110" s="18" t="str">
        <f>_xlfn.XLOOKUP(L7110,'[3]2025 Mapping v3'!A:A,'[3]2025 Mapping v3'!C:C,"Error",0)</f>
        <v>Error</v>
      </c>
      <c r="AE7110" s="18" t="str">
        <f>_xlfn.XLOOKUP(L7110,'[3]2025 Mapping v3'!A:A,'[3]2025 Mapping v3'!D:D,"Error",0)</f>
        <v>Error</v>
      </c>
      <c r="AF7110" s="18" t="str">
        <f>_xlfn.XLOOKUP(L7110,'[3]2025 Mapping v3'!A:A,'[3]2025 Mapping v3'!E:E,"Error",0)</f>
        <v>Error</v>
      </c>
    </row>
    <row r="7111" spans="27:32">
      <c r="AA7111" s="18">
        <f>_xlfn.XLOOKUP(Y7111,'[2]Data Source'!A:A,'[2]Data Source'!B:B,"N/A",0)</f>
        <v>0</v>
      </c>
      <c r="AB7111" s="18">
        <f t="shared" si="30"/>
        <v>0</v>
      </c>
      <c r="AC7111" s="18" t="str">
        <f>_xlfn.XLOOKUP(L7111,'[3]2025 Mapping v3'!A:A,'[3]2025 Mapping v3'!B:B,"Error",0)</f>
        <v>Error</v>
      </c>
      <c r="AD7111" s="18" t="str">
        <f>_xlfn.XLOOKUP(L7111,'[3]2025 Mapping v3'!A:A,'[3]2025 Mapping v3'!C:C,"Error",0)</f>
        <v>Error</v>
      </c>
      <c r="AE7111" s="18" t="str">
        <f>_xlfn.XLOOKUP(L7111,'[3]2025 Mapping v3'!A:A,'[3]2025 Mapping v3'!D:D,"Error",0)</f>
        <v>Error</v>
      </c>
      <c r="AF7111" s="18" t="str">
        <f>_xlfn.XLOOKUP(L7111,'[3]2025 Mapping v3'!A:A,'[3]2025 Mapping v3'!E:E,"Error",0)</f>
        <v>Error</v>
      </c>
    </row>
    <row r="7112" spans="27:32">
      <c r="AA7112" s="18">
        <f>_xlfn.XLOOKUP(Y7112,'[2]Data Source'!A:A,'[2]Data Source'!B:B,"N/A",0)</f>
        <v>0</v>
      </c>
      <c r="AB7112" s="18">
        <f t="shared" si="30"/>
        <v>0</v>
      </c>
      <c r="AC7112" s="18" t="str">
        <f>_xlfn.XLOOKUP(L7112,'[3]2025 Mapping v3'!A:A,'[3]2025 Mapping v3'!B:B,"Error",0)</f>
        <v>Error</v>
      </c>
      <c r="AD7112" s="18" t="str">
        <f>_xlfn.XLOOKUP(L7112,'[3]2025 Mapping v3'!A:A,'[3]2025 Mapping v3'!C:C,"Error",0)</f>
        <v>Error</v>
      </c>
      <c r="AE7112" s="18" t="str">
        <f>_xlfn.XLOOKUP(L7112,'[3]2025 Mapping v3'!A:A,'[3]2025 Mapping v3'!D:D,"Error",0)</f>
        <v>Error</v>
      </c>
      <c r="AF7112" s="18" t="str">
        <f>_xlfn.XLOOKUP(L7112,'[3]2025 Mapping v3'!A:A,'[3]2025 Mapping v3'!E:E,"Error",0)</f>
        <v>Error</v>
      </c>
    </row>
    <row r="7113" spans="27:32">
      <c r="AA7113" s="18">
        <f>_xlfn.XLOOKUP(Y7113,'[2]Data Source'!A:A,'[2]Data Source'!B:B,"N/A",0)</f>
        <v>0</v>
      </c>
      <c r="AB7113" s="18">
        <f t="shared" ref="AB7113:AB7176" si="31">L7113</f>
        <v>0</v>
      </c>
      <c r="AC7113" s="18" t="str">
        <f>_xlfn.XLOOKUP(L7113,'[3]2025 Mapping v3'!A:A,'[3]2025 Mapping v3'!B:B,"Error",0)</f>
        <v>Error</v>
      </c>
      <c r="AD7113" s="18" t="str">
        <f>_xlfn.XLOOKUP(L7113,'[3]2025 Mapping v3'!A:A,'[3]2025 Mapping v3'!C:C,"Error",0)</f>
        <v>Error</v>
      </c>
      <c r="AE7113" s="18" t="str">
        <f>_xlfn.XLOOKUP(L7113,'[3]2025 Mapping v3'!A:A,'[3]2025 Mapping v3'!D:D,"Error",0)</f>
        <v>Error</v>
      </c>
      <c r="AF7113" s="18" t="str">
        <f>_xlfn.XLOOKUP(L7113,'[3]2025 Mapping v3'!A:A,'[3]2025 Mapping v3'!E:E,"Error",0)</f>
        <v>Error</v>
      </c>
    </row>
    <row r="7114" spans="27:32">
      <c r="AA7114" s="18">
        <f>_xlfn.XLOOKUP(Y7114,'[2]Data Source'!A:A,'[2]Data Source'!B:B,"N/A",0)</f>
        <v>0</v>
      </c>
      <c r="AB7114" s="18">
        <f t="shared" si="31"/>
        <v>0</v>
      </c>
      <c r="AC7114" s="18" t="str">
        <f>_xlfn.XLOOKUP(L7114,'[3]2025 Mapping v3'!A:A,'[3]2025 Mapping v3'!B:B,"Error",0)</f>
        <v>Error</v>
      </c>
      <c r="AD7114" s="18" t="str">
        <f>_xlfn.XLOOKUP(L7114,'[3]2025 Mapping v3'!A:A,'[3]2025 Mapping v3'!C:C,"Error",0)</f>
        <v>Error</v>
      </c>
      <c r="AE7114" s="18" t="str">
        <f>_xlfn.XLOOKUP(L7114,'[3]2025 Mapping v3'!A:A,'[3]2025 Mapping v3'!D:D,"Error",0)</f>
        <v>Error</v>
      </c>
      <c r="AF7114" s="18" t="str">
        <f>_xlfn.XLOOKUP(L7114,'[3]2025 Mapping v3'!A:A,'[3]2025 Mapping v3'!E:E,"Error",0)</f>
        <v>Error</v>
      </c>
    </row>
    <row r="7115" spans="27:32">
      <c r="AA7115" s="18">
        <f>_xlfn.XLOOKUP(Y7115,'[2]Data Source'!A:A,'[2]Data Source'!B:B,"N/A",0)</f>
        <v>0</v>
      </c>
      <c r="AB7115" s="18">
        <f t="shared" si="31"/>
        <v>0</v>
      </c>
      <c r="AC7115" s="18" t="str">
        <f>_xlfn.XLOOKUP(L7115,'[3]2025 Mapping v3'!A:A,'[3]2025 Mapping v3'!B:B,"Error",0)</f>
        <v>Error</v>
      </c>
      <c r="AD7115" s="18" t="str">
        <f>_xlfn.XLOOKUP(L7115,'[3]2025 Mapping v3'!A:A,'[3]2025 Mapping v3'!C:C,"Error",0)</f>
        <v>Error</v>
      </c>
      <c r="AE7115" s="18" t="str">
        <f>_xlfn.XLOOKUP(L7115,'[3]2025 Mapping v3'!A:A,'[3]2025 Mapping v3'!D:D,"Error",0)</f>
        <v>Error</v>
      </c>
      <c r="AF7115" s="18" t="str">
        <f>_xlfn.XLOOKUP(L7115,'[3]2025 Mapping v3'!A:A,'[3]2025 Mapping v3'!E:E,"Error",0)</f>
        <v>Error</v>
      </c>
    </row>
    <row r="7116" spans="27:32">
      <c r="AA7116" s="18">
        <f>_xlfn.XLOOKUP(Y7116,'[2]Data Source'!A:A,'[2]Data Source'!B:B,"N/A",0)</f>
        <v>0</v>
      </c>
      <c r="AB7116" s="18">
        <f t="shared" si="31"/>
        <v>0</v>
      </c>
      <c r="AC7116" s="18" t="str">
        <f>_xlfn.XLOOKUP(L7116,'[3]2025 Mapping v3'!A:A,'[3]2025 Mapping v3'!B:B,"Error",0)</f>
        <v>Error</v>
      </c>
      <c r="AD7116" s="18" t="str">
        <f>_xlfn.XLOOKUP(L7116,'[3]2025 Mapping v3'!A:A,'[3]2025 Mapping v3'!C:C,"Error",0)</f>
        <v>Error</v>
      </c>
      <c r="AE7116" s="18" t="str">
        <f>_xlfn.XLOOKUP(L7116,'[3]2025 Mapping v3'!A:A,'[3]2025 Mapping v3'!D:D,"Error",0)</f>
        <v>Error</v>
      </c>
      <c r="AF7116" s="18" t="str">
        <f>_xlfn.XLOOKUP(L7116,'[3]2025 Mapping v3'!A:A,'[3]2025 Mapping v3'!E:E,"Error",0)</f>
        <v>Error</v>
      </c>
    </row>
    <row r="7117" spans="27:32">
      <c r="AA7117" s="18">
        <f>_xlfn.XLOOKUP(Y7117,'[2]Data Source'!A:A,'[2]Data Source'!B:B,"N/A",0)</f>
        <v>0</v>
      </c>
      <c r="AB7117" s="18">
        <f t="shared" si="31"/>
        <v>0</v>
      </c>
      <c r="AC7117" s="18" t="str">
        <f>_xlfn.XLOOKUP(L7117,'[3]2025 Mapping v3'!A:A,'[3]2025 Mapping v3'!B:B,"Error",0)</f>
        <v>Error</v>
      </c>
      <c r="AD7117" s="18" t="str">
        <f>_xlfn.XLOOKUP(L7117,'[3]2025 Mapping v3'!A:A,'[3]2025 Mapping v3'!C:C,"Error",0)</f>
        <v>Error</v>
      </c>
      <c r="AE7117" s="18" t="str">
        <f>_xlfn.XLOOKUP(L7117,'[3]2025 Mapping v3'!A:A,'[3]2025 Mapping v3'!D:D,"Error",0)</f>
        <v>Error</v>
      </c>
      <c r="AF7117" s="18" t="str">
        <f>_xlfn.XLOOKUP(L7117,'[3]2025 Mapping v3'!A:A,'[3]2025 Mapping v3'!E:E,"Error",0)</f>
        <v>Error</v>
      </c>
    </row>
    <row r="7118" spans="27:32">
      <c r="AA7118" s="18">
        <f>_xlfn.XLOOKUP(Y7118,'[2]Data Source'!A:A,'[2]Data Source'!B:B,"N/A",0)</f>
        <v>0</v>
      </c>
      <c r="AB7118" s="18">
        <f t="shared" si="31"/>
        <v>0</v>
      </c>
      <c r="AC7118" s="18" t="str">
        <f>_xlfn.XLOOKUP(L7118,'[3]2025 Mapping v3'!A:A,'[3]2025 Mapping v3'!B:B,"Error",0)</f>
        <v>Error</v>
      </c>
      <c r="AD7118" s="18" t="str">
        <f>_xlfn.XLOOKUP(L7118,'[3]2025 Mapping v3'!A:A,'[3]2025 Mapping v3'!C:C,"Error",0)</f>
        <v>Error</v>
      </c>
      <c r="AE7118" s="18" t="str">
        <f>_xlfn.XLOOKUP(L7118,'[3]2025 Mapping v3'!A:A,'[3]2025 Mapping v3'!D:D,"Error",0)</f>
        <v>Error</v>
      </c>
      <c r="AF7118" s="18" t="str">
        <f>_xlfn.XLOOKUP(L7118,'[3]2025 Mapping v3'!A:A,'[3]2025 Mapping v3'!E:E,"Error",0)</f>
        <v>Error</v>
      </c>
    </row>
    <row r="7119" spans="27:32">
      <c r="AA7119" s="18">
        <f>_xlfn.XLOOKUP(Y7119,'[2]Data Source'!A:A,'[2]Data Source'!B:B,"N/A",0)</f>
        <v>0</v>
      </c>
      <c r="AB7119" s="18">
        <f t="shared" si="31"/>
        <v>0</v>
      </c>
      <c r="AC7119" s="18" t="str">
        <f>_xlfn.XLOOKUP(L7119,'[3]2025 Mapping v3'!A:A,'[3]2025 Mapping v3'!B:B,"Error",0)</f>
        <v>Error</v>
      </c>
      <c r="AD7119" s="18" t="str">
        <f>_xlfn.XLOOKUP(L7119,'[3]2025 Mapping v3'!A:A,'[3]2025 Mapping v3'!C:C,"Error",0)</f>
        <v>Error</v>
      </c>
      <c r="AE7119" s="18" t="str">
        <f>_xlfn.XLOOKUP(L7119,'[3]2025 Mapping v3'!A:A,'[3]2025 Mapping v3'!D:D,"Error",0)</f>
        <v>Error</v>
      </c>
      <c r="AF7119" s="18" t="str">
        <f>_xlfn.XLOOKUP(L7119,'[3]2025 Mapping v3'!A:A,'[3]2025 Mapping v3'!E:E,"Error",0)</f>
        <v>Error</v>
      </c>
    </row>
    <row r="7120" spans="27:32">
      <c r="AA7120" s="18">
        <f>_xlfn.XLOOKUP(Y7120,'[2]Data Source'!A:A,'[2]Data Source'!B:B,"N/A",0)</f>
        <v>0</v>
      </c>
      <c r="AB7120" s="18">
        <f t="shared" si="31"/>
        <v>0</v>
      </c>
      <c r="AC7120" s="18" t="str">
        <f>_xlfn.XLOOKUP(L7120,'[3]2025 Mapping v3'!A:A,'[3]2025 Mapping v3'!B:B,"Error",0)</f>
        <v>Error</v>
      </c>
      <c r="AD7120" s="18" t="str">
        <f>_xlfn.XLOOKUP(L7120,'[3]2025 Mapping v3'!A:A,'[3]2025 Mapping v3'!C:C,"Error",0)</f>
        <v>Error</v>
      </c>
      <c r="AE7120" s="18" t="str">
        <f>_xlfn.XLOOKUP(L7120,'[3]2025 Mapping v3'!A:A,'[3]2025 Mapping v3'!D:D,"Error",0)</f>
        <v>Error</v>
      </c>
      <c r="AF7120" s="18" t="str">
        <f>_xlfn.XLOOKUP(L7120,'[3]2025 Mapping v3'!A:A,'[3]2025 Mapping v3'!E:E,"Error",0)</f>
        <v>Error</v>
      </c>
    </row>
    <row r="7121" spans="27:32">
      <c r="AA7121" s="18">
        <f>_xlfn.XLOOKUP(Y7121,'[2]Data Source'!A:A,'[2]Data Source'!B:B,"N/A",0)</f>
        <v>0</v>
      </c>
      <c r="AB7121" s="18">
        <f t="shared" si="31"/>
        <v>0</v>
      </c>
      <c r="AC7121" s="18" t="str">
        <f>_xlfn.XLOOKUP(L7121,'[3]2025 Mapping v3'!A:A,'[3]2025 Mapping v3'!B:B,"Error",0)</f>
        <v>Error</v>
      </c>
      <c r="AD7121" s="18" t="str">
        <f>_xlfn.XLOOKUP(L7121,'[3]2025 Mapping v3'!A:A,'[3]2025 Mapping v3'!C:C,"Error",0)</f>
        <v>Error</v>
      </c>
      <c r="AE7121" s="18" t="str">
        <f>_xlfn.XLOOKUP(L7121,'[3]2025 Mapping v3'!A:A,'[3]2025 Mapping v3'!D:D,"Error",0)</f>
        <v>Error</v>
      </c>
      <c r="AF7121" s="18" t="str">
        <f>_xlfn.XLOOKUP(L7121,'[3]2025 Mapping v3'!A:A,'[3]2025 Mapping v3'!E:E,"Error",0)</f>
        <v>Error</v>
      </c>
    </row>
    <row r="7122" spans="27:32">
      <c r="AA7122" s="18">
        <f>_xlfn.XLOOKUP(Y7122,'[2]Data Source'!A:A,'[2]Data Source'!B:B,"N/A",0)</f>
        <v>0</v>
      </c>
      <c r="AB7122" s="18">
        <f t="shared" si="31"/>
        <v>0</v>
      </c>
      <c r="AC7122" s="18" t="str">
        <f>_xlfn.XLOOKUP(L7122,'[3]2025 Mapping v3'!A:A,'[3]2025 Mapping v3'!B:B,"Error",0)</f>
        <v>Error</v>
      </c>
      <c r="AD7122" s="18" t="str">
        <f>_xlfn.XLOOKUP(L7122,'[3]2025 Mapping v3'!A:A,'[3]2025 Mapping v3'!C:C,"Error",0)</f>
        <v>Error</v>
      </c>
      <c r="AE7122" s="18" t="str">
        <f>_xlfn.XLOOKUP(L7122,'[3]2025 Mapping v3'!A:A,'[3]2025 Mapping v3'!D:D,"Error",0)</f>
        <v>Error</v>
      </c>
      <c r="AF7122" s="18" t="str">
        <f>_xlfn.XLOOKUP(L7122,'[3]2025 Mapping v3'!A:A,'[3]2025 Mapping v3'!E:E,"Error",0)</f>
        <v>Error</v>
      </c>
    </row>
    <row r="7123" spans="27:32">
      <c r="AA7123" s="18">
        <f>_xlfn.XLOOKUP(Y7123,'[2]Data Source'!A:A,'[2]Data Source'!B:B,"N/A",0)</f>
        <v>0</v>
      </c>
      <c r="AB7123" s="18">
        <f t="shared" si="31"/>
        <v>0</v>
      </c>
      <c r="AC7123" s="18" t="str">
        <f>_xlfn.XLOOKUP(L7123,'[3]2025 Mapping v3'!A:A,'[3]2025 Mapping v3'!B:B,"Error",0)</f>
        <v>Error</v>
      </c>
      <c r="AD7123" s="18" t="str">
        <f>_xlfn.XLOOKUP(L7123,'[3]2025 Mapping v3'!A:A,'[3]2025 Mapping v3'!C:C,"Error",0)</f>
        <v>Error</v>
      </c>
      <c r="AE7123" s="18" t="str">
        <f>_xlfn.XLOOKUP(L7123,'[3]2025 Mapping v3'!A:A,'[3]2025 Mapping v3'!D:D,"Error",0)</f>
        <v>Error</v>
      </c>
      <c r="AF7123" s="18" t="str">
        <f>_xlfn.XLOOKUP(L7123,'[3]2025 Mapping v3'!A:A,'[3]2025 Mapping v3'!E:E,"Error",0)</f>
        <v>Error</v>
      </c>
    </row>
    <row r="7124" spans="27:32">
      <c r="AA7124" s="18">
        <f>_xlfn.XLOOKUP(Y7124,'[2]Data Source'!A:A,'[2]Data Source'!B:B,"N/A",0)</f>
        <v>0</v>
      </c>
      <c r="AB7124" s="18">
        <f t="shared" si="31"/>
        <v>0</v>
      </c>
      <c r="AC7124" s="18" t="str">
        <f>_xlfn.XLOOKUP(L7124,'[3]2025 Mapping v3'!A:A,'[3]2025 Mapping v3'!B:B,"Error",0)</f>
        <v>Error</v>
      </c>
      <c r="AD7124" s="18" t="str">
        <f>_xlfn.XLOOKUP(L7124,'[3]2025 Mapping v3'!A:A,'[3]2025 Mapping v3'!C:C,"Error",0)</f>
        <v>Error</v>
      </c>
      <c r="AE7124" s="18" t="str">
        <f>_xlfn.XLOOKUP(L7124,'[3]2025 Mapping v3'!A:A,'[3]2025 Mapping v3'!D:D,"Error",0)</f>
        <v>Error</v>
      </c>
      <c r="AF7124" s="18" t="str">
        <f>_xlfn.XLOOKUP(L7124,'[3]2025 Mapping v3'!A:A,'[3]2025 Mapping v3'!E:E,"Error",0)</f>
        <v>Error</v>
      </c>
    </row>
    <row r="7125" spans="27:32">
      <c r="AA7125" s="18">
        <f>_xlfn.XLOOKUP(Y7125,'[2]Data Source'!A:A,'[2]Data Source'!B:B,"N/A",0)</f>
        <v>0</v>
      </c>
      <c r="AB7125" s="18">
        <f t="shared" si="31"/>
        <v>0</v>
      </c>
      <c r="AC7125" s="18" t="str">
        <f>_xlfn.XLOOKUP(L7125,'[3]2025 Mapping v3'!A:A,'[3]2025 Mapping v3'!B:B,"Error",0)</f>
        <v>Error</v>
      </c>
      <c r="AD7125" s="18" t="str">
        <f>_xlfn.XLOOKUP(L7125,'[3]2025 Mapping v3'!A:A,'[3]2025 Mapping v3'!C:C,"Error",0)</f>
        <v>Error</v>
      </c>
      <c r="AE7125" s="18" t="str">
        <f>_xlfn.XLOOKUP(L7125,'[3]2025 Mapping v3'!A:A,'[3]2025 Mapping v3'!D:D,"Error",0)</f>
        <v>Error</v>
      </c>
      <c r="AF7125" s="18" t="str">
        <f>_xlfn.XLOOKUP(L7125,'[3]2025 Mapping v3'!A:A,'[3]2025 Mapping v3'!E:E,"Error",0)</f>
        <v>Error</v>
      </c>
    </row>
    <row r="7126" spans="27:32">
      <c r="AA7126" s="18">
        <f>_xlfn.XLOOKUP(Y7126,'[2]Data Source'!A:A,'[2]Data Source'!B:B,"N/A",0)</f>
        <v>0</v>
      </c>
      <c r="AB7126" s="18">
        <f t="shared" si="31"/>
        <v>0</v>
      </c>
      <c r="AC7126" s="18" t="str">
        <f>_xlfn.XLOOKUP(L7126,'[3]2025 Mapping v3'!A:A,'[3]2025 Mapping v3'!B:B,"Error",0)</f>
        <v>Error</v>
      </c>
      <c r="AD7126" s="18" t="str">
        <f>_xlfn.XLOOKUP(L7126,'[3]2025 Mapping v3'!A:A,'[3]2025 Mapping v3'!C:C,"Error",0)</f>
        <v>Error</v>
      </c>
      <c r="AE7126" s="18" t="str">
        <f>_xlfn.XLOOKUP(L7126,'[3]2025 Mapping v3'!A:A,'[3]2025 Mapping v3'!D:D,"Error",0)</f>
        <v>Error</v>
      </c>
      <c r="AF7126" s="18" t="str">
        <f>_xlfn.XLOOKUP(L7126,'[3]2025 Mapping v3'!A:A,'[3]2025 Mapping v3'!E:E,"Error",0)</f>
        <v>Error</v>
      </c>
    </row>
    <row r="7127" spans="27:32">
      <c r="AA7127" s="18">
        <f>_xlfn.XLOOKUP(Y7127,'[2]Data Source'!A:A,'[2]Data Source'!B:B,"N/A",0)</f>
        <v>0</v>
      </c>
      <c r="AB7127" s="18">
        <f t="shared" si="31"/>
        <v>0</v>
      </c>
      <c r="AC7127" s="18" t="str">
        <f>_xlfn.XLOOKUP(L7127,'[3]2025 Mapping v3'!A:A,'[3]2025 Mapping v3'!B:B,"Error",0)</f>
        <v>Error</v>
      </c>
      <c r="AD7127" s="18" t="str">
        <f>_xlfn.XLOOKUP(L7127,'[3]2025 Mapping v3'!A:A,'[3]2025 Mapping v3'!C:C,"Error",0)</f>
        <v>Error</v>
      </c>
      <c r="AE7127" s="18" t="str">
        <f>_xlfn.XLOOKUP(L7127,'[3]2025 Mapping v3'!A:A,'[3]2025 Mapping v3'!D:D,"Error",0)</f>
        <v>Error</v>
      </c>
      <c r="AF7127" s="18" t="str">
        <f>_xlfn.XLOOKUP(L7127,'[3]2025 Mapping v3'!A:A,'[3]2025 Mapping v3'!E:E,"Error",0)</f>
        <v>Error</v>
      </c>
    </row>
    <row r="7128" spans="27:32">
      <c r="AA7128" s="18">
        <f>_xlfn.XLOOKUP(Y7128,'[2]Data Source'!A:A,'[2]Data Source'!B:B,"N/A",0)</f>
        <v>0</v>
      </c>
      <c r="AB7128" s="18">
        <f t="shared" si="31"/>
        <v>0</v>
      </c>
      <c r="AC7128" s="18" t="str">
        <f>_xlfn.XLOOKUP(L7128,'[3]2025 Mapping v3'!A:A,'[3]2025 Mapping v3'!B:B,"Error",0)</f>
        <v>Error</v>
      </c>
      <c r="AD7128" s="18" t="str">
        <f>_xlfn.XLOOKUP(L7128,'[3]2025 Mapping v3'!A:A,'[3]2025 Mapping v3'!C:C,"Error",0)</f>
        <v>Error</v>
      </c>
      <c r="AE7128" s="18" t="str">
        <f>_xlfn.XLOOKUP(L7128,'[3]2025 Mapping v3'!A:A,'[3]2025 Mapping v3'!D:D,"Error",0)</f>
        <v>Error</v>
      </c>
      <c r="AF7128" s="18" t="str">
        <f>_xlfn.XLOOKUP(L7128,'[3]2025 Mapping v3'!A:A,'[3]2025 Mapping v3'!E:E,"Error",0)</f>
        <v>Error</v>
      </c>
    </row>
    <row r="7129" spans="27:32">
      <c r="AA7129" s="18">
        <f>_xlfn.XLOOKUP(Y7129,'[2]Data Source'!A:A,'[2]Data Source'!B:B,"N/A",0)</f>
        <v>0</v>
      </c>
      <c r="AB7129" s="18">
        <f t="shared" si="31"/>
        <v>0</v>
      </c>
      <c r="AC7129" s="18" t="str">
        <f>_xlfn.XLOOKUP(L7129,'[3]2025 Mapping v3'!A:A,'[3]2025 Mapping v3'!B:B,"Error",0)</f>
        <v>Error</v>
      </c>
      <c r="AD7129" s="18" t="str">
        <f>_xlfn.XLOOKUP(L7129,'[3]2025 Mapping v3'!A:A,'[3]2025 Mapping v3'!C:C,"Error",0)</f>
        <v>Error</v>
      </c>
      <c r="AE7129" s="18" t="str">
        <f>_xlfn.XLOOKUP(L7129,'[3]2025 Mapping v3'!A:A,'[3]2025 Mapping v3'!D:D,"Error",0)</f>
        <v>Error</v>
      </c>
      <c r="AF7129" s="18" t="str">
        <f>_xlfn.XLOOKUP(L7129,'[3]2025 Mapping v3'!A:A,'[3]2025 Mapping v3'!E:E,"Error",0)</f>
        <v>Error</v>
      </c>
    </row>
    <row r="7130" spans="27:32">
      <c r="AA7130" s="18">
        <f>_xlfn.XLOOKUP(Y7130,'[2]Data Source'!A:A,'[2]Data Source'!B:B,"N/A",0)</f>
        <v>0</v>
      </c>
      <c r="AB7130" s="18">
        <f t="shared" si="31"/>
        <v>0</v>
      </c>
      <c r="AC7130" s="18" t="str">
        <f>_xlfn.XLOOKUP(L7130,'[3]2025 Mapping v3'!A:A,'[3]2025 Mapping v3'!B:B,"Error",0)</f>
        <v>Error</v>
      </c>
      <c r="AD7130" s="18" t="str">
        <f>_xlfn.XLOOKUP(L7130,'[3]2025 Mapping v3'!A:A,'[3]2025 Mapping v3'!C:C,"Error",0)</f>
        <v>Error</v>
      </c>
      <c r="AE7130" s="18" t="str">
        <f>_xlfn.XLOOKUP(L7130,'[3]2025 Mapping v3'!A:A,'[3]2025 Mapping v3'!D:D,"Error",0)</f>
        <v>Error</v>
      </c>
      <c r="AF7130" s="18" t="str">
        <f>_xlfn.XLOOKUP(L7130,'[3]2025 Mapping v3'!A:A,'[3]2025 Mapping v3'!E:E,"Error",0)</f>
        <v>Error</v>
      </c>
    </row>
    <row r="7131" spans="27:32">
      <c r="AA7131" s="18">
        <f>_xlfn.XLOOKUP(Y7131,'[2]Data Source'!A:A,'[2]Data Source'!B:B,"N/A",0)</f>
        <v>0</v>
      </c>
      <c r="AB7131" s="18">
        <f t="shared" si="31"/>
        <v>0</v>
      </c>
      <c r="AC7131" s="18" t="str">
        <f>_xlfn.XLOOKUP(L7131,'[3]2025 Mapping v3'!A:A,'[3]2025 Mapping v3'!B:B,"Error",0)</f>
        <v>Error</v>
      </c>
      <c r="AD7131" s="18" t="str">
        <f>_xlfn.XLOOKUP(L7131,'[3]2025 Mapping v3'!A:A,'[3]2025 Mapping v3'!C:C,"Error",0)</f>
        <v>Error</v>
      </c>
      <c r="AE7131" s="18" t="str">
        <f>_xlfn.XLOOKUP(L7131,'[3]2025 Mapping v3'!A:A,'[3]2025 Mapping v3'!D:D,"Error",0)</f>
        <v>Error</v>
      </c>
      <c r="AF7131" s="18" t="str">
        <f>_xlfn.XLOOKUP(L7131,'[3]2025 Mapping v3'!A:A,'[3]2025 Mapping v3'!E:E,"Error",0)</f>
        <v>Error</v>
      </c>
    </row>
    <row r="7132" spans="27:32">
      <c r="AA7132" s="18">
        <f>_xlfn.XLOOKUP(Y7132,'[2]Data Source'!A:A,'[2]Data Source'!B:B,"N/A",0)</f>
        <v>0</v>
      </c>
      <c r="AB7132" s="18">
        <f t="shared" si="31"/>
        <v>0</v>
      </c>
      <c r="AC7132" s="18" t="str">
        <f>_xlfn.XLOOKUP(L7132,'[3]2025 Mapping v3'!A:A,'[3]2025 Mapping v3'!B:B,"Error",0)</f>
        <v>Error</v>
      </c>
      <c r="AD7132" s="18" t="str">
        <f>_xlfn.XLOOKUP(L7132,'[3]2025 Mapping v3'!A:A,'[3]2025 Mapping v3'!C:C,"Error",0)</f>
        <v>Error</v>
      </c>
      <c r="AE7132" s="18" t="str">
        <f>_xlfn.XLOOKUP(L7132,'[3]2025 Mapping v3'!A:A,'[3]2025 Mapping v3'!D:D,"Error",0)</f>
        <v>Error</v>
      </c>
      <c r="AF7132" s="18" t="str">
        <f>_xlfn.XLOOKUP(L7132,'[3]2025 Mapping v3'!A:A,'[3]2025 Mapping v3'!E:E,"Error",0)</f>
        <v>Error</v>
      </c>
    </row>
    <row r="7133" spans="27:32">
      <c r="AA7133" s="18">
        <f>_xlfn.XLOOKUP(Y7133,'[2]Data Source'!A:A,'[2]Data Source'!B:B,"N/A",0)</f>
        <v>0</v>
      </c>
      <c r="AB7133" s="18">
        <f t="shared" si="31"/>
        <v>0</v>
      </c>
      <c r="AC7133" s="18" t="str">
        <f>_xlfn.XLOOKUP(L7133,'[3]2025 Mapping v3'!A:A,'[3]2025 Mapping v3'!B:B,"Error",0)</f>
        <v>Error</v>
      </c>
      <c r="AD7133" s="18" t="str">
        <f>_xlfn.XLOOKUP(L7133,'[3]2025 Mapping v3'!A:A,'[3]2025 Mapping v3'!C:C,"Error",0)</f>
        <v>Error</v>
      </c>
      <c r="AE7133" s="18" t="str">
        <f>_xlfn.XLOOKUP(L7133,'[3]2025 Mapping v3'!A:A,'[3]2025 Mapping v3'!D:D,"Error",0)</f>
        <v>Error</v>
      </c>
      <c r="AF7133" s="18" t="str">
        <f>_xlfn.XLOOKUP(L7133,'[3]2025 Mapping v3'!A:A,'[3]2025 Mapping v3'!E:E,"Error",0)</f>
        <v>Error</v>
      </c>
    </row>
    <row r="7134" spans="27:32">
      <c r="AA7134" s="18">
        <f>_xlfn.XLOOKUP(Y7134,'[2]Data Source'!A:A,'[2]Data Source'!B:B,"N/A",0)</f>
        <v>0</v>
      </c>
      <c r="AB7134" s="18">
        <f t="shared" si="31"/>
        <v>0</v>
      </c>
      <c r="AC7134" s="18" t="str">
        <f>_xlfn.XLOOKUP(L7134,'[3]2025 Mapping v3'!A:A,'[3]2025 Mapping v3'!B:B,"Error",0)</f>
        <v>Error</v>
      </c>
      <c r="AD7134" s="18" t="str">
        <f>_xlfn.XLOOKUP(L7134,'[3]2025 Mapping v3'!A:A,'[3]2025 Mapping v3'!C:C,"Error",0)</f>
        <v>Error</v>
      </c>
      <c r="AE7134" s="18" t="str">
        <f>_xlfn.XLOOKUP(L7134,'[3]2025 Mapping v3'!A:A,'[3]2025 Mapping v3'!D:D,"Error",0)</f>
        <v>Error</v>
      </c>
      <c r="AF7134" s="18" t="str">
        <f>_xlfn.XLOOKUP(L7134,'[3]2025 Mapping v3'!A:A,'[3]2025 Mapping v3'!E:E,"Error",0)</f>
        <v>Error</v>
      </c>
    </row>
    <row r="7135" spans="27:32">
      <c r="AA7135" s="18">
        <f>_xlfn.XLOOKUP(Y7135,'[2]Data Source'!A:A,'[2]Data Source'!B:B,"N/A",0)</f>
        <v>0</v>
      </c>
      <c r="AB7135" s="18">
        <f t="shared" si="31"/>
        <v>0</v>
      </c>
      <c r="AC7135" s="18" t="str">
        <f>_xlfn.XLOOKUP(L7135,'[3]2025 Mapping v3'!A:A,'[3]2025 Mapping v3'!B:B,"Error",0)</f>
        <v>Error</v>
      </c>
      <c r="AD7135" s="18" t="str">
        <f>_xlfn.XLOOKUP(L7135,'[3]2025 Mapping v3'!A:A,'[3]2025 Mapping v3'!C:C,"Error",0)</f>
        <v>Error</v>
      </c>
      <c r="AE7135" s="18" t="str">
        <f>_xlfn.XLOOKUP(L7135,'[3]2025 Mapping v3'!A:A,'[3]2025 Mapping v3'!D:D,"Error",0)</f>
        <v>Error</v>
      </c>
      <c r="AF7135" s="18" t="str">
        <f>_xlfn.XLOOKUP(L7135,'[3]2025 Mapping v3'!A:A,'[3]2025 Mapping v3'!E:E,"Error",0)</f>
        <v>Error</v>
      </c>
    </row>
    <row r="7136" spans="27:32">
      <c r="AA7136" s="18">
        <f>_xlfn.XLOOKUP(Y7136,'[2]Data Source'!A:A,'[2]Data Source'!B:B,"N/A",0)</f>
        <v>0</v>
      </c>
      <c r="AB7136" s="18">
        <f t="shared" si="31"/>
        <v>0</v>
      </c>
      <c r="AC7136" s="18" t="str">
        <f>_xlfn.XLOOKUP(L7136,'[3]2025 Mapping v3'!A:A,'[3]2025 Mapping v3'!B:B,"Error",0)</f>
        <v>Error</v>
      </c>
      <c r="AD7136" s="18" t="str">
        <f>_xlfn.XLOOKUP(L7136,'[3]2025 Mapping v3'!A:A,'[3]2025 Mapping v3'!C:C,"Error",0)</f>
        <v>Error</v>
      </c>
      <c r="AE7136" s="18" t="str">
        <f>_xlfn.XLOOKUP(L7136,'[3]2025 Mapping v3'!A:A,'[3]2025 Mapping v3'!D:D,"Error",0)</f>
        <v>Error</v>
      </c>
      <c r="AF7136" s="18" t="str">
        <f>_xlfn.XLOOKUP(L7136,'[3]2025 Mapping v3'!A:A,'[3]2025 Mapping v3'!E:E,"Error",0)</f>
        <v>Error</v>
      </c>
    </row>
    <row r="7137" spans="27:32">
      <c r="AA7137" s="18">
        <f>_xlfn.XLOOKUP(Y7137,'[2]Data Source'!A:A,'[2]Data Source'!B:B,"N/A",0)</f>
        <v>0</v>
      </c>
      <c r="AB7137" s="18">
        <f t="shared" si="31"/>
        <v>0</v>
      </c>
      <c r="AC7137" s="18" t="str">
        <f>_xlfn.XLOOKUP(L7137,'[3]2025 Mapping v3'!A:A,'[3]2025 Mapping v3'!B:B,"Error",0)</f>
        <v>Error</v>
      </c>
      <c r="AD7137" s="18" t="str">
        <f>_xlfn.XLOOKUP(L7137,'[3]2025 Mapping v3'!A:A,'[3]2025 Mapping v3'!C:C,"Error",0)</f>
        <v>Error</v>
      </c>
      <c r="AE7137" s="18" t="str">
        <f>_xlfn.XLOOKUP(L7137,'[3]2025 Mapping v3'!A:A,'[3]2025 Mapping v3'!D:D,"Error",0)</f>
        <v>Error</v>
      </c>
      <c r="AF7137" s="18" t="str">
        <f>_xlfn.XLOOKUP(L7137,'[3]2025 Mapping v3'!A:A,'[3]2025 Mapping v3'!E:E,"Error",0)</f>
        <v>Error</v>
      </c>
    </row>
    <row r="7138" spans="27:32">
      <c r="AA7138" s="18">
        <f>_xlfn.XLOOKUP(Y7138,'[2]Data Source'!A:A,'[2]Data Source'!B:B,"N/A",0)</f>
        <v>0</v>
      </c>
      <c r="AB7138" s="18">
        <f t="shared" si="31"/>
        <v>0</v>
      </c>
      <c r="AC7138" s="18" t="str">
        <f>_xlfn.XLOOKUP(L7138,'[3]2025 Mapping v3'!A:A,'[3]2025 Mapping v3'!B:B,"Error",0)</f>
        <v>Error</v>
      </c>
      <c r="AD7138" s="18" t="str">
        <f>_xlfn.XLOOKUP(L7138,'[3]2025 Mapping v3'!A:A,'[3]2025 Mapping v3'!C:C,"Error",0)</f>
        <v>Error</v>
      </c>
      <c r="AE7138" s="18" t="str">
        <f>_xlfn.XLOOKUP(L7138,'[3]2025 Mapping v3'!A:A,'[3]2025 Mapping v3'!D:D,"Error",0)</f>
        <v>Error</v>
      </c>
      <c r="AF7138" s="18" t="str">
        <f>_xlfn.XLOOKUP(L7138,'[3]2025 Mapping v3'!A:A,'[3]2025 Mapping v3'!E:E,"Error",0)</f>
        <v>Error</v>
      </c>
    </row>
  </sheetData>
  <phoneticPr fontId="6" type="noConversion"/>
  <conditionalFormatting sqref="A3498:B3500 G3492:G3500 K3492:L3500 B2715:B3497 B3501:B5291 B1:B2713">
    <cfRule type="duplicateValues" dxfId="73" priority="69"/>
    <cfRule type="duplicateValues" dxfId="72" priority="70"/>
  </conditionalFormatting>
  <conditionalFormatting sqref="A3498:B3500 G3492:G3500 K3492:L3500 B2784:B3497 B3501:B5291 B1:B353">
    <cfRule type="duplicateValues" dxfId="71" priority="68"/>
  </conditionalFormatting>
  <conditionalFormatting sqref="B1:B1048576">
    <cfRule type="duplicateValues" dxfId="70" priority="3"/>
    <cfRule type="duplicateValues" dxfId="69" priority="9"/>
  </conditionalFormatting>
  <conditionalFormatting sqref="B5604:B5649">
    <cfRule type="duplicateValues" dxfId="68" priority="21"/>
  </conditionalFormatting>
  <conditionalFormatting sqref="B5650:B5704">
    <cfRule type="duplicateValues" dxfId="67" priority="82"/>
  </conditionalFormatting>
  <conditionalFormatting sqref="B5880:B5881">
    <cfRule type="duplicateValues" dxfId="66" priority="17"/>
  </conditionalFormatting>
  <conditionalFormatting sqref="B6204:B6248">
    <cfRule type="duplicateValues" dxfId="65" priority="12"/>
  </conditionalFormatting>
  <conditionalFormatting sqref="B6665:B1048576 B5705:B5879 B5882:B6203 B1:B5603">
    <cfRule type="duplicateValues" dxfId="64" priority="31"/>
  </conditionalFormatting>
  <conditionalFormatting sqref="G1:G1048576">
    <cfRule type="duplicateValues" dxfId="63" priority="5"/>
  </conditionalFormatting>
  <conditionalFormatting sqref="G1711:G5291 G1:G1709">
    <cfRule type="duplicateValues" dxfId="62" priority="71"/>
  </conditionalFormatting>
  <conditionalFormatting sqref="G2784:G5291 G1:G353">
    <cfRule type="duplicateValues" dxfId="61" priority="72"/>
    <cfRule type="duplicateValues" dxfId="60" priority="73"/>
    <cfRule type="duplicateValues" dxfId="59" priority="74"/>
    <cfRule type="duplicateValues" dxfId="58" priority="75"/>
  </conditionalFormatting>
  <conditionalFormatting sqref="G5604:G5649">
    <cfRule type="duplicateValues" dxfId="57" priority="19"/>
  </conditionalFormatting>
  <conditionalFormatting sqref="G5650:G5704">
    <cfRule type="duplicateValues" dxfId="56" priority="83"/>
  </conditionalFormatting>
  <conditionalFormatting sqref="G5880:G5881">
    <cfRule type="duplicateValues" dxfId="55" priority="15"/>
  </conditionalFormatting>
  <conditionalFormatting sqref="G6204:G6248">
    <cfRule type="duplicateValues" dxfId="54" priority="11"/>
  </conditionalFormatting>
  <conditionalFormatting sqref="G6665:G1048576 G5705:G5879 G5882:G6203 G1:G5603">
    <cfRule type="duplicateValues" dxfId="53" priority="29"/>
  </conditionalFormatting>
  <conditionalFormatting sqref="K1:K1048576">
    <cfRule type="duplicateValues" dxfId="52" priority="8"/>
  </conditionalFormatting>
  <conditionalFormatting sqref="K4613:K5291 K2522:K2748 K2750:K4611 K1:K2520">
    <cfRule type="duplicateValues" dxfId="51" priority="64"/>
  </conditionalFormatting>
  <conditionalFormatting sqref="K4613:K5291 K2784:K4611 K1:K353">
    <cfRule type="duplicateValues" dxfId="50" priority="65"/>
  </conditionalFormatting>
  <conditionalFormatting sqref="O1:O1048576">
    <cfRule type="duplicateValues" dxfId="49" priority="1"/>
    <cfRule type="duplicateValues" dxfId="48" priority="2"/>
  </conditionalFormatting>
  <conditionalFormatting sqref="O4688:O4824 O1:P1 P4606:P4826 O4606:O4686 O2784:P4605 P4828:P5557 P2 O3:P353">
    <cfRule type="duplicateValues" dxfId="47" priority="76"/>
    <cfRule type="duplicateValues" dxfId="46" priority="77"/>
    <cfRule type="duplicateValues" dxfId="45" priority="78"/>
  </conditionalFormatting>
  <conditionalFormatting sqref="O4688:O4824 P4606:P4826 O4606:O4686 O1:P1 P4828:P5557 P2 O3:P4605">
    <cfRule type="duplicateValues" dxfId="44" priority="79"/>
  </conditionalFormatting>
  <conditionalFormatting sqref="O4688:O5291 O1 O3:O4686">
    <cfRule type="duplicateValues" dxfId="43" priority="66"/>
    <cfRule type="duplicateValues" dxfId="42" priority="67"/>
  </conditionalFormatting>
  <conditionalFormatting sqref="O4825:O4899">
    <cfRule type="duplicateValues" dxfId="41" priority="46"/>
    <cfRule type="duplicateValues" dxfId="40" priority="47"/>
    <cfRule type="duplicateValues" dxfId="39" priority="48"/>
    <cfRule type="duplicateValues" dxfId="38" priority="49"/>
  </conditionalFormatting>
  <conditionalFormatting sqref="O4900:O5291">
    <cfRule type="duplicateValues" dxfId="37" priority="42"/>
    <cfRule type="duplicateValues" dxfId="36" priority="43"/>
    <cfRule type="duplicateValues" dxfId="35" priority="44"/>
    <cfRule type="duplicateValues" dxfId="34" priority="45"/>
  </conditionalFormatting>
  <conditionalFormatting sqref="O4969:O4994">
    <cfRule type="duplicateValues" dxfId="33" priority="38"/>
    <cfRule type="duplicateValues" dxfId="32" priority="39"/>
    <cfRule type="duplicateValues" dxfId="31" priority="40"/>
    <cfRule type="duplicateValues" dxfId="30" priority="41"/>
  </conditionalFormatting>
  <conditionalFormatting sqref="O5604:O5649">
    <cfRule type="duplicateValues" dxfId="29" priority="18"/>
    <cfRule type="duplicateValues" dxfId="28" priority="20"/>
  </conditionalFormatting>
  <conditionalFormatting sqref="O5650:O5704">
    <cfRule type="duplicateValues" dxfId="27" priority="84"/>
    <cfRule type="duplicateValues" dxfId="26" priority="85"/>
  </conditionalFormatting>
  <conditionalFormatting sqref="O5880:O5881">
    <cfRule type="duplicateValues" dxfId="25" priority="14"/>
    <cfRule type="duplicateValues" dxfId="24" priority="16"/>
  </conditionalFormatting>
  <conditionalFormatting sqref="O6189:O6247 O1 P6188 O6249:O6252 O6255:O6260 O6263:O6280 O6282:O6283 O6294:O6296 O6298:O6300 O6302:O6303 O6307 O6309:O6312 O6315:O6316 O6321 O6323:O6325 O6327 O6331 O6333:O6335 O6339:O6340 O6343:O6345 O6347 O6349 O6351:O6352 O6354 O6357:O6361 O6365:O6367 O6369 O6371 O6373:O6375 O6377:O6378 O6384:O6392 O6401 O6404 O6407 O6411 O6413:O6415 O6418 O6422 O6424:O6443 O6445:O6446 O6459:O6482 O6484:O6502 O6506:O6519 O6522:O6555 O6563:O6570 O6573 O6576:O1048576 O3:O6187">
    <cfRule type="duplicateValues" dxfId="23" priority="4"/>
    <cfRule type="duplicateValues" dxfId="22" priority="6"/>
    <cfRule type="duplicateValues" dxfId="21" priority="7"/>
  </conditionalFormatting>
  <conditionalFormatting sqref="O6204:O6247">
    <cfRule type="duplicateValues" dxfId="20" priority="10"/>
  </conditionalFormatting>
  <conditionalFormatting sqref="O6665:O1048576 O5705:O5879 O1 O5882:O6187 O6189:O6203 P6188 O3:O5603">
    <cfRule type="duplicateValues" dxfId="19" priority="28"/>
    <cfRule type="duplicateValues" dxfId="18" priority="30"/>
  </conditionalFormatting>
  <conditionalFormatting sqref="O1:P1">
    <cfRule type="duplicateValues" dxfId="17" priority="60"/>
  </conditionalFormatting>
  <conditionalFormatting sqref="P4827">
    <cfRule type="duplicateValues" dxfId="16" priority="32"/>
    <cfRule type="duplicateValues" dxfId="15" priority="33"/>
    <cfRule type="duplicateValues" dxfId="14" priority="34"/>
    <cfRule type="duplicateValues" dxfId="13" priority="35"/>
    <cfRule type="duplicateValues" dxfId="12" priority="36"/>
    <cfRule type="duplicateValues" dxfId="11" priority="37"/>
  </conditionalFormatting>
  <conditionalFormatting sqref="P4828:P5557 P1:P4826">
    <cfRule type="duplicateValues" dxfId="10" priority="80"/>
    <cfRule type="duplicateValues" dxfId="9" priority="81"/>
  </conditionalFormatting>
  <conditionalFormatting sqref="P5593 P5588 P5576 P5573 P5567 P5561">
    <cfRule type="duplicateValues" dxfId="8" priority="22"/>
    <cfRule type="duplicateValues" dxfId="7" priority="23"/>
    <cfRule type="duplicateValues" dxfId="6" priority="24"/>
    <cfRule type="duplicateValues" dxfId="5" priority="25"/>
    <cfRule type="duplicateValues" dxfId="4" priority="26"/>
    <cfRule type="duplicateValues" dxfId="3" priority="27"/>
  </conditionalFormatting>
  <conditionalFormatting sqref="P6665:P1048576 P6189:P6576 P1:P6187">
    <cfRule type="duplicateValues" dxfId="2" priority="13"/>
  </conditionalFormatting>
  <conditionalFormatting sqref="B1:B5291">
    <cfRule type="duplicateValues" dxfId="1" priority="106"/>
    <cfRule type="duplicateValues" dxfId="0" priority="10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8EC65-0883-4344-97FC-1EBC6974FFC8}">
  <dimension ref="A1:ER372"/>
  <sheetViews>
    <sheetView topLeftCell="A160" workbookViewId="0">
      <selection activeCell="D16" sqref="D16"/>
    </sheetView>
  </sheetViews>
  <sheetFormatPr defaultColWidth="9.21875" defaultRowHeight="14.4"/>
  <cols>
    <col min="1" max="1" width="35.77734375" style="57" bestFit="1" customWidth="1"/>
    <col min="2" max="2" width="23.33203125" style="57" customWidth="1"/>
    <col min="3" max="3" width="21.5546875" style="57" customWidth="1"/>
    <col min="4" max="4" width="19.44140625" style="57" bestFit="1" customWidth="1"/>
    <col min="5" max="5" width="26.6640625" style="57" customWidth="1"/>
    <col min="6" max="6" width="8.44140625" style="57" bestFit="1" customWidth="1"/>
    <col min="7" max="7" width="6.6640625" style="57" bestFit="1" customWidth="1"/>
    <col min="8" max="8" width="9.109375" style="57" bestFit="1" customWidth="1"/>
    <col min="9" max="9" width="12.5546875" style="57" bestFit="1" customWidth="1"/>
    <col min="10" max="10" width="9" style="57" bestFit="1" customWidth="1"/>
    <col min="11" max="11" width="11.21875" style="57" bestFit="1" customWidth="1"/>
    <col min="12" max="12" width="19.5546875" style="57" bestFit="1" customWidth="1"/>
    <col min="13" max="13" width="11.5546875" style="57" bestFit="1" customWidth="1"/>
    <col min="14" max="14" width="19.44140625" style="57" bestFit="1" customWidth="1"/>
    <col min="15" max="15" width="4.77734375" style="57" bestFit="1" customWidth="1"/>
    <col min="16" max="16" width="6" style="57" bestFit="1" customWidth="1"/>
    <col min="17" max="17" width="8.77734375" style="57" bestFit="1" customWidth="1"/>
    <col min="18" max="18" width="5.44140625" style="57" bestFit="1" customWidth="1"/>
    <col min="19" max="19" width="9.5546875" style="57" bestFit="1" customWidth="1"/>
    <col min="20" max="20" width="13.5546875" style="57" bestFit="1" customWidth="1"/>
    <col min="21" max="21" width="11.109375" style="57" bestFit="1" customWidth="1"/>
    <col min="22" max="22" width="11.5546875" style="57" bestFit="1" customWidth="1"/>
    <col min="23" max="23" width="13.88671875" style="57" bestFit="1" customWidth="1"/>
    <col min="24" max="24" width="13.33203125" style="57" bestFit="1" customWidth="1"/>
    <col min="25" max="25" width="11.77734375" style="57" bestFit="1" customWidth="1"/>
    <col min="26" max="26" width="12.33203125" style="57" bestFit="1" customWidth="1"/>
    <col min="27" max="27" width="11.21875" style="57" bestFit="1" customWidth="1"/>
    <col min="28" max="28" width="14.44140625" style="57" bestFit="1" customWidth="1"/>
    <col min="29" max="29" width="13.44140625" style="57" bestFit="1" customWidth="1"/>
    <col min="30" max="30" width="13.77734375" style="57" bestFit="1" customWidth="1"/>
    <col min="31" max="31" width="12.21875" style="57" bestFit="1" customWidth="1"/>
    <col min="32" max="32" width="13.5546875" style="57" bestFit="1" customWidth="1"/>
    <col min="33" max="33" width="14" style="57" bestFit="1" customWidth="1"/>
    <col min="34" max="34" width="12.109375" style="57" bestFit="1" customWidth="1"/>
    <col min="35" max="35" width="10.77734375" style="57" bestFit="1" customWidth="1"/>
    <col min="36" max="36" width="11.88671875" style="57" bestFit="1" customWidth="1"/>
    <col min="37" max="37" width="12.44140625" style="57" bestFit="1" customWidth="1"/>
    <col min="38" max="38" width="15.44140625" style="57" bestFit="1" customWidth="1"/>
    <col min="39" max="39" width="14.33203125" style="57" bestFit="1" customWidth="1"/>
    <col min="40" max="40" width="14.88671875" style="57" bestFit="1" customWidth="1"/>
    <col min="41" max="41" width="9.109375" style="57" bestFit="1" customWidth="1"/>
    <col min="42" max="42" width="8.77734375" style="57" bestFit="1" customWidth="1"/>
    <col min="43" max="43" width="7.21875" style="57" bestFit="1" customWidth="1"/>
    <col min="44" max="44" width="5.88671875" style="57" bestFit="1" customWidth="1"/>
    <col min="45" max="45" width="14.33203125" style="57" bestFit="1" customWidth="1"/>
    <col min="46" max="46" width="5.77734375" style="57" bestFit="1" customWidth="1"/>
    <col min="47" max="47" width="7.21875" style="57" bestFit="1" customWidth="1"/>
    <col min="48" max="48" width="8.77734375" style="57" bestFit="1" customWidth="1"/>
    <col min="49" max="49" width="5.5546875" style="57" bestFit="1" customWidth="1"/>
    <col min="50" max="50" width="10.21875" style="57" bestFit="1" customWidth="1"/>
    <col min="51" max="51" width="11.6640625" style="57" bestFit="1" customWidth="1"/>
    <col min="52" max="52" width="26.77734375" style="57" bestFit="1" customWidth="1"/>
    <col min="53" max="53" width="17.6640625" style="57" bestFit="1" customWidth="1"/>
    <col min="54" max="54" width="26.21875" style="57" bestFit="1" customWidth="1"/>
    <col min="55" max="55" width="4.5546875" style="57" bestFit="1" customWidth="1"/>
    <col min="56" max="56" width="9.109375" style="57" bestFit="1" customWidth="1"/>
    <col min="57" max="57" width="11" style="57" bestFit="1" customWidth="1"/>
    <col min="58" max="58" width="6.88671875" style="57" bestFit="1" customWidth="1"/>
    <col min="59" max="59" width="5.6640625" style="57" bestFit="1" customWidth="1"/>
    <col min="60" max="60" width="10.33203125" style="57" bestFit="1" customWidth="1"/>
    <col min="61" max="61" width="4.5546875" style="57" bestFit="1" customWidth="1"/>
    <col min="62" max="62" width="4.33203125" style="57" bestFit="1" customWidth="1"/>
    <col min="63" max="63" width="8.77734375" style="57" bestFit="1" customWidth="1"/>
    <col min="64" max="64" width="9.77734375" style="57" bestFit="1" customWidth="1"/>
    <col min="65" max="65" width="8" style="57" bestFit="1" customWidth="1"/>
    <col min="66" max="66" width="10.6640625" style="57" bestFit="1" customWidth="1"/>
    <col min="67" max="67" width="8.88671875" style="57" bestFit="1" customWidth="1"/>
    <col min="68" max="68" width="8" style="57" bestFit="1" customWidth="1"/>
    <col min="69" max="69" width="6" style="57" bestFit="1" customWidth="1"/>
    <col min="70" max="70" width="10.109375" style="57" bestFit="1" customWidth="1"/>
    <col min="71" max="71" width="11.88671875" style="57" bestFit="1" customWidth="1"/>
    <col min="72" max="72" width="7.44140625" style="57" bestFit="1" customWidth="1"/>
    <col min="73" max="73" width="9" style="57" bestFit="1" customWidth="1"/>
    <col min="74" max="74" width="6.77734375" style="57" bestFit="1" customWidth="1"/>
    <col min="75" max="75" width="5" style="57" bestFit="1" customWidth="1"/>
    <col min="76" max="76" width="4.5546875" style="57" bestFit="1" customWidth="1"/>
    <col min="77" max="77" width="7.33203125" style="57" bestFit="1" customWidth="1"/>
    <col min="78" max="78" width="6" style="57" bestFit="1" customWidth="1"/>
    <col min="79" max="79" width="9.109375" style="57" bestFit="1" customWidth="1"/>
    <col min="80" max="80" width="5" style="57" bestFit="1" customWidth="1"/>
    <col min="81" max="81" width="9.33203125" style="57" bestFit="1" customWidth="1"/>
    <col min="82" max="82" width="6.88671875" style="57" bestFit="1" customWidth="1"/>
    <col min="83" max="83" width="10.77734375" style="57" bestFit="1" customWidth="1"/>
    <col min="84" max="84" width="9.6640625" style="57" bestFit="1" customWidth="1"/>
    <col min="85" max="85" width="7.6640625" style="57" bestFit="1" customWidth="1"/>
    <col min="86" max="86" width="7.21875" style="57" bestFit="1" customWidth="1"/>
    <col min="87" max="87" width="5.88671875" style="57" bestFit="1" customWidth="1"/>
    <col min="88" max="88" width="6.5546875" style="57" bestFit="1" customWidth="1"/>
    <col min="89" max="89" width="7.77734375" style="57" bestFit="1" customWidth="1"/>
    <col min="90" max="90" width="5.6640625" style="57" bestFit="1" customWidth="1"/>
    <col min="91" max="91" width="29.44140625" style="57" bestFit="1" customWidth="1"/>
    <col min="92" max="92" width="6.6640625" style="57" bestFit="1" customWidth="1"/>
    <col min="93" max="93" width="6.21875" style="57" bestFit="1" customWidth="1"/>
    <col min="94" max="94" width="13.44140625" style="57" bestFit="1" customWidth="1"/>
    <col min="95" max="95" width="6.109375" style="57" bestFit="1" customWidth="1"/>
    <col min="96" max="96" width="8" style="57" bestFit="1" customWidth="1"/>
    <col min="97" max="97" width="8.6640625" style="57" bestFit="1" customWidth="1"/>
    <col min="98" max="98" width="9.109375" style="57" bestFit="1" customWidth="1"/>
    <col min="99" max="99" width="12.33203125" style="57" bestFit="1" customWidth="1"/>
    <col min="100" max="100" width="8.77734375" style="57" bestFit="1" customWidth="1"/>
    <col min="101" max="101" width="11.109375" style="57" bestFit="1" customWidth="1"/>
    <col min="102" max="102" width="12.21875" style="57" bestFit="1" customWidth="1"/>
    <col min="103" max="103" width="8" style="57" bestFit="1" customWidth="1"/>
    <col min="104" max="104" width="6.109375" style="57" bestFit="1" customWidth="1"/>
    <col min="105" max="105" width="6.5546875" style="57" bestFit="1" customWidth="1"/>
    <col min="106" max="106" width="13.77734375" style="57" bestFit="1" customWidth="1"/>
    <col min="107" max="107" width="12.77734375" style="57" bestFit="1" customWidth="1"/>
    <col min="108" max="108" width="28.33203125" style="57" bestFit="1" customWidth="1"/>
    <col min="109" max="109" width="10.109375" style="57" bestFit="1" customWidth="1"/>
    <col min="110" max="110" width="5.44140625" style="57" bestFit="1" customWidth="1"/>
    <col min="111" max="111" width="5.6640625" style="57" bestFit="1" customWidth="1"/>
    <col min="112" max="112" width="13.44140625" style="57" bestFit="1" customWidth="1"/>
    <col min="113" max="113" width="6.77734375" style="57" bestFit="1" customWidth="1"/>
    <col min="114" max="114" width="15.109375" style="57" bestFit="1" customWidth="1"/>
    <col min="115" max="115" width="11.109375" style="57" bestFit="1" customWidth="1"/>
    <col min="116" max="116" width="12.88671875" style="57" bestFit="1" customWidth="1"/>
    <col min="117" max="117" width="15.5546875" style="57" bestFit="1" customWidth="1"/>
    <col min="118" max="118" width="12.21875" style="57" bestFit="1" customWidth="1"/>
    <col min="119" max="119" width="16.88671875" style="57" bestFit="1" customWidth="1"/>
    <col min="120" max="120" width="14.6640625" style="57" bestFit="1" customWidth="1"/>
    <col min="121" max="121" width="10.109375" style="57" bestFit="1" customWidth="1"/>
    <col min="122" max="122" width="7.88671875" style="57" bestFit="1" customWidth="1"/>
    <col min="123" max="123" width="9.5546875" style="57" bestFit="1" customWidth="1"/>
    <col min="124" max="124" width="12.33203125" style="57" bestFit="1" customWidth="1"/>
    <col min="125" max="125" width="9" style="57" bestFit="1" customWidth="1"/>
    <col min="126" max="126" width="11.88671875" style="57" bestFit="1" customWidth="1"/>
    <col min="127" max="127" width="23" style="57" bestFit="1" customWidth="1"/>
    <col min="128" max="128" width="27.109375" style="57" bestFit="1" customWidth="1"/>
    <col min="129" max="129" width="21.77734375" style="57" bestFit="1" customWidth="1"/>
    <col min="130" max="130" width="6.6640625" style="57" bestFit="1" customWidth="1"/>
    <col min="131" max="131" width="24.109375" style="57" bestFit="1" customWidth="1"/>
    <col min="132" max="132" width="5.5546875" style="57" bestFit="1" customWidth="1"/>
    <col min="133" max="133" width="14.6640625" style="57" bestFit="1" customWidth="1"/>
    <col min="134" max="134" width="5.109375" style="57" bestFit="1" customWidth="1"/>
    <col min="135" max="135" width="14.6640625" style="57" bestFit="1" customWidth="1"/>
    <col min="136" max="136" width="18.77734375" style="57" bestFit="1" customWidth="1"/>
    <col min="137" max="137" width="5.109375" style="57" bestFit="1" customWidth="1"/>
    <col min="138" max="138" width="22.21875" style="57" bestFit="1" customWidth="1"/>
    <col min="139" max="139" width="21.5546875" style="57" bestFit="1" customWidth="1"/>
    <col min="140" max="140" width="3.88671875" style="57" bestFit="1" customWidth="1"/>
    <col min="141" max="141" width="5.6640625" style="57" bestFit="1" customWidth="1"/>
    <col min="142" max="142" width="8.33203125" style="57" bestFit="1" customWidth="1"/>
    <col min="143" max="143" width="7.88671875" style="57" bestFit="1" customWidth="1"/>
    <col min="144" max="144" width="9.33203125" style="57" bestFit="1" customWidth="1"/>
    <col min="145" max="145" width="5.77734375" style="57" bestFit="1" customWidth="1"/>
    <col min="146" max="146" width="12.44140625" style="57" bestFit="1" customWidth="1"/>
    <col min="147" max="147" width="7.33203125" style="57" bestFit="1" customWidth="1"/>
    <col min="148" max="148" width="11" style="57" bestFit="1" customWidth="1"/>
    <col min="149" max="16384" width="9.21875" style="57"/>
  </cols>
  <sheetData>
    <row r="1" spans="1:12">
      <c r="A1" s="56" t="s">
        <v>1349</v>
      </c>
      <c r="B1" s="56" t="s">
        <v>1350</v>
      </c>
      <c r="C1" s="56" t="s">
        <v>1351</v>
      </c>
      <c r="D1" s="56" t="s">
        <v>1352</v>
      </c>
      <c r="E1" s="56" t="s">
        <v>1353</v>
      </c>
      <c r="F1" s="57" t="s">
        <v>1354</v>
      </c>
      <c r="G1" s="57" t="s">
        <v>1355</v>
      </c>
      <c r="H1" s="57" t="s">
        <v>1356</v>
      </c>
      <c r="I1" s="57" t="s">
        <v>1357</v>
      </c>
      <c r="J1" s="57" t="s">
        <v>1358</v>
      </c>
      <c r="K1" s="57" t="s">
        <v>1359</v>
      </c>
      <c r="L1" s="57" t="s">
        <v>1360</v>
      </c>
    </row>
    <row r="2" spans="1:12">
      <c r="A2" s="57" t="s">
        <v>581</v>
      </c>
      <c r="B2" s="57" t="s">
        <v>1361</v>
      </c>
      <c r="C2" s="57" t="s">
        <v>118</v>
      </c>
      <c r="D2" s="57" t="s">
        <v>1362</v>
      </c>
      <c r="E2" s="57" t="s">
        <v>1363</v>
      </c>
      <c r="F2" s="57">
        <v>1</v>
      </c>
      <c r="G2" s="57">
        <v>9</v>
      </c>
      <c r="H2" s="57">
        <v>3</v>
      </c>
      <c r="I2" s="57">
        <v>4</v>
      </c>
      <c r="J2" s="57">
        <v>5</v>
      </c>
      <c r="K2" s="58">
        <v>45658</v>
      </c>
      <c r="L2" s="58">
        <v>584389</v>
      </c>
    </row>
    <row r="3" spans="1:12">
      <c r="A3" s="57" t="s">
        <v>377</v>
      </c>
      <c r="B3" s="57" t="s">
        <v>377</v>
      </c>
      <c r="C3" s="57" t="s">
        <v>1364</v>
      </c>
      <c r="D3" s="57" t="s">
        <v>1365</v>
      </c>
      <c r="E3" s="57" t="s">
        <v>1363</v>
      </c>
      <c r="F3" s="57">
        <v>2</v>
      </c>
      <c r="G3" s="57">
        <v>8</v>
      </c>
      <c r="H3" s="57" t="s">
        <v>1366</v>
      </c>
      <c r="I3" s="57">
        <v>4</v>
      </c>
      <c r="J3" s="57">
        <v>11</v>
      </c>
      <c r="K3" s="58">
        <v>45658</v>
      </c>
      <c r="L3" s="58">
        <v>584389</v>
      </c>
    </row>
    <row r="4" spans="1:12">
      <c r="A4" s="57" t="s">
        <v>447</v>
      </c>
      <c r="B4" s="57" t="s">
        <v>117</v>
      </c>
      <c r="C4" s="57" t="s">
        <v>94</v>
      </c>
      <c r="D4" s="57" t="s">
        <v>95</v>
      </c>
      <c r="E4" s="57" t="s">
        <v>96</v>
      </c>
      <c r="F4" s="57">
        <v>3</v>
      </c>
      <c r="G4" s="57">
        <v>3</v>
      </c>
      <c r="H4" s="57">
        <v>1</v>
      </c>
      <c r="I4" s="57">
        <v>3</v>
      </c>
      <c r="J4" s="57">
        <v>6</v>
      </c>
      <c r="K4" s="58">
        <v>45658</v>
      </c>
      <c r="L4" s="58">
        <v>584389</v>
      </c>
    </row>
    <row r="5" spans="1:12">
      <c r="A5" s="57" t="s">
        <v>919</v>
      </c>
      <c r="B5" s="57" t="s">
        <v>1361</v>
      </c>
      <c r="C5" s="57" t="s">
        <v>118</v>
      </c>
      <c r="D5" s="57" t="s">
        <v>1362</v>
      </c>
      <c r="E5" s="57" t="s">
        <v>1363</v>
      </c>
      <c r="F5" s="57">
        <v>4</v>
      </c>
      <c r="G5" s="57">
        <v>14</v>
      </c>
      <c r="H5" s="57">
        <v>3</v>
      </c>
      <c r="I5" s="57">
        <v>4</v>
      </c>
      <c r="J5" s="57">
        <v>5</v>
      </c>
      <c r="K5" s="58">
        <v>45658</v>
      </c>
      <c r="L5" s="58">
        <v>584389</v>
      </c>
    </row>
    <row r="6" spans="1:12">
      <c r="A6" s="57" t="s">
        <v>1367</v>
      </c>
      <c r="B6" s="57" t="s">
        <v>73</v>
      </c>
      <c r="C6" s="57" t="s">
        <v>75</v>
      </c>
      <c r="D6" s="57" t="s">
        <v>75</v>
      </c>
      <c r="E6" s="57" t="s">
        <v>75</v>
      </c>
      <c r="F6" s="57">
        <v>5</v>
      </c>
      <c r="G6" s="57">
        <v>4</v>
      </c>
      <c r="H6" s="57">
        <v>2</v>
      </c>
      <c r="I6" s="57">
        <v>2</v>
      </c>
      <c r="J6" s="57">
        <v>9</v>
      </c>
      <c r="K6" s="58">
        <v>45658</v>
      </c>
      <c r="L6" s="58">
        <v>584389</v>
      </c>
    </row>
    <row r="7" spans="1:12">
      <c r="A7" s="57" t="s">
        <v>411</v>
      </c>
      <c r="B7" s="57" t="s">
        <v>84</v>
      </c>
      <c r="C7" s="57" t="s">
        <v>86</v>
      </c>
      <c r="D7" s="57" t="s">
        <v>86</v>
      </c>
      <c r="E7" s="57" t="s">
        <v>87</v>
      </c>
      <c r="F7" s="57">
        <v>6</v>
      </c>
      <c r="G7" s="57">
        <v>17</v>
      </c>
      <c r="H7" s="57">
        <v>7</v>
      </c>
      <c r="I7" s="57">
        <v>1</v>
      </c>
      <c r="J7" s="57">
        <v>10</v>
      </c>
      <c r="K7" s="58">
        <v>45778</v>
      </c>
      <c r="L7" s="58">
        <v>584389</v>
      </c>
    </row>
    <row r="8" spans="1:12">
      <c r="A8" s="57" t="s">
        <v>653</v>
      </c>
      <c r="B8" s="57" t="s">
        <v>1368</v>
      </c>
      <c r="C8" s="57" t="s">
        <v>1369</v>
      </c>
      <c r="D8" s="57" t="s">
        <v>1370</v>
      </c>
      <c r="E8" s="57" t="s">
        <v>96</v>
      </c>
      <c r="F8" s="57">
        <v>7</v>
      </c>
      <c r="G8" s="57">
        <v>21</v>
      </c>
      <c r="H8" s="57">
        <v>5</v>
      </c>
      <c r="I8" s="57">
        <v>3</v>
      </c>
      <c r="J8" s="57">
        <v>4</v>
      </c>
      <c r="K8" s="58">
        <v>45658</v>
      </c>
      <c r="L8" s="58">
        <v>584389</v>
      </c>
    </row>
    <row r="9" spans="1:12">
      <c r="A9" s="57" t="s">
        <v>194</v>
      </c>
      <c r="B9" s="57" t="s">
        <v>1368</v>
      </c>
      <c r="C9" s="57" t="s">
        <v>1369</v>
      </c>
      <c r="D9" s="57" t="s">
        <v>1370</v>
      </c>
      <c r="E9" s="57" t="s">
        <v>96</v>
      </c>
      <c r="F9" s="57">
        <v>8</v>
      </c>
      <c r="G9" s="57">
        <v>21</v>
      </c>
      <c r="H9" s="57">
        <v>5</v>
      </c>
      <c r="I9" s="57">
        <v>3</v>
      </c>
      <c r="J9" s="57">
        <v>4</v>
      </c>
      <c r="K9" s="58">
        <v>45658</v>
      </c>
      <c r="L9" s="58">
        <v>584389</v>
      </c>
    </row>
    <row r="10" spans="1:12">
      <c r="A10" s="57" t="s">
        <v>926</v>
      </c>
      <c r="B10" s="57" t="s">
        <v>84</v>
      </c>
      <c r="C10" s="57" t="s">
        <v>85</v>
      </c>
      <c r="D10" s="57" t="s">
        <v>86</v>
      </c>
      <c r="E10" s="57" t="s">
        <v>87</v>
      </c>
      <c r="F10" s="57">
        <v>9</v>
      </c>
      <c r="G10" s="57">
        <v>20</v>
      </c>
      <c r="H10" s="57">
        <v>7</v>
      </c>
      <c r="I10" s="57">
        <v>1</v>
      </c>
      <c r="J10" s="57">
        <v>10</v>
      </c>
      <c r="K10" s="58">
        <v>45778</v>
      </c>
      <c r="L10" s="58">
        <v>584389</v>
      </c>
    </row>
    <row r="11" spans="1:12">
      <c r="A11" s="57" t="s">
        <v>288</v>
      </c>
      <c r="B11" s="57" t="s">
        <v>1371</v>
      </c>
      <c r="C11" s="57" t="s">
        <v>1372</v>
      </c>
      <c r="D11" s="57" t="s">
        <v>1373</v>
      </c>
      <c r="E11" s="57" t="s">
        <v>87</v>
      </c>
      <c r="F11" s="57">
        <v>10</v>
      </c>
      <c r="G11" s="57">
        <v>2</v>
      </c>
      <c r="H11" s="57">
        <v>6</v>
      </c>
      <c r="I11" s="57">
        <v>1</v>
      </c>
      <c r="J11" s="57">
        <v>2</v>
      </c>
      <c r="K11" s="58">
        <v>45658</v>
      </c>
      <c r="L11" s="58">
        <v>584389</v>
      </c>
    </row>
    <row r="12" spans="1:12">
      <c r="A12" s="57" t="s">
        <v>956</v>
      </c>
      <c r="B12" s="57" t="s">
        <v>1371</v>
      </c>
      <c r="C12" s="57" t="s">
        <v>1373</v>
      </c>
      <c r="D12" s="57" t="s">
        <v>1373</v>
      </c>
      <c r="E12" s="57" t="s">
        <v>87</v>
      </c>
      <c r="F12" s="57">
        <v>11</v>
      </c>
      <c r="G12" s="57">
        <v>19</v>
      </c>
      <c r="H12" s="57">
        <v>6</v>
      </c>
      <c r="I12" s="57">
        <v>1</v>
      </c>
      <c r="J12" s="57">
        <v>2</v>
      </c>
      <c r="K12" s="58">
        <v>45658</v>
      </c>
      <c r="L12" s="58">
        <v>584389</v>
      </c>
    </row>
    <row r="13" spans="1:12">
      <c r="A13" s="57" t="s">
        <v>488</v>
      </c>
      <c r="B13" s="57" t="s">
        <v>1371</v>
      </c>
      <c r="C13" s="57" t="s">
        <v>1372</v>
      </c>
      <c r="D13" s="57" t="s">
        <v>1373</v>
      </c>
      <c r="E13" s="57" t="s">
        <v>87</v>
      </c>
      <c r="F13" s="57">
        <v>12</v>
      </c>
      <c r="G13" s="57">
        <v>19</v>
      </c>
      <c r="H13" s="57">
        <v>6</v>
      </c>
      <c r="I13" s="57">
        <v>1</v>
      </c>
      <c r="J13" s="57">
        <v>2</v>
      </c>
      <c r="K13" s="58">
        <v>45658</v>
      </c>
      <c r="L13" s="58">
        <v>584389</v>
      </c>
    </row>
    <row r="14" spans="1:12">
      <c r="A14" s="57" t="s">
        <v>207</v>
      </c>
      <c r="B14" s="57" t="s">
        <v>1371</v>
      </c>
      <c r="C14" s="57" t="s">
        <v>1373</v>
      </c>
      <c r="D14" s="57" t="s">
        <v>1373</v>
      </c>
      <c r="E14" s="57" t="s">
        <v>87</v>
      </c>
      <c r="F14" s="57">
        <v>12</v>
      </c>
      <c r="G14" s="57">
        <v>19</v>
      </c>
      <c r="H14" s="57">
        <v>6</v>
      </c>
      <c r="I14" s="57">
        <v>1</v>
      </c>
      <c r="J14" s="57">
        <v>2</v>
      </c>
      <c r="K14" s="58">
        <v>45658</v>
      </c>
      <c r="L14" s="58">
        <v>584389</v>
      </c>
    </row>
    <row r="15" spans="1:12" customFormat="1">
      <c r="A15" s="59" t="s">
        <v>351</v>
      </c>
      <c r="B15" s="59" t="s">
        <v>124</v>
      </c>
      <c r="C15" s="59" t="s">
        <v>123</v>
      </c>
      <c r="D15" t="s">
        <v>87</v>
      </c>
      <c r="E15" s="59" t="s">
        <v>87</v>
      </c>
    </row>
    <row r="16" spans="1:12" customFormat="1">
      <c r="A16" s="59" t="s">
        <v>931</v>
      </c>
      <c r="B16" s="59" t="s">
        <v>124</v>
      </c>
      <c r="C16" s="59" t="s">
        <v>123</v>
      </c>
      <c r="D16" s="57" t="s">
        <v>87</v>
      </c>
      <c r="E16" s="59" t="s">
        <v>87</v>
      </c>
    </row>
    <row r="17" spans="1:12" customFormat="1">
      <c r="A17" s="59" t="s">
        <v>966</v>
      </c>
      <c r="B17" s="59" t="s">
        <v>124</v>
      </c>
      <c r="C17" s="59" t="s">
        <v>123</v>
      </c>
      <c r="D17" s="59" t="s">
        <v>87</v>
      </c>
      <c r="E17" s="59" t="s">
        <v>87</v>
      </c>
    </row>
    <row r="18" spans="1:12" customFormat="1">
      <c r="A18" s="59" t="s">
        <v>1374</v>
      </c>
      <c r="B18" s="59" t="s">
        <v>124</v>
      </c>
      <c r="C18" s="59" t="s">
        <v>123</v>
      </c>
      <c r="D18" s="59" t="s">
        <v>87</v>
      </c>
      <c r="E18" s="59" t="s">
        <v>87</v>
      </c>
    </row>
    <row r="19" spans="1:12" customFormat="1">
      <c r="A19" s="59" t="s">
        <v>1375</v>
      </c>
      <c r="B19" s="59" t="s">
        <v>124</v>
      </c>
      <c r="C19" s="59" t="s">
        <v>123</v>
      </c>
      <c r="D19" s="59" t="s">
        <v>87</v>
      </c>
      <c r="E19" s="59" t="s">
        <v>87</v>
      </c>
    </row>
    <row r="20" spans="1:12" customFormat="1">
      <c r="A20" s="59" t="s">
        <v>928</v>
      </c>
      <c r="B20" s="59" t="s">
        <v>124</v>
      </c>
      <c r="C20" s="59" t="s">
        <v>125</v>
      </c>
      <c r="D20" s="59" t="s">
        <v>87</v>
      </c>
      <c r="E20" s="59" t="s">
        <v>87</v>
      </c>
    </row>
    <row r="21" spans="1:12" customFormat="1">
      <c r="A21" s="59" t="s">
        <v>1376</v>
      </c>
      <c r="B21" s="59" t="s">
        <v>124</v>
      </c>
      <c r="C21" s="59" t="s">
        <v>123</v>
      </c>
      <c r="D21" s="59" t="s">
        <v>87</v>
      </c>
      <c r="E21" s="59" t="s">
        <v>87</v>
      </c>
    </row>
    <row r="22" spans="1:12" customFormat="1">
      <c r="A22" s="59" t="s">
        <v>1377</v>
      </c>
      <c r="B22" s="59" t="s">
        <v>124</v>
      </c>
      <c r="C22" s="59" t="s">
        <v>125</v>
      </c>
      <c r="D22" s="59" t="s">
        <v>87</v>
      </c>
      <c r="E22" s="59" t="s">
        <v>87</v>
      </c>
    </row>
    <row r="23" spans="1:12" customFormat="1">
      <c r="A23" s="59" t="s">
        <v>1377</v>
      </c>
      <c r="B23" s="59" t="s">
        <v>124</v>
      </c>
      <c r="C23" s="59" t="s">
        <v>125</v>
      </c>
      <c r="D23" s="59" t="s">
        <v>87</v>
      </c>
      <c r="E23" s="59" t="s">
        <v>87</v>
      </c>
    </row>
    <row r="24" spans="1:12" customFormat="1">
      <c r="A24" s="59" t="s">
        <v>354</v>
      </c>
      <c r="B24" s="59" t="s">
        <v>124</v>
      </c>
      <c r="C24" s="59" t="s">
        <v>125</v>
      </c>
      <c r="D24" s="59" t="s">
        <v>87</v>
      </c>
      <c r="E24" s="59" t="s">
        <v>87</v>
      </c>
    </row>
    <row r="25" spans="1:12" customFormat="1">
      <c r="A25" s="59" t="s">
        <v>947</v>
      </c>
      <c r="B25" s="59" t="s">
        <v>124</v>
      </c>
      <c r="C25" s="59" t="s">
        <v>125</v>
      </c>
      <c r="D25" s="59" t="s">
        <v>87</v>
      </c>
      <c r="E25" s="59" t="s">
        <v>87</v>
      </c>
    </row>
    <row r="26" spans="1:12" customFormat="1">
      <c r="A26" s="59" t="s">
        <v>1378</v>
      </c>
      <c r="B26" s="59" t="s">
        <v>124</v>
      </c>
      <c r="C26" s="59" t="s">
        <v>125</v>
      </c>
      <c r="D26" s="59" t="s">
        <v>87</v>
      </c>
      <c r="E26" s="57" t="s">
        <v>87</v>
      </c>
      <c r="F26">
        <v>12</v>
      </c>
      <c r="G26">
        <v>19</v>
      </c>
      <c r="H26">
        <v>6</v>
      </c>
      <c r="I26">
        <v>1</v>
      </c>
      <c r="J26">
        <v>2</v>
      </c>
      <c r="K26">
        <v>45658</v>
      </c>
      <c r="L26">
        <v>584389</v>
      </c>
    </row>
    <row r="27" spans="1:12" customFormat="1">
      <c r="A27" s="59" t="s">
        <v>1379</v>
      </c>
      <c r="B27" s="59" t="s">
        <v>124</v>
      </c>
      <c r="C27" s="59" t="s">
        <v>125</v>
      </c>
      <c r="D27" s="59" t="s">
        <v>87</v>
      </c>
      <c r="E27" s="57" t="s">
        <v>87</v>
      </c>
      <c r="F27">
        <v>12</v>
      </c>
      <c r="G27">
        <v>19</v>
      </c>
      <c r="H27">
        <v>6</v>
      </c>
      <c r="I27">
        <v>1</v>
      </c>
      <c r="J27">
        <v>2</v>
      </c>
      <c r="K27">
        <v>45658</v>
      </c>
      <c r="L27">
        <v>584389</v>
      </c>
    </row>
    <row r="28" spans="1:12" customFormat="1">
      <c r="A28" s="59" t="s">
        <v>1380</v>
      </c>
      <c r="B28" s="59" t="s">
        <v>124</v>
      </c>
      <c r="C28" s="59" t="s">
        <v>125</v>
      </c>
      <c r="D28" s="59" t="s">
        <v>87</v>
      </c>
      <c r="E28" s="57" t="s">
        <v>87</v>
      </c>
      <c r="F28">
        <v>12</v>
      </c>
      <c r="G28">
        <v>19</v>
      </c>
      <c r="H28">
        <v>6</v>
      </c>
      <c r="I28">
        <v>1</v>
      </c>
      <c r="J28">
        <v>2</v>
      </c>
      <c r="K28">
        <v>45658</v>
      </c>
      <c r="L28">
        <v>584389</v>
      </c>
    </row>
    <row r="29" spans="1:12" customFormat="1">
      <c r="A29" s="59" t="s">
        <v>1381</v>
      </c>
      <c r="B29" s="59" t="s">
        <v>124</v>
      </c>
      <c r="C29" s="59" t="s">
        <v>125</v>
      </c>
      <c r="D29" s="59" t="s">
        <v>87</v>
      </c>
      <c r="E29" s="57" t="s">
        <v>87</v>
      </c>
      <c r="F29">
        <v>12</v>
      </c>
      <c r="G29">
        <v>19</v>
      </c>
      <c r="H29">
        <v>6</v>
      </c>
      <c r="I29">
        <v>1</v>
      </c>
      <c r="J29">
        <v>2</v>
      </c>
      <c r="K29">
        <v>45658</v>
      </c>
      <c r="L29">
        <v>584389</v>
      </c>
    </row>
    <row r="30" spans="1:12" customFormat="1">
      <c r="A30" s="59" t="s">
        <v>202</v>
      </c>
      <c r="B30" s="59" t="s">
        <v>124</v>
      </c>
      <c r="C30" s="59" t="s">
        <v>125</v>
      </c>
      <c r="D30" s="59" t="s">
        <v>87</v>
      </c>
      <c r="E30" s="57" t="s">
        <v>87</v>
      </c>
      <c r="F30">
        <v>12</v>
      </c>
      <c r="G30">
        <v>19</v>
      </c>
      <c r="H30">
        <v>6</v>
      </c>
      <c r="I30">
        <v>1</v>
      </c>
      <c r="J30">
        <v>2</v>
      </c>
      <c r="K30">
        <v>45658</v>
      </c>
      <c r="L30">
        <v>584389</v>
      </c>
    </row>
    <row r="31" spans="1:12" customFormat="1">
      <c r="A31" s="59" t="s">
        <v>347</v>
      </c>
      <c r="B31" s="59" t="s">
        <v>124</v>
      </c>
      <c r="C31" s="59" t="s">
        <v>125</v>
      </c>
      <c r="D31" s="59" t="s">
        <v>87</v>
      </c>
      <c r="E31" s="57" t="s">
        <v>87</v>
      </c>
      <c r="F31">
        <v>12</v>
      </c>
      <c r="G31">
        <v>19</v>
      </c>
      <c r="H31">
        <v>6</v>
      </c>
      <c r="I31">
        <v>1</v>
      </c>
      <c r="J31">
        <v>2</v>
      </c>
      <c r="K31">
        <v>45658</v>
      </c>
      <c r="L31">
        <v>584389</v>
      </c>
    </row>
    <row r="32" spans="1:12" customFormat="1">
      <c r="A32" s="59" t="s">
        <v>1382</v>
      </c>
      <c r="B32" s="59" t="s">
        <v>124</v>
      </c>
      <c r="C32" s="59" t="s">
        <v>125</v>
      </c>
      <c r="D32" s="59" t="s">
        <v>87</v>
      </c>
      <c r="E32" s="57" t="s">
        <v>87</v>
      </c>
      <c r="F32">
        <v>12</v>
      </c>
      <c r="G32">
        <v>19</v>
      </c>
      <c r="H32">
        <v>6</v>
      </c>
      <c r="I32">
        <v>1</v>
      </c>
      <c r="J32">
        <v>2</v>
      </c>
      <c r="K32">
        <v>45658</v>
      </c>
      <c r="L32">
        <v>584389</v>
      </c>
    </row>
    <row r="33" spans="1:12" customFormat="1">
      <c r="A33" s="59" t="s">
        <v>1383</v>
      </c>
      <c r="B33" s="59" t="s">
        <v>124</v>
      </c>
      <c r="C33" s="59" t="s">
        <v>125</v>
      </c>
      <c r="D33" s="59" t="s">
        <v>87</v>
      </c>
      <c r="E33" s="57" t="s">
        <v>87</v>
      </c>
      <c r="F33">
        <v>12</v>
      </c>
      <c r="G33">
        <v>19</v>
      </c>
      <c r="H33">
        <v>6</v>
      </c>
      <c r="I33">
        <v>1</v>
      </c>
      <c r="J33">
        <v>2</v>
      </c>
      <c r="K33">
        <v>45658</v>
      </c>
      <c r="L33">
        <v>584389</v>
      </c>
    </row>
    <row r="34" spans="1:12" customFormat="1">
      <c r="A34" s="59" t="s">
        <v>1384</v>
      </c>
      <c r="B34" s="59" t="s">
        <v>124</v>
      </c>
      <c r="C34" s="59" t="s">
        <v>125</v>
      </c>
      <c r="D34" s="59" t="s">
        <v>87</v>
      </c>
      <c r="E34" s="57" t="s">
        <v>87</v>
      </c>
      <c r="F34">
        <v>12</v>
      </c>
      <c r="G34">
        <v>19</v>
      </c>
      <c r="H34">
        <v>6</v>
      </c>
      <c r="I34">
        <v>1</v>
      </c>
      <c r="J34">
        <v>2</v>
      </c>
      <c r="K34">
        <v>45658</v>
      </c>
      <c r="L34">
        <v>584389</v>
      </c>
    </row>
    <row r="35" spans="1:12" customFormat="1">
      <c r="A35" s="59" t="s">
        <v>1385</v>
      </c>
      <c r="B35" s="59" t="s">
        <v>124</v>
      </c>
      <c r="C35" s="59" t="s">
        <v>125</v>
      </c>
      <c r="D35" s="59" t="s">
        <v>87</v>
      </c>
      <c r="E35" s="57" t="s">
        <v>87</v>
      </c>
      <c r="F35">
        <v>12</v>
      </c>
      <c r="G35">
        <v>19</v>
      </c>
      <c r="H35">
        <v>6</v>
      </c>
      <c r="I35">
        <v>1</v>
      </c>
      <c r="J35">
        <v>2</v>
      </c>
      <c r="K35">
        <v>45658</v>
      </c>
      <c r="L35">
        <v>584389</v>
      </c>
    </row>
    <row r="36" spans="1:12" customFormat="1">
      <c r="A36" s="59" t="s">
        <v>1386</v>
      </c>
      <c r="B36" s="59" t="s">
        <v>124</v>
      </c>
      <c r="C36" s="59" t="s">
        <v>125</v>
      </c>
      <c r="D36" s="59" t="s">
        <v>87</v>
      </c>
      <c r="E36" s="57" t="s">
        <v>87</v>
      </c>
      <c r="F36">
        <v>12</v>
      </c>
      <c r="G36">
        <v>19</v>
      </c>
      <c r="H36">
        <v>6</v>
      </c>
      <c r="I36">
        <v>1</v>
      </c>
      <c r="J36">
        <v>2</v>
      </c>
      <c r="K36">
        <v>45658</v>
      </c>
      <c r="L36">
        <v>584389</v>
      </c>
    </row>
    <row r="37" spans="1:12" customFormat="1">
      <c r="A37" s="59" t="s">
        <v>1387</v>
      </c>
      <c r="B37" s="59" t="s">
        <v>124</v>
      </c>
      <c r="C37" s="59" t="s">
        <v>125</v>
      </c>
      <c r="D37" s="59" t="s">
        <v>87</v>
      </c>
      <c r="E37" s="57" t="s">
        <v>87</v>
      </c>
      <c r="F37">
        <v>12</v>
      </c>
      <c r="G37">
        <v>19</v>
      </c>
      <c r="H37">
        <v>6</v>
      </c>
      <c r="I37">
        <v>1</v>
      </c>
      <c r="J37">
        <v>2</v>
      </c>
      <c r="K37">
        <v>45658</v>
      </c>
      <c r="L37">
        <v>584389</v>
      </c>
    </row>
    <row r="38" spans="1:12" customFormat="1">
      <c r="A38" s="59" t="s">
        <v>1388</v>
      </c>
      <c r="B38" s="59" t="s">
        <v>124</v>
      </c>
      <c r="C38" s="59" t="s">
        <v>125</v>
      </c>
      <c r="D38" s="59" t="s">
        <v>87</v>
      </c>
      <c r="E38" s="57" t="s">
        <v>87</v>
      </c>
      <c r="F38">
        <v>12</v>
      </c>
      <c r="G38">
        <v>19</v>
      </c>
      <c r="H38">
        <v>6</v>
      </c>
      <c r="I38">
        <v>1</v>
      </c>
      <c r="J38">
        <v>2</v>
      </c>
      <c r="K38">
        <v>45658</v>
      </c>
      <c r="L38">
        <v>584389</v>
      </c>
    </row>
    <row r="39" spans="1:12" customFormat="1">
      <c r="A39" s="59" t="s">
        <v>1389</v>
      </c>
      <c r="B39" s="59" t="s">
        <v>124</v>
      </c>
      <c r="C39" s="59" t="s">
        <v>125</v>
      </c>
      <c r="D39" s="59" t="s">
        <v>87</v>
      </c>
      <c r="E39" s="57" t="s">
        <v>87</v>
      </c>
      <c r="F39">
        <v>12</v>
      </c>
      <c r="G39">
        <v>19</v>
      </c>
      <c r="H39">
        <v>6</v>
      </c>
      <c r="I39">
        <v>1</v>
      </c>
      <c r="J39">
        <v>2</v>
      </c>
      <c r="K39">
        <v>45658</v>
      </c>
      <c r="L39">
        <v>584389</v>
      </c>
    </row>
    <row r="40" spans="1:12" customFormat="1">
      <c r="A40" s="59" t="s">
        <v>402</v>
      </c>
      <c r="B40" s="59" t="s">
        <v>124</v>
      </c>
      <c r="C40" s="59" t="s">
        <v>123</v>
      </c>
      <c r="D40" s="59" t="s">
        <v>87</v>
      </c>
      <c r="E40" s="57" t="s">
        <v>87</v>
      </c>
      <c r="F40">
        <v>12</v>
      </c>
      <c r="G40">
        <v>19</v>
      </c>
      <c r="H40">
        <v>6</v>
      </c>
      <c r="I40">
        <v>1</v>
      </c>
      <c r="J40">
        <v>2</v>
      </c>
      <c r="K40">
        <v>45658</v>
      </c>
      <c r="L40">
        <v>584389</v>
      </c>
    </row>
    <row r="41" spans="1:12" customFormat="1">
      <c r="A41" s="59" t="s">
        <v>1390</v>
      </c>
      <c r="B41" s="59" t="s">
        <v>124</v>
      </c>
      <c r="C41" s="59" t="s">
        <v>123</v>
      </c>
      <c r="D41" s="59" t="s">
        <v>87</v>
      </c>
      <c r="E41" s="57" t="s">
        <v>87</v>
      </c>
      <c r="F41">
        <v>12</v>
      </c>
      <c r="G41">
        <v>19</v>
      </c>
      <c r="H41">
        <v>6</v>
      </c>
      <c r="I41">
        <v>1</v>
      </c>
      <c r="J41">
        <v>2</v>
      </c>
      <c r="K41">
        <v>45658</v>
      </c>
      <c r="L41">
        <v>584389</v>
      </c>
    </row>
    <row r="42" spans="1:12" customFormat="1">
      <c r="A42" s="59" t="s">
        <v>1000</v>
      </c>
      <c r="B42" s="59" t="s">
        <v>124</v>
      </c>
      <c r="C42" s="59" t="s">
        <v>123</v>
      </c>
      <c r="D42" s="59" t="s">
        <v>87</v>
      </c>
      <c r="E42" s="57" t="s">
        <v>87</v>
      </c>
      <c r="F42">
        <v>12</v>
      </c>
      <c r="G42">
        <v>19</v>
      </c>
      <c r="H42">
        <v>6</v>
      </c>
      <c r="I42">
        <v>1</v>
      </c>
      <c r="J42">
        <v>2</v>
      </c>
      <c r="K42">
        <v>45658</v>
      </c>
      <c r="L42">
        <v>584389</v>
      </c>
    </row>
    <row r="43" spans="1:12" customFormat="1">
      <c r="A43" s="59" t="s">
        <v>1000</v>
      </c>
      <c r="B43" s="59" t="s">
        <v>124</v>
      </c>
      <c r="C43" s="59" t="s">
        <v>123</v>
      </c>
      <c r="D43" s="59" t="s">
        <v>87</v>
      </c>
      <c r="E43" s="57" t="s">
        <v>87</v>
      </c>
      <c r="F43">
        <v>12</v>
      </c>
      <c r="G43">
        <v>19</v>
      </c>
      <c r="H43">
        <v>6</v>
      </c>
      <c r="I43">
        <v>1</v>
      </c>
      <c r="J43">
        <v>2</v>
      </c>
      <c r="K43">
        <v>45658</v>
      </c>
      <c r="L43">
        <v>584389</v>
      </c>
    </row>
    <row r="44" spans="1:12" customFormat="1">
      <c r="A44" s="59" t="s">
        <v>1391</v>
      </c>
      <c r="B44" s="59" t="s">
        <v>124</v>
      </c>
      <c r="C44" s="59" t="s">
        <v>123</v>
      </c>
      <c r="D44" s="59" t="s">
        <v>87</v>
      </c>
      <c r="E44" s="57" t="s">
        <v>87</v>
      </c>
      <c r="F44">
        <v>12</v>
      </c>
      <c r="G44">
        <v>19</v>
      </c>
      <c r="H44">
        <v>6</v>
      </c>
      <c r="I44">
        <v>1</v>
      </c>
      <c r="J44">
        <v>2</v>
      </c>
      <c r="K44">
        <v>45658</v>
      </c>
      <c r="L44">
        <v>584389</v>
      </c>
    </row>
    <row r="45" spans="1:12" customFormat="1">
      <c r="A45" s="59" t="s">
        <v>946</v>
      </c>
      <c r="B45" s="59" t="s">
        <v>124</v>
      </c>
      <c r="C45" s="59" t="s">
        <v>123</v>
      </c>
      <c r="D45" s="59" t="s">
        <v>87</v>
      </c>
      <c r="E45" s="57" t="s">
        <v>87</v>
      </c>
      <c r="F45">
        <v>12</v>
      </c>
      <c r="G45">
        <v>19</v>
      </c>
      <c r="H45">
        <v>6</v>
      </c>
      <c r="I45">
        <v>1</v>
      </c>
      <c r="J45">
        <v>2</v>
      </c>
      <c r="K45">
        <v>45658</v>
      </c>
      <c r="L45">
        <v>584389</v>
      </c>
    </row>
    <row r="46" spans="1:12" customFormat="1">
      <c r="A46" s="59" t="s">
        <v>144</v>
      </c>
      <c r="B46" s="59" t="s">
        <v>124</v>
      </c>
      <c r="C46" s="59" t="s">
        <v>123</v>
      </c>
      <c r="D46" s="59" t="s">
        <v>87</v>
      </c>
      <c r="E46" s="57" t="s">
        <v>87</v>
      </c>
      <c r="F46">
        <v>12</v>
      </c>
      <c r="G46">
        <v>19</v>
      </c>
      <c r="H46">
        <v>6</v>
      </c>
      <c r="I46">
        <v>1</v>
      </c>
      <c r="J46">
        <v>2</v>
      </c>
      <c r="K46">
        <v>45658</v>
      </c>
      <c r="L46">
        <v>584389</v>
      </c>
    </row>
    <row r="47" spans="1:12" customFormat="1">
      <c r="A47" s="59" t="s">
        <v>472</v>
      </c>
      <c r="B47" s="59" t="s">
        <v>124</v>
      </c>
      <c r="C47" s="59" t="s">
        <v>123</v>
      </c>
      <c r="D47" s="59" t="s">
        <v>87</v>
      </c>
      <c r="E47" s="57" t="s">
        <v>87</v>
      </c>
      <c r="F47">
        <v>12</v>
      </c>
      <c r="G47">
        <v>19</v>
      </c>
      <c r="H47">
        <v>6</v>
      </c>
      <c r="I47">
        <v>1</v>
      </c>
      <c r="J47">
        <v>2</v>
      </c>
      <c r="K47">
        <v>45658</v>
      </c>
      <c r="L47">
        <v>584389</v>
      </c>
    </row>
    <row r="48" spans="1:12" customFormat="1">
      <c r="A48" s="59" t="s">
        <v>1392</v>
      </c>
      <c r="B48" s="59" t="s">
        <v>124</v>
      </c>
      <c r="C48" s="59" t="s">
        <v>123</v>
      </c>
      <c r="D48" s="59" t="s">
        <v>87</v>
      </c>
      <c r="E48" s="57" t="s">
        <v>87</v>
      </c>
      <c r="F48">
        <v>12</v>
      </c>
      <c r="G48">
        <v>19</v>
      </c>
      <c r="H48">
        <v>6</v>
      </c>
      <c r="I48">
        <v>1</v>
      </c>
      <c r="J48">
        <v>2</v>
      </c>
      <c r="K48">
        <v>45658</v>
      </c>
      <c r="L48">
        <v>584389</v>
      </c>
    </row>
    <row r="49" spans="1:12" customFormat="1">
      <c r="A49" s="59" t="s">
        <v>940</v>
      </c>
      <c r="B49" s="59" t="s">
        <v>124</v>
      </c>
      <c r="C49" s="59" t="s">
        <v>123</v>
      </c>
      <c r="D49" s="59" t="s">
        <v>87</v>
      </c>
      <c r="E49" s="57" t="s">
        <v>87</v>
      </c>
      <c r="F49">
        <v>12</v>
      </c>
      <c r="G49">
        <v>19</v>
      </c>
      <c r="H49">
        <v>6</v>
      </c>
      <c r="I49">
        <v>1</v>
      </c>
      <c r="J49">
        <v>2</v>
      </c>
      <c r="K49">
        <v>45658</v>
      </c>
      <c r="L49">
        <v>584389</v>
      </c>
    </row>
    <row r="50" spans="1:12" customFormat="1">
      <c r="A50" s="59" t="s">
        <v>1393</v>
      </c>
      <c r="B50" s="59" t="s">
        <v>124</v>
      </c>
      <c r="C50" s="59" t="s">
        <v>123</v>
      </c>
      <c r="D50" s="59" t="s">
        <v>87</v>
      </c>
      <c r="E50" s="57" t="s">
        <v>87</v>
      </c>
      <c r="F50">
        <v>12</v>
      </c>
      <c r="G50">
        <v>19</v>
      </c>
      <c r="H50">
        <v>6</v>
      </c>
      <c r="I50">
        <v>1</v>
      </c>
      <c r="J50">
        <v>2</v>
      </c>
      <c r="K50">
        <v>45658</v>
      </c>
      <c r="L50">
        <v>584389</v>
      </c>
    </row>
    <row r="51" spans="1:12" customFormat="1">
      <c r="A51" s="59" t="s">
        <v>967</v>
      </c>
      <c r="B51" s="59" t="s">
        <v>124</v>
      </c>
      <c r="C51" s="59" t="s">
        <v>123</v>
      </c>
      <c r="D51" s="59" t="s">
        <v>87</v>
      </c>
      <c r="E51" s="57" t="s">
        <v>87</v>
      </c>
      <c r="F51">
        <v>12</v>
      </c>
      <c r="G51">
        <v>19</v>
      </c>
      <c r="H51">
        <v>6</v>
      </c>
      <c r="I51">
        <v>1</v>
      </c>
      <c r="J51">
        <v>2</v>
      </c>
      <c r="K51">
        <v>45658</v>
      </c>
      <c r="L51">
        <v>584389</v>
      </c>
    </row>
    <row r="52" spans="1:12" customFormat="1">
      <c r="A52" s="59" t="s">
        <v>867</v>
      </c>
      <c r="B52" s="59" t="s">
        <v>124</v>
      </c>
      <c r="C52" s="59" t="s">
        <v>123</v>
      </c>
      <c r="D52" s="59" t="s">
        <v>87</v>
      </c>
      <c r="E52" s="57" t="s">
        <v>87</v>
      </c>
      <c r="F52">
        <v>12</v>
      </c>
      <c r="G52">
        <v>19</v>
      </c>
      <c r="H52">
        <v>6</v>
      </c>
      <c r="I52">
        <v>1</v>
      </c>
      <c r="J52">
        <v>2</v>
      </c>
      <c r="K52">
        <v>45658</v>
      </c>
      <c r="L52">
        <v>584389</v>
      </c>
    </row>
    <row r="53" spans="1:12" customFormat="1">
      <c r="A53" s="59" t="s">
        <v>1394</v>
      </c>
      <c r="B53" s="59" t="s">
        <v>124</v>
      </c>
      <c r="C53" s="59" t="s">
        <v>123</v>
      </c>
      <c r="D53" s="59" t="s">
        <v>87</v>
      </c>
      <c r="E53" s="57" t="s">
        <v>87</v>
      </c>
      <c r="F53">
        <v>12</v>
      </c>
      <c r="G53">
        <v>19</v>
      </c>
      <c r="H53">
        <v>6</v>
      </c>
      <c r="I53">
        <v>1</v>
      </c>
      <c r="J53">
        <v>2</v>
      </c>
      <c r="K53">
        <v>45658</v>
      </c>
      <c r="L53">
        <v>584389</v>
      </c>
    </row>
    <row r="54" spans="1:12" customFormat="1">
      <c r="A54" s="59" t="s">
        <v>131</v>
      </c>
      <c r="B54" s="59" t="s">
        <v>124</v>
      </c>
      <c r="C54" s="59" t="s">
        <v>87</v>
      </c>
      <c r="D54" s="59" t="s">
        <v>87</v>
      </c>
      <c r="E54" s="57" t="s">
        <v>87</v>
      </c>
      <c r="F54">
        <v>12</v>
      </c>
      <c r="G54">
        <v>19</v>
      </c>
      <c r="H54">
        <v>6</v>
      </c>
      <c r="I54">
        <v>1</v>
      </c>
      <c r="J54">
        <v>2</v>
      </c>
      <c r="K54">
        <v>45658</v>
      </c>
      <c r="L54">
        <v>584389</v>
      </c>
    </row>
    <row r="55" spans="1:12">
      <c r="A55" s="57" t="s">
        <v>513</v>
      </c>
      <c r="B55" s="57" t="s">
        <v>1368</v>
      </c>
      <c r="C55" s="57" t="s">
        <v>1370</v>
      </c>
      <c r="D55" s="57" t="s">
        <v>1370</v>
      </c>
      <c r="E55" s="57" t="s">
        <v>96</v>
      </c>
      <c r="F55" s="57">
        <v>13</v>
      </c>
      <c r="G55" s="57">
        <v>21</v>
      </c>
      <c r="H55" s="57">
        <v>5</v>
      </c>
      <c r="I55" s="57">
        <v>3</v>
      </c>
      <c r="J55" s="57">
        <v>4</v>
      </c>
      <c r="K55" s="58">
        <v>45658</v>
      </c>
      <c r="L55" s="58">
        <v>584389</v>
      </c>
    </row>
    <row r="56" spans="1:12">
      <c r="A56" s="57" t="s">
        <v>108</v>
      </c>
      <c r="B56" s="57" t="s">
        <v>73</v>
      </c>
      <c r="C56" s="57" t="s">
        <v>75</v>
      </c>
      <c r="D56" s="57" t="s">
        <v>75</v>
      </c>
      <c r="E56" s="57" t="s">
        <v>75</v>
      </c>
      <c r="F56" s="57">
        <v>14</v>
      </c>
      <c r="G56" s="57">
        <v>4</v>
      </c>
      <c r="H56" s="57">
        <v>2</v>
      </c>
      <c r="I56" s="57">
        <v>2</v>
      </c>
      <c r="J56" s="57">
        <v>9</v>
      </c>
      <c r="K56" s="58">
        <v>45658</v>
      </c>
      <c r="L56" s="58">
        <v>584389</v>
      </c>
    </row>
    <row r="57" spans="1:12">
      <c r="A57" s="57" t="s">
        <v>517</v>
      </c>
      <c r="B57" s="57" t="s">
        <v>1395</v>
      </c>
      <c r="C57" s="57" t="s">
        <v>1396</v>
      </c>
      <c r="D57" s="57" t="s">
        <v>1397</v>
      </c>
      <c r="E57" s="57" t="s">
        <v>76</v>
      </c>
      <c r="F57" s="57">
        <v>15</v>
      </c>
      <c r="G57" s="57">
        <v>18</v>
      </c>
      <c r="H57" s="57">
        <v>4</v>
      </c>
      <c r="I57" s="57">
        <v>2</v>
      </c>
      <c r="J57" s="57">
        <v>3</v>
      </c>
      <c r="K57" s="58">
        <v>45658</v>
      </c>
      <c r="L57" s="58">
        <v>584389</v>
      </c>
    </row>
    <row r="58" spans="1:12">
      <c r="A58" s="57" t="s">
        <v>1398</v>
      </c>
      <c r="B58" s="57" t="s">
        <v>1395</v>
      </c>
      <c r="C58" s="57" t="s">
        <v>1396</v>
      </c>
      <c r="D58" s="57" t="s">
        <v>1397</v>
      </c>
      <c r="E58" s="57" t="s">
        <v>76</v>
      </c>
      <c r="F58" s="57">
        <v>16</v>
      </c>
      <c r="G58" s="57">
        <v>15</v>
      </c>
      <c r="H58" s="57">
        <v>4</v>
      </c>
      <c r="I58" s="57">
        <v>2</v>
      </c>
      <c r="J58" s="57">
        <v>3</v>
      </c>
      <c r="K58" s="58">
        <v>45658</v>
      </c>
      <c r="L58" s="58">
        <v>584389</v>
      </c>
    </row>
    <row r="59" spans="1:12">
      <c r="A59" s="57" t="s">
        <v>325</v>
      </c>
      <c r="B59" s="57" t="s">
        <v>1368</v>
      </c>
      <c r="C59" s="57" t="s">
        <v>1370</v>
      </c>
      <c r="D59" s="57" t="s">
        <v>1370</v>
      </c>
      <c r="E59" s="57" t="s">
        <v>96</v>
      </c>
      <c r="F59" s="57">
        <v>17</v>
      </c>
      <c r="G59" s="57">
        <v>21</v>
      </c>
      <c r="H59" s="57">
        <v>5</v>
      </c>
      <c r="I59" s="57">
        <v>3</v>
      </c>
      <c r="J59" s="57">
        <v>4</v>
      </c>
      <c r="K59" s="58">
        <v>45658</v>
      </c>
      <c r="L59" s="58">
        <v>584389</v>
      </c>
    </row>
    <row r="60" spans="1:12">
      <c r="A60" s="57" t="s">
        <v>419</v>
      </c>
      <c r="B60" s="57" t="s">
        <v>73</v>
      </c>
      <c r="C60" s="57" t="s">
        <v>1399</v>
      </c>
      <c r="D60" s="57" t="s">
        <v>75</v>
      </c>
      <c r="E60" s="57" t="s">
        <v>75</v>
      </c>
      <c r="F60" s="57">
        <v>18</v>
      </c>
      <c r="G60" s="57">
        <v>7</v>
      </c>
      <c r="H60" s="57">
        <v>2</v>
      </c>
      <c r="I60" s="57">
        <v>2</v>
      </c>
      <c r="J60" s="57">
        <v>9</v>
      </c>
      <c r="K60" s="58">
        <v>45658</v>
      </c>
      <c r="L60" s="58">
        <v>584389</v>
      </c>
    </row>
    <row r="61" spans="1:12">
      <c r="A61" s="57" t="s">
        <v>1022</v>
      </c>
      <c r="B61" s="57" t="s">
        <v>1361</v>
      </c>
      <c r="C61" s="57" t="s">
        <v>1362</v>
      </c>
      <c r="D61" s="57" t="s">
        <v>1362</v>
      </c>
      <c r="E61" s="57" t="s">
        <v>1363</v>
      </c>
      <c r="F61" s="57">
        <v>19</v>
      </c>
      <c r="G61" s="57">
        <v>14</v>
      </c>
      <c r="H61" s="57">
        <v>3</v>
      </c>
      <c r="I61" s="57">
        <v>4</v>
      </c>
      <c r="J61" s="57">
        <v>5</v>
      </c>
      <c r="K61" s="58">
        <v>45658</v>
      </c>
      <c r="L61" s="58">
        <v>584389</v>
      </c>
    </row>
    <row r="62" spans="1:12">
      <c r="A62" s="57" t="s">
        <v>484</v>
      </c>
      <c r="B62" s="57" t="s">
        <v>1361</v>
      </c>
      <c r="C62" s="57" t="s">
        <v>118</v>
      </c>
      <c r="D62" s="57" t="s">
        <v>1362</v>
      </c>
      <c r="E62" s="57" t="s">
        <v>1363</v>
      </c>
      <c r="F62" s="57">
        <v>20</v>
      </c>
      <c r="G62" s="57">
        <v>9</v>
      </c>
      <c r="H62" s="57">
        <v>3</v>
      </c>
      <c r="I62" s="57">
        <v>4</v>
      </c>
      <c r="J62" s="57">
        <v>5</v>
      </c>
      <c r="K62" s="58">
        <v>45658</v>
      </c>
      <c r="L62" s="58">
        <v>584389</v>
      </c>
    </row>
    <row r="63" spans="1:12">
      <c r="A63" s="57" t="s">
        <v>424</v>
      </c>
      <c r="B63" s="57" t="s">
        <v>124</v>
      </c>
      <c r="C63" s="57" t="s">
        <v>125</v>
      </c>
      <c r="D63" s="57" t="s">
        <v>125</v>
      </c>
      <c r="E63" s="57" t="s">
        <v>87</v>
      </c>
      <c r="F63" s="57">
        <v>21</v>
      </c>
      <c r="G63" s="57">
        <v>22</v>
      </c>
      <c r="H63" s="57" t="s">
        <v>1366</v>
      </c>
      <c r="I63" s="57">
        <v>1</v>
      </c>
      <c r="J63" s="57">
        <v>1</v>
      </c>
      <c r="K63" s="58">
        <v>45658</v>
      </c>
      <c r="L63" s="58">
        <v>584389</v>
      </c>
    </row>
    <row r="64" spans="1:12">
      <c r="A64" s="57" t="s">
        <v>128</v>
      </c>
      <c r="B64" s="57" t="s">
        <v>124</v>
      </c>
      <c r="C64" s="57" t="s">
        <v>87</v>
      </c>
      <c r="D64" s="57" t="s">
        <v>87</v>
      </c>
      <c r="E64" s="57" t="s">
        <v>87</v>
      </c>
      <c r="F64" s="57">
        <v>21</v>
      </c>
      <c r="G64" s="57">
        <v>22</v>
      </c>
      <c r="H64" s="57" t="s">
        <v>1366</v>
      </c>
      <c r="I64" s="57">
        <v>1</v>
      </c>
      <c r="J64" s="57">
        <v>1</v>
      </c>
      <c r="K64" s="58">
        <v>45658</v>
      </c>
      <c r="L64" s="58">
        <v>584389</v>
      </c>
    </row>
    <row r="65" spans="1:12">
      <c r="A65" s="57" t="s">
        <v>1014</v>
      </c>
      <c r="B65" s="57" t="s">
        <v>84</v>
      </c>
      <c r="C65" s="57" t="s">
        <v>85</v>
      </c>
      <c r="D65" s="57" t="s">
        <v>86</v>
      </c>
      <c r="E65" s="57" t="s">
        <v>87</v>
      </c>
      <c r="F65" s="57">
        <v>22</v>
      </c>
      <c r="G65" s="57">
        <v>20</v>
      </c>
      <c r="H65" s="57">
        <v>7</v>
      </c>
      <c r="I65" s="57">
        <v>1</v>
      </c>
      <c r="J65" s="57">
        <v>10</v>
      </c>
      <c r="K65" s="58">
        <v>45689</v>
      </c>
      <c r="L65" s="58">
        <v>584389</v>
      </c>
    </row>
    <row r="66" spans="1:12">
      <c r="A66" s="57" t="s">
        <v>921</v>
      </c>
      <c r="B66" s="57" t="s">
        <v>1368</v>
      </c>
      <c r="C66" s="57" t="s">
        <v>1370</v>
      </c>
      <c r="D66" s="57" t="s">
        <v>1370</v>
      </c>
      <c r="E66" s="57" t="s">
        <v>96</v>
      </c>
      <c r="F66" s="57">
        <v>23</v>
      </c>
      <c r="G66" s="57">
        <v>16</v>
      </c>
      <c r="H66" s="57">
        <v>5</v>
      </c>
      <c r="I66" s="57">
        <v>3</v>
      </c>
      <c r="J66" s="57">
        <v>4</v>
      </c>
      <c r="K66" s="58">
        <v>45658</v>
      </c>
      <c r="L66" s="58">
        <v>584389</v>
      </c>
    </row>
    <row r="67" spans="1:12">
      <c r="A67" s="57" t="s">
        <v>361</v>
      </c>
      <c r="B67" s="57" t="s">
        <v>1395</v>
      </c>
      <c r="C67" s="57" t="s">
        <v>1400</v>
      </c>
      <c r="D67" s="57" t="s">
        <v>1397</v>
      </c>
      <c r="E67" s="57" t="s">
        <v>76</v>
      </c>
      <c r="F67" s="57">
        <v>24</v>
      </c>
      <c r="G67" s="57">
        <v>11</v>
      </c>
      <c r="H67" s="57">
        <v>4</v>
      </c>
      <c r="I67" s="57">
        <v>2</v>
      </c>
      <c r="J67" s="57">
        <v>3</v>
      </c>
      <c r="K67" s="58">
        <v>45658</v>
      </c>
      <c r="L67" s="58">
        <v>584389</v>
      </c>
    </row>
    <row r="68" spans="1:12">
      <c r="A68" s="57" t="s">
        <v>1401</v>
      </c>
      <c r="B68" s="57" t="s">
        <v>117</v>
      </c>
      <c r="C68" s="57" t="s">
        <v>94</v>
      </c>
      <c r="D68" s="57" t="s">
        <v>95</v>
      </c>
      <c r="E68" s="57" t="s">
        <v>96</v>
      </c>
      <c r="F68" s="57">
        <v>25</v>
      </c>
      <c r="G68" s="57">
        <v>24</v>
      </c>
      <c r="H68" s="57">
        <v>1</v>
      </c>
      <c r="I68" s="57">
        <v>3</v>
      </c>
      <c r="J68" s="57">
        <v>6</v>
      </c>
      <c r="K68" s="58">
        <v>45658</v>
      </c>
      <c r="L68" s="58">
        <v>584389</v>
      </c>
    </row>
    <row r="69" spans="1:12">
      <c r="A69" s="57" t="s">
        <v>249</v>
      </c>
      <c r="B69" s="57" t="s">
        <v>1395</v>
      </c>
      <c r="C69" s="57" t="s">
        <v>1397</v>
      </c>
      <c r="D69" s="57" t="s">
        <v>1397</v>
      </c>
      <c r="E69" s="57" t="s">
        <v>76</v>
      </c>
      <c r="F69" s="57">
        <v>26</v>
      </c>
      <c r="G69" s="57">
        <v>23</v>
      </c>
      <c r="H69" s="57" t="s">
        <v>1366</v>
      </c>
      <c r="I69" s="57">
        <v>2</v>
      </c>
      <c r="J69" s="57">
        <v>3</v>
      </c>
      <c r="K69" s="58">
        <v>45658</v>
      </c>
      <c r="L69" s="58">
        <v>584389</v>
      </c>
    </row>
    <row r="70" spans="1:12">
      <c r="A70" s="57" t="s">
        <v>509</v>
      </c>
      <c r="B70" s="57" t="s">
        <v>73</v>
      </c>
      <c r="C70" s="57" t="s">
        <v>74</v>
      </c>
      <c r="D70" s="57" t="s">
        <v>75</v>
      </c>
      <c r="E70" s="57" t="s">
        <v>75</v>
      </c>
      <c r="F70" s="57">
        <v>27</v>
      </c>
      <c r="G70" s="57">
        <v>5</v>
      </c>
      <c r="H70" s="57">
        <v>2</v>
      </c>
      <c r="I70" s="57">
        <v>2</v>
      </c>
      <c r="J70" s="57">
        <v>9</v>
      </c>
      <c r="K70" s="58">
        <v>45658</v>
      </c>
      <c r="L70" s="58">
        <v>584389</v>
      </c>
    </row>
    <row r="71" spans="1:12">
      <c r="A71" s="57" t="s">
        <v>272</v>
      </c>
      <c r="B71" s="57" t="s">
        <v>84</v>
      </c>
      <c r="C71" s="57" t="s">
        <v>86</v>
      </c>
      <c r="D71" s="57" t="s">
        <v>86</v>
      </c>
      <c r="E71" s="57" t="s">
        <v>87</v>
      </c>
      <c r="F71" s="57">
        <v>28</v>
      </c>
      <c r="G71" s="57">
        <v>17</v>
      </c>
      <c r="H71" s="57">
        <v>7</v>
      </c>
      <c r="I71" s="57">
        <v>1</v>
      </c>
      <c r="J71" s="57">
        <v>10</v>
      </c>
      <c r="K71" s="58">
        <v>45778</v>
      </c>
      <c r="L71" s="58">
        <v>584389</v>
      </c>
    </row>
    <row r="72" spans="1:12">
      <c r="A72" s="57" t="s">
        <v>952</v>
      </c>
      <c r="B72" s="57" t="s">
        <v>73</v>
      </c>
      <c r="C72" s="57" t="s">
        <v>74</v>
      </c>
      <c r="D72" s="57" t="s">
        <v>75</v>
      </c>
      <c r="E72" s="57" t="s">
        <v>75</v>
      </c>
      <c r="F72" s="57">
        <v>29</v>
      </c>
      <c r="G72" s="57">
        <v>5</v>
      </c>
      <c r="H72" s="57">
        <v>2</v>
      </c>
      <c r="I72" s="57">
        <v>2</v>
      </c>
      <c r="J72" s="57">
        <v>9</v>
      </c>
      <c r="K72" s="58">
        <v>45658</v>
      </c>
      <c r="L72" s="58">
        <v>584389</v>
      </c>
    </row>
    <row r="73" spans="1:12">
      <c r="A73" s="57" t="s">
        <v>1013</v>
      </c>
      <c r="B73" s="57" t="s">
        <v>73</v>
      </c>
      <c r="C73" s="57" t="s">
        <v>75</v>
      </c>
      <c r="D73" s="57" t="s">
        <v>75</v>
      </c>
      <c r="E73" s="57" t="s">
        <v>75</v>
      </c>
      <c r="F73" s="57">
        <v>30</v>
      </c>
      <c r="G73" s="57">
        <v>4</v>
      </c>
      <c r="H73" s="57">
        <v>2</v>
      </c>
      <c r="I73" s="57">
        <v>2</v>
      </c>
      <c r="J73" s="57">
        <v>9</v>
      </c>
      <c r="K73" s="58">
        <v>45658</v>
      </c>
      <c r="L73" s="58">
        <v>584389</v>
      </c>
    </row>
    <row r="74" spans="1:12">
      <c r="A74" s="57" t="s">
        <v>267</v>
      </c>
      <c r="B74" s="57" t="s">
        <v>1395</v>
      </c>
      <c r="C74" s="57" t="s">
        <v>1396</v>
      </c>
      <c r="D74" s="57" t="s">
        <v>1397</v>
      </c>
      <c r="E74" s="57" t="s">
        <v>76</v>
      </c>
      <c r="F74" s="57">
        <v>31</v>
      </c>
      <c r="G74" s="57">
        <v>18</v>
      </c>
      <c r="H74" s="57">
        <v>4</v>
      </c>
      <c r="I74" s="57">
        <v>2</v>
      </c>
      <c r="J74" s="57">
        <v>3</v>
      </c>
      <c r="K74" s="58">
        <v>45658</v>
      </c>
      <c r="L74" s="58">
        <v>584389</v>
      </c>
    </row>
    <row r="75" spans="1:12">
      <c r="A75" s="57" t="s">
        <v>572</v>
      </c>
      <c r="B75" s="57" t="s">
        <v>117</v>
      </c>
      <c r="C75" s="57" t="s">
        <v>94</v>
      </c>
      <c r="D75" s="57" t="s">
        <v>95</v>
      </c>
      <c r="E75" s="57" t="s">
        <v>96</v>
      </c>
      <c r="F75" s="57">
        <v>32</v>
      </c>
      <c r="G75" s="57">
        <v>3</v>
      </c>
      <c r="H75" s="57">
        <v>1</v>
      </c>
      <c r="I75" s="57">
        <v>3</v>
      </c>
      <c r="J75" s="57">
        <v>6</v>
      </c>
      <c r="K75" s="58">
        <v>45658</v>
      </c>
      <c r="L75" s="58">
        <v>584389</v>
      </c>
    </row>
    <row r="76" spans="1:12">
      <c r="A76" s="57" t="s">
        <v>935</v>
      </c>
      <c r="B76" s="57" t="s">
        <v>1368</v>
      </c>
      <c r="C76" s="57" t="s">
        <v>1370</v>
      </c>
      <c r="D76" s="57" t="s">
        <v>1370</v>
      </c>
      <c r="E76" s="57" t="s">
        <v>96</v>
      </c>
      <c r="F76" s="57">
        <v>33</v>
      </c>
      <c r="G76" s="57">
        <v>16</v>
      </c>
      <c r="H76" s="57">
        <v>5</v>
      </c>
      <c r="I76" s="57">
        <v>3</v>
      </c>
      <c r="J76" s="57">
        <v>4</v>
      </c>
      <c r="K76" s="58">
        <v>45658</v>
      </c>
      <c r="L76" s="58">
        <v>584389</v>
      </c>
    </row>
    <row r="77" spans="1:12">
      <c r="A77" s="57" t="s">
        <v>941</v>
      </c>
      <c r="B77" s="57" t="s">
        <v>84</v>
      </c>
      <c r="C77" s="57" t="s">
        <v>86</v>
      </c>
      <c r="D77" s="57" t="s">
        <v>86</v>
      </c>
      <c r="E77" s="57" t="s">
        <v>87</v>
      </c>
      <c r="F77" s="57">
        <v>34</v>
      </c>
      <c r="G77" s="57">
        <v>17</v>
      </c>
      <c r="H77" s="57">
        <v>7</v>
      </c>
      <c r="I77" s="57">
        <v>1</v>
      </c>
      <c r="J77" s="57">
        <v>10</v>
      </c>
      <c r="K77" s="58">
        <v>45689</v>
      </c>
      <c r="L77" s="58">
        <v>584389</v>
      </c>
    </row>
    <row r="78" spans="1:12">
      <c r="A78" s="57" t="s">
        <v>884</v>
      </c>
      <c r="B78" s="57" t="s">
        <v>1395</v>
      </c>
      <c r="C78" s="57" t="s">
        <v>1396</v>
      </c>
      <c r="D78" s="57" t="s">
        <v>1397</v>
      </c>
      <c r="E78" s="57" t="s">
        <v>76</v>
      </c>
      <c r="F78" s="57">
        <v>35</v>
      </c>
      <c r="G78" s="57">
        <v>18</v>
      </c>
      <c r="H78" s="57">
        <v>4</v>
      </c>
      <c r="I78" s="57">
        <v>2</v>
      </c>
      <c r="J78" s="57">
        <v>3</v>
      </c>
      <c r="K78" s="58">
        <v>45658</v>
      </c>
      <c r="L78" s="58">
        <v>584389</v>
      </c>
    </row>
    <row r="79" spans="1:12">
      <c r="A79" s="57" t="s">
        <v>285</v>
      </c>
      <c r="B79" s="57" t="s">
        <v>1361</v>
      </c>
      <c r="C79" s="57" t="s">
        <v>118</v>
      </c>
      <c r="D79" s="57" t="s">
        <v>1362</v>
      </c>
      <c r="E79" s="57" t="s">
        <v>1363</v>
      </c>
      <c r="F79" s="57">
        <v>36</v>
      </c>
      <c r="G79" s="57">
        <v>14</v>
      </c>
      <c r="H79" s="57">
        <v>3</v>
      </c>
      <c r="I79" s="57">
        <v>4</v>
      </c>
      <c r="J79" s="57">
        <v>5</v>
      </c>
      <c r="K79" s="58">
        <v>45658</v>
      </c>
      <c r="L79" s="58">
        <v>584389</v>
      </c>
    </row>
    <row r="80" spans="1:12">
      <c r="A80" s="57" t="s">
        <v>932</v>
      </c>
      <c r="B80" s="57" t="s">
        <v>1371</v>
      </c>
      <c r="C80" s="57" t="s">
        <v>1373</v>
      </c>
      <c r="D80" s="57" t="s">
        <v>1373</v>
      </c>
      <c r="E80" s="57" t="s">
        <v>87</v>
      </c>
      <c r="F80" s="57">
        <v>37</v>
      </c>
      <c r="G80" s="57">
        <v>2</v>
      </c>
      <c r="H80" s="57">
        <v>6</v>
      </c>
      <c r="I80" s="57">
        <v>1</v>
      </c>
      <c r="J80" s="57">
        <v>2</v>
      </c>
      <c r="K80" s="58">
        <v>45658</v>
      </c>
      <c r="L80" s="58">
        <v>584389</v>
      </c>
    </row>
    <row r="81" spans="1:12">
      <c r="A81" s="57" t="s">
        <v>78</v>
      </c>
      <c r="B81" s="57" t="s">
        <v>84</v>
      </c>
      <c r="C81" s="57" t="s">
        <v>85</v>
      </c>
      <c r="D81" s="57" t="s">
        <v>86</v>
      </c>
      <c r="E81" s="57" t="s">
        <v>87</v>
      </c>
      <c r="F81" s="57">
        <v>38</v>
      </c>
      <c r="G81" s="57">
        <v>20</v>
      </c>
      <c r="H81" s="57">
        <v>7</v>
      </c>
      <c r="I81" s="57">
        <v>1</v>
      </c>
      <c r="J81" s="57">
        <v>10</v>
      </c>
      <c r="K81" s="58">
        <v>45658</v>
      </c>
      <c r="L81" s="58">
        <v>584389</v>
      </c>
    </row>
    <row r="82" spans="1:12">
      <c r="A82" s="57" t="s">
        <v>211</v>
      </c>
      <c r="B82" s="57" t="s">
        <v>84</v>
      </c>
      <c r="C82" s="57" t="s">
        <v>86</v>
      </c>
      <c r="D82" s="57" t="s">
        <v>86</v>
      </c>
      <c r="E82" s="57" t="s">
        <v>87</v>
      </c>
      <c r="F82" s="57">
        <v>39</v>
      </c>
      <c r="G82" s="57">
        <v>17</v>
      </c>
      <c r="H82" s="57">
        <v>7</v>
      </c>
      <c r="I82" s="57">
        <v>1</v>
      </c>
      <c r="J82" s="57">
        <v>10</v>
      </c>
      <c r="K82" s="58">
        <v>45689</v>
      </c>
      <c r="L82" s="58">
        <v>584389</v>
      </c>
    </row>
    <row r="83" spans="1:12">
      <c r="A83" s="57" t="s">
        <v>244</v>
      </c>
      <c r="B83" s="57" t="s">
        <v>73</v>
      </c>
      <c r="C83" s="57" t="s">
        <v>74</v>
      </c>
      <c r="D83" s="57" t="s">
        <v>75</v>
      </c>
      <c r="E83" s="57" t="s">
        <v>75</v>
      </c>
      <c r="F83" s="57">
        <v>40</v>
      </c>
      <c r="G83" s="57">
        <v>5</v>
      </c>
      <c r="H83" s="57">
        <v>2</v>
      </c>
      <c r="I83" s="57">
        <v>2</v>
      </c>
      <c r="J83" s="57">
        <v>9</v>
      </c>
      <c r="K83" s="58">
        <v>45658</v>
      </c>
      <c r="L83" s="58">
        <v>584389</v>
      </c>
    </row>
    <row r="84" spans="1:12">
      <c r="A84" s="57" t="s">
        <v>221</v>
      </c>
      <c r="B84" s="57" t="s">
        <v>117</v>
      </c>
      <c r="C84" s="57" t="s">
        <v>95</v>
      </c>
      <c r="D84" s="57" t="s">
        <v>95</v>
      </c>
      <c r="E84" s="57" t="s">
        <v>96</v>
      </c>
      <c r="F84" s="57">
        <v>41</v>
      </c>
      <c r="G84" s="57">
        <v>3</v>
      </c>
      <c r="H84" s="57">
        <v>1</v>
      </c>
      <c r="I84" s="57">
        <v>3</v>
      </c>
      <c r="J84" s="57">
        <v>6</v>
      </c>
      <c r="K84" s="58">
        <v>45658</v>
      </c>
      <c r="L84" s="58">
        <v>584389</v>
      </c>
    </row>
    <row r="85" spans="1:12">
      <c r="A85" s="57" t="s">
        <v>492</v>
      </c>
      <c r="B85" s="57" t="s">
        <v>117</v>
      </c>
      <c r="C85" s="57" t="s">
        <v>95</v>
      </c>
      <c r="D85" s="57" t="s">
        <v>95</v>
      </c>
      <c r="E85" s="57" t="s">
        <v>96</v>
      </c>
      <c r="F85" s="57">
        <v>42</v>
      </c>
      <c r="G85" s="57">
        <v>3</v>
      </c>
      <c r="H85" s="57">
        <v>1</v>
      </c>
      <c r="I85" s="57">
        <v>3</v>
      </c>
      <c r="J85" s="57">
        <v>6</v>
      </c>
      <c r="K85" s="58">
        <v>45658</v>
      </c>
      <c r="L85" s="58">
        <v>584389</v>
      </c>
    </row>
    <row r="86" spans="1:12">
      <c r="A86" s="57" t="s">
        <v>156</v>
      </c>
      <c r="B86" s="57" t="s">
        <v>1361</v>
      </c>
      <c r="C86" s="57" t="s">
        <v>1362</v>
      </c>
      <c r="D86" s="57" t="s">
        <v>1362</v>
      </c>
      <c r="E86" s="57" t="s">
        <v>1363</v>
      </c>
      <c r="F86" s="57">
        <v>43</v>
      </c>
      <c r="G86" s="57">
        <v>14</v>
      </c>
      <c r="H86" s="57">
        <v>3</v>
      </c>
      <c r="I86" s="57">
        <v>4</v>
      </c>
      <c r="J86" s="57">
        <v>5</v>
      </c>
      <c r="K86" s="58">
        <v>45658</v>
      </c>
      <c r="L86" s="58">
        <v>584389</v>
      </c>
    </row>
    <row r="87" spans="1:12">
      <c r="A87" s="57" t="s">
        <v>969</v>
      </c>
      <c r="B87" s="57" t="s">
        <v>1361</v>
      </c>
      <c r="C87" s="57" t="s">
        <v>118</v>
      </c>
      <c r="D87" s="57" t="s">
        <v>1362</v>
      </c>
      <c r="E87" s="57" t="s">
        <v>1363</v>
      </c>
      <c r="F87" s="57">
        <v>44</v>
      </c>
      <c r="G87" s="57">
        <v>14</v>
      </c>
      <c r="H87" s="57">
        <v>3</v>
      </c>
      <c r="I87" s="57">
        <v>4</v>
      </c>
      <c r="J87" s="57">
        <v>5</v>
      </c>
      <c r="K87" s="58">
        <v>45658</v>
      </c>
      <c r="L87" s="58">
        <v>584389</v>
      </c>
    </row>
    <row r="88" spans="1:12">
      <c r="A88" s="57" t="s">
        <v>805</v>
      </c>
      <c r="B88" s="57" t="s">
        <v>117</v>
      </c>
      <c r="C88" s="57" t="s">
        <v>94</v>
      </c>
      <c r="D88" s="57" t="s">
        <v>95</v>
      </c>
      <c r="E88" s="57" t="s">
        <v>96</v>
      </c>
      <c r="F88" s="57">
        <v>45</v>
      </c>
      <c r="G88" s="57">
        <v>3</v>
      </c>
      <c r="H88" s="57">
        <v>1</v>
      </c>
      <c r="I88" s="57">
        <v>3</v>
      </c>
      <c r="J88" s="57">
        <v>6</v>
      </c>
      <c r="K88" s="58">
        <v>45658</v>
      </c>
      <c r="L88" s="58">
        <v>584389</v>
      </c>
    </row>
    <row r="89" spans="1:12">
      <c r="A89" s="57" t="s">
        <v>602</v>
      </c>
      <c r="B89" s="57" t="s">
        <v>117</v>
      </c>
      <c r="C89" s="57" t="s">
        <v>95</v>
      </c>
      <c r="D89" s="57" t="s">
        <v>95</v>
      </c>
      <c r="E89" s="57" t="s">
        <v>96</v>
      </c>
      <c r="F89" s="57">
        <v>46</v>
      </c>
      <c r="G89" s="57">
        <v>24</v>
      </c>
      <c r="H89" s="57">
        <v>1</v>
      </c>
      <c r="I89" s="57">
        <v>3</v>
      </c>
      <c r="J89" s="57">
        <v>6</v>
      </c>
      <c r="K89" s="58">
        <v>45658</v>
      </c>
      <c r="L89" s="58">
        <v>584389</v>
      </c>
    </row>
    <row r="90" spans="1:12">
      <c r="A90" s="57" t="s">
        <v>983</v>
      </c>
      <c r="B90" s="57" t="s">
        <v>1371</v>
      </c>
      <c r="C90" s="57" t="s">
        <v>1373</v>
      </c>
      <c r="D90" s="57" t="s">
        <v>1373</v>
      </c>
      <c r="E90" s="57" t="s">
        <v>87</v>
      </c>
      <c r="F90" s="57">
        <v>47</v>
      </c>
      <c r="G90" s="57">
        <v>2</v>
      </c>
      <c r="H90" s="57">
        <v>6</v>
      </c>
      <c r="I90" s="57">
        <v>1</v>
      </c>
      <c r="J90" s="57">
        <v>2</v>
      </c>
      <c r="K90" s="58">
        <v>45658</v>
      </c>
      <c r="L90" s="58">
        <v>584389</v>
      </c>
    </row>
    <row r="91" spans="1:12">
      <c r="A91" s="57" t="s">
        <v>960</v>
      </c>
      <c r="B91" s="57" t="s">
        <v>1368</v>
      </c>
      <c r="C91" s="57" t="s">
        <v>1369</v>
      </c>
      <c r="D91" s="57" t="s">
        <v>1370</v>
      </c>
      <c r="E91" s="57" t="s">
        <v>96</v>
      </c>
      <c r="F91" s="57">
        <v>48</v>
      </c>
      <c r="G91" s="57">
        <v>16</v>
      </c>
      <c r="H91" s="57">
        <v>5</v>
      </c>
      <c r="I91" s="57">
        <v>3</v>
      </c>
      <c r="J91" s="57">
        <v>4</v>
      </c>
      <c r="K91" s="58">
        <v>45658</v>
      </c>
      <c r="L91" s="58">
        <v>584389</v>
      </c>
    </row>
    <row r="92" spans="1:12">
      <c r="A92" s="57" t="s">
        <v>1402</v>
      </c>
      <c r="B92" s="57" t="s">
        <v>1395</v>
      </c>
      <c r="C92" s="57" t="s">
        <v>1400</v>
      </c>
      <c r="D92" s="57" t="s">
        <v>1397</v>
      </c>
      <c r="E92" s="57" t="s">
        <v>76</v>
      </c>
      <c r="F92" s="57">
        <v>49</v>
      </c>
      <c r="G92" s="57">
        <v>11</v>
      </c>
      <c r="H92" s="57">
        <v>4</v>
      </c>
      <c r="I92" s="57">
        <v>2</v>
      </c>
      <c r="J92" s="57">
        <v>3</v>
      </c>
      <c r="K92" s="58">
        <v>45658</v>
      </c>
      <c r="L92" s="58">
        <v>584389</v>
      </c>
    </row>
    <row r="93" spans="1:12">
      <c r="A93" s="57" t="s">
        <v>315</v>
      </c>
      <c r="B93" s="57" t="s">
        <v>84</v>
      </c>
      <c r="C93" s="57" t="s">
        <v>86</v>
      </c>
      <c r="D93" s="57" t="s">
        <v>86</v>
      </c>
      <c r="E93" s="57" t="s">
        <v>87</v>
      </c>
      <c r="F93" s="57">
        <v>50</v>
      </c>
      <c r="G93" s="57">
        <v>17</v>
      </c>
      <c r="H93" s="57">
        <v>7</v>
      </c>
      <c r="I93" s="57">
        <v>1</v>
      </c>
      <c r="J93" s="57">
        <v>10</v>
      </c>
      <c r="K93" s="58">
        <v>45658</v>
      </c>
      <c r="L93" s="58">
        <v>584389</v>
      </c>
    </row>
    <row r="94" spans="1:12">
      <c r="A94" s="57" t="s">
        <v>501</v>
      </c>
      <c r="B94" s="57" t="s">
        <v>1395</v>
      </c>
      <c r="C94" s="57" t="s">
        <v>1400</v>
      </c>
      <c r="D94" s="57" t="s">
        <v>1397</v>
      </c>
      <c r="E94" s="57" t="s">
        <v>76</v>
      </c>
      <c r="F94" s="57">
        <v>51</v>
      </c>
      <c r="G94" s="57">
        <v>15</v>
      </c>
      <c r="H94" s="57">
        <v>4</v>
      </c>
      <c r="I94" s="57">
        <v>2</v>
      </c>
      <c r="J94" s="57">
        <v>3</v>
      </c>
      <c r="K94" s="58">
        <v>45658</v>
      </c>
      <c r="L94" s="58">
        <v>584389</v>
      </c>
    </row>
    <row r="95" spans="1:12">
      <c r="A95" s="57" t="s">
        <v>1403</v>
      </c>
      <c r="B95" s="57" t="s">
        <v>84</v>
      </c>
      <c r="C95" s="57" t="s">
        <v>85</v>
      </c>
      <c r="D95" s="57" t="s">
        <v>86</v>
      </c>
      <c r="E95" s="57" t="s">
        <v>87</v>
      </c>
      <c r="F95" s="57">
        <v>52</v>
      </c>
      <c r="G95" s="57">
        <v>20</v>
      </c>
      <c r="H95" s="57">
        <v>7</v>
      </c>
      <c r="I95" s="57">
        <v>1</v>
      </c>
      <c r="J95" s="57">
        <v>10</v>
      </c>
      <c r="K95" s="58">
        <v>45689</v>
      </c>
      <c r="L95" s="58">
        <v>584389</v>
      </c>
    </row>
    <row r="96" spans="1:12">
      <c r="A96" s="57" t="s">
        <v>1002</v>
      </c>
      <c r="B96" s="57" t="s">
        <v>124</v>
      </c>
      <c r="C96" s="57" t="s">
        <v>125</v>
      </c>
      <c r="D96" s="57" t="s">
        <v>125</v>
      </c>
      <c r="E96" s="57" t="s">
        <v>87</v>
      </c>
      <c r="F96" s="57">
        <v>53</v>
      </c>
      <c r="G96" s="57">
        <v>22</v>
      </c>
      <c r="H96" s="57" t="s">
        <v>1366</v>
      </c>
      <c r="I96" s="57">
        <v>1</v>
      </c>
      <c r="J96" s="57">
        <v>1</v>
      </c>
      <c r="K96" s="58">
        <v>45658</v>
      </c>
      <c r="L96" s="58">
        <v>584389</v>
      </c>
    </row>
    <row r="97" spans="1:12">
      <c r="A97" s="57" t="s">
        <v>226</v>
      </c>
      <c r="B97" s="57" t="s">
        <v>1371</v>
      </c>
      <c r="C97" s="57" t="s">
        <v>1372</v>
      </c>
      <c r="D97" s="57" t="s">
        <v>1373</v>
      </c>
      <c r="E97" s="57" t="s">
        <v>87</v>
      </c>
      <c r="F97" s="57">
        <v>54</v>
      </c>
      <c r="G97" s="57">
        <v>19</v>
      </c>
      <c r="H97" s="57">
        <v>6</v>
      </c>
      <c r="I97" s="57">
        <v>1</v>
      </c>
      <c r="J97" s="57">
        <v>2</v>
      </c>
      <c r="K97" s="58">
        <v>45658</v>
      </c>
      <c r="L97" s="58">
        <v>584389</v>
      </c>
    </row>
    <row r="98" spans="1:12">
      <c r="A98" s="57" t="s">
        <v>862</v>
      </c>
      <c r="B98" s="57" t="s">
        <v>1395</v>
      </c>
      <c r="C98" s="57" t="s">
        <v>1396</v>
      </c>
      <c r="D98" s="57" t="s">
        <v>1397</v>
      </c>
      <c r="E98" s="57" t="s">
        <v>76</v>
      </c>
      <c r="F98" s="57">
        <v>55</v>
      </c>
      <c r="G98" s="57">
        <v>23</v>
      </c>
      <c r="H98" s="57" t="s">
        <v>1366</v>
      </c>
      <c r="I98" s="57">
        <v>2</v>
      </c>
      <c r="J98" s="57">
        <v>3</v>
      </c>
      <c r="K98" s="58">
        <v>45658</v>
      </c>
      <c r="L98" s="58">
        <v>584389</v>
      </c>
    </row>
    <row r="99" spans="1:12">
      <c r="A99" s="57" t="s">
        <v>900</v>
      </c>
      <c r="B99" s="57" t="s">
        <v>1361</v>
      </c>
      <c r="C99" s="57" t="s">
        <v>1362</v>
      </c>
      <c r="D99" s="57" t="s">
        <v>1362</v>
      </c>
      <c r="E99" s="57" t="s">
        <v>1363</v>
      </c>
      <c r="F99" s="57">
        <v>56</v>
      </c>
      <c r="G99" s="57">
        <v>9</v>
      </c>
      <c r="H99" s="57">
        <v>3</v>
      </c>
      <c r="I99" s="57">
        <v>4</v>
      </c>
      <c r="J99" s="57">
        <v>5</v>
      </c>
      <c r="K99" s="58">
        <v>45658</v>
      </c>
      <c r="L99" s="58">
        <v>584389</v>
      </c>
    </row>
    <row r="100" spans="1:12">
      <c r="A100" s="57" t="s">
        <v>117</v>
      </c>
      <c r="B100" s="57" t="s">
        <v>117</v>
      </c>
      <c r="C100" s="57" t="s">
        <v>94</v>
      </c>
      <c r="D100" s="57" t="s">
        <v>95</v>
      </c>
      <c r="E100" s="57" t="s">
        <v>96</v>
      </c>
      <c r="F100" s="57">
        <v>57</v>
      </c>
      <c r="G100" s="57">
        <v>3</v>
      </c>
      <c r="H100" s="57">
        <v>1</v>
      </c>
      <c r="I100" s="57">
        <v>3</v>
      </c>
      <c r="J100" s="57">
        <v>6</v>
      </c>
      <c r="K100" s="58">
        <v>45658</v>
      </c>
      <c r="L100" s="58">
        <v>584389</v>
      </c>
    </row>
    <row r="101" spans="1:12">
      <c r="A101" s="57" t="s">
        <v>291</v>
      </c>
      <c r="B101" s="57" t="s">
        <v>73</v>
      </c>
      <c r="C101" s="57" t="s">
        <v>1399</v>
      </c>
      <c r="D101" s="57" t="s">
        <v>75</v>
      </c>
      <c r="E101" s="57" t="s">
        <v>75</v>
      </c>
      <c r="F101" s="57">
        <v>58</v>
      </c>
      <c r="G101" s="57">
        <v>7</v>
      </c>
      <c r="H101" s="57">
        <v>2</v>
      </c>
      <c r="I101" s="57">
        <v>2</v>
      </c>
      <c r="J101" s="57">
        <v>9</v>
      </c>
      <c r="K101" s="58">
        <v>45658</v>
      </c>
      <c r="L101" s="58">
        <v>584389</v>
      </c>
    </row>
    <row r="102" spans="1:12">
      <c r="A102" s="57" t="s">
        <v>1404</v>
      </c>
      <c r="B102" s="57" t="s">
        <v>73</v>
      </c>
      <c r="C102" s="57" t="s">
        <v>1399</v>
      </c>
      <c r="D102" s="57" t="s">
        <v>75</v>
      </c>
      <c r="E102" s="57" t="s">
        <v>75</v>
      </c>
      <c r="F102" s="57">
        <v>59</v>
      </c>
      <c r="G102" s="57">
        <v>7</v>
      </c>
      <c r="H102" s="57">
        <v>2</v>
      </c>
      <c r="I102" s="57">
        <v>2</v>
      </c>
      <c r="J102" s="57">
        <v>9</v>
      </c>
      <c r="K102" s="58">
        <v>45658</v>
      </c>
      <c r="L102" s="58">
        <v>584389</v>
      </c>
    </row>
    <row r="103" spans="1:12">
      <c r="A103" s="57" t="s">
        <v>62</v>
      </c>
      <c r="B103" s="57" t="s">
        <v>73</v>
      </c>
      <c r="C103" s="57" t="s">
        <v>74</v>
      </c>
      <c r="D103" s="57" t="s">
        <v>75</v>
      </c>
      <c r="E103" s="57" t="s">
        <v>75</v>
      </c>
      <c r="F103" s="57">
        <v>60</v>
      </c>
      <c r="G103" s="57">
        <v>5</v>
      </c>
      <c r="H103" s="57">
        <v>2</v>
      </c>
      <c r="I103" s="57">
        <v>2</v>
      </c>
      <c r="J103" s="57">
        <v>9</v>
      </c>
      <c r="K103" s="58">
        <v>45658</v>
      </c>
      <c r="L103" s="58">
        <v>584389</v>
      </c>
    </row>
    <row r="104" spans="1:12">
      <c r="A104" s="57" t="s">
        <v>438</v>
      </c>
      <c r="B104" s="57" t="s">
        <v>1395</v>
      </c>
      <c r="C104" s="57" t="s">
        <v>1400</v>
      </c>
      <c r="D104" s="57" t="s">
        <v>1397</v>
      </c>
      <c r="E104" s="57" t="s">
        <v>76</v>
      </c>
      <c r="F104" s="57">
        <v>61</v>
      </c>
      <c r="G104" s="57">
        <v>11</v>
      </c>
      <c r="H104" s="57">
        <v>4</v>
      </c>
      <c r="I104" s="57">
        <v>2</v>
      </c>
      <c r="J104" s="57">
        <v>3</v>
      </c>
      <c r="K104" s="58">
        <v>45658</v>
      </c>
      <c r="L104" s="58">
        <v>584389</v>
      </c>
    </row>
    <row r="105" spans="1:12">
      <c r="A105" s="57" t="s">
        <v>302</v>
      </c>
      <c r="B105" s="57" t="s">
        <v>73</v>
      </c>
      <c r="C105" s="57" t="s">
        <v>75</v>
      </c>
      <c r="D105" s="57" t="s">
        <v>75</v>
      </c>
      <c r="E105" s="57" t="s">
        <v>75</v>
      </c>
      <c r="F105" s="57">
        <v>62</v>
      </c>
      <c r="G105" s="57">
        <v>4</v>
      </c>
      <c r="H105" s="57">
        <v>2</v>
      </c>
      <c r="I105" s="57">
        <v>2</v>
      </c>
      <c r="J105" s="57">
        <v>9</v>
      </c>
      <c r="K105" s="58">
        <v>45658</v>
      </c>
      <c r="L105" s="58">
        <v>584389</v>
      </c>
    </row>
    <row r="106" spans="1:12">
      <c r="A106" s="57" t="s">
        <v>311</v>
      </c>
      <c r="B106" s="57" t="s">
        <v>1368</v>
      </c>
      <c r="C106" s="57" t="s">
        <v>1369</v>
      </c>
      <c r="D106" s="57" t="s">
        <v>1370</v>
      </c>
      <c r="E106" s="57" t="s">
        <v>96</v>
      </c>
      <c r="F106" s="57">
        <v>63</v>
      </c>
      <c r="G106" s="57">
        <v>16</v>
      </c>
      <c r="H106" s="57">
        <v>5</v>
      </c>
      <c r="I106" s="57">
        <v>3</v>
      </c>
      <c r="J106" s="57">
        <v>4</v>
      </c>
      <c r="K106" s="58">
        <v>45658</v>
      </c>
      <c r="L106" s="58">
        <v>584389</v>
      </c>
    </row>
    <row r="107" spans="1:12">
      <c r="A107" s="57" t="s">
        <v>416</v>
      </c>
      <c r="B107" s="57" t="s">
        <v>1371</v>
      </c>
      <c r="C107" s="57" t="s">
        <v>1372</v>
      </c>
      <c r="D107" s="57" t="s">
        <v>1373</v>
      </c>
      <c r="E107" s="57" t="s">
        <v>87</v>
      </c>
      <c r="F107" s="57">
        <v>64</v>
      </c>
      <c r="G107" s="57">
        <v>19</v>
      </c>
      <c r="H107" s="57">
        <v>6</v>
      </c>
      <c r="I107" s="57">
        <v>1</v>
      </c>
      <c r="J107" s="57">
        <v>2</v>
      </c>
      <c r="K107" s="58">
        <v>45658</v>
      </c>
      <c r="L107" s="58">
        <v>584389</v>
      </c>
    </row>
    <row r="108" spans="1:12">
      <c r="A108" s="57" t="s">
        <v>280</v>
      </c>
      <c r="B108" s="57" t="s">
        <v>1395</v>
      </c>
      <c r="C108" s="57" t="s">
        <v>1396</v>
      </c>
      <c r="D108" s="57" t="s">
        <v>1397</v>
      </c>
      <c r="E108" s="57" t="s">
        <v>76</v>
      </c>
      <c r="F108" s="57">
        <v>65</v>
      </c>
      <c r="G108" s="57">
        <v>18</v>
      </c>
      <c r="H108" s="57">
        <v>4</v>
      </c>
      <c r="I108" s="57">
        <v>2</v>
      </c>
      <c r="J108" s="57">
        <v>3</v>
      </c>
      <c r="K108" s="58">
        <v>45658</v>
      </c>
      <c r="L108" s="58">
        <v>584389</v>
      </c>
    </row>
    <row r="109" spans="1:12">
      <c r="A109" s="57" t="s">
        <v>455</v>
      </c>
      <c r="B109" s="57" t="s">
        <v>1371</v>
      </c>
      <c r="C109" s="57" t="s">
        <v>1373</v>
      </c>
      <c r="D109" s="57" t="s">
        <v>1373</v>
      </c>
      <c r="E109" s="57" t="s">
        <v>87</v>
      </c>
      <c r="F109" s="57">
        <v>66</v>
      </c>
      <c r="G109" s="57">
        <v>2</v>
      </c>
      <c r="H109" s="57">
        <v>6</v>
      </c>
      <c r="I109" s="57">
        <v>1</v>
      </c>
      <c r="J109" s="57">
        <v>2</v>
      </c>
      <c r="K109" s="58">
        <v>45658</v>
      </c>
      <c r="L109" s="58">
        <v>584389</v>
      </c>
    </row>
    <row r="110" spans="1:12">
      <c r="A110" s="57" t="s">
        <v>475</v>
      </c>
      <c r="B110" s="57" t="s">
        <v>1395</v>
      </c>
      <c r="C110" s="57" t="s">
        <v>1400</v>
      </c>
      <c r="D110" s="57" t="s">
        <v>1397</v>
      </c>
      <c r="E110" s="57" t="s">
        <v>76</v>
      </c>
      <c r="F110" s="57">
        <v>67</v>
      </c>
      <c r="G110" s="57">
        <v>11</v>
      </c>
      <c r="H110" s="57">
        <v>4</v>
      </c>
      <c r="I110" s="57">
        <v>2</v>
      </c>
      <c r="J110" s="57">
        <v>3</v>
      </c>
      <c r="K110" s="58">
        <v>45658</v>
      </c>
      <c r="L110" s="58">
        <v>584389</v>
      </c>
    </row>
    <row r="111" spans="1:12">
      <c r="A111" s="57" t="s">
        <v>431</v>
      </c>
      <c r="B111" s="57" t="s">
        <v>1368</v>
      </c>
      <c r="C111" s="57" t="s">
        <v>1370</v>
      </c>
      <c r="D111" s="57" t="s">
        <v>1370</v>
      </c>
      <c r="E111" s="57" t="s">
        <v>96</v>
      </c>
      <c r="F111" s="57">
        <v>68</v>
      </c>
      <c r="G111" s="57">
        <v>21</v>
      </c>
      <c r="H111" s="57">
        <v>5</v>
      </c>
      <c r="I111" s="57">
        <v>3</v>
      </c>
      <c r="J111" s="57">
        <v>4</v>
      </c>
      <c r="K111" s="58">
        <v>45658</v>
      </c>
      <c r="L111" s="58">
        <v>584389</v>
      </c>
    </row>
    <row r="112" spans="1:12">
      <c r="A112" s="57" t="s">
        <v>825</v>
      </c>
      <c r="B112" s="57" t="s">
        <v>117</v>
      </c>
      <c r="C112" s="57" t="s">
        <v>94</v>
      </c>
      <c r="D112" s="57" t="s">
        <v>95</v>
      </c>
      <c r="E112" s="57" t="s">
        <v>96</v>
      </c>
      <c r="F112" s="57">
        <v>69</v>
      </c>
      <c r="G112" s="57">
        <v>24</v>
      </c>
      <c r="H112" s="57">
        <v>1</v>
      </c>
      <c r="I112" s="57">
        <v>3</v>
      </c>
      <c r="J112" s="57">
        <v>6</v>
      </c>
      <c r="K112" s="58">
        <v>45658</v>
      </c>
      <c r="L112" s="58">
        <v>584389</v>
      </c>
    </row>
    <row r="113" spans="1:12">
      <c r="A113" s="57" t="s">
        <v>1405</v>
      </c>
      <c r="B113" s="57" t="s">
        <v>93</v>
      </c>
      <c r="C113" s="57" t="s">
        <v>1406</v>
      </c>
      <c r="D113" s="57" t="s">
        <v>1406</v>
      </c>
      <c r="E113" s="57" t="s">
        <v>96</v>
      </c>
      <c r="F113" s="57">
        <v>71</v>
      </c>
      <c r="G113" s="57">
        <v>1</v>
      </c>
      <c r="H113" s="57">
        <v>1</v>
      </c>
      <c r="I113" s="57">
        <v>3</v>
      </c>
      <c r="J113" s="57">
        <v>8</v>
      </c>
      <c r="K113" s="58">
        <v>45658</v>
      </c>
      <c r="L113" s="58">
        <v>584389</v>
      </c>
    </row>
    <row r="114" spans="1:12">
      <c r="A114" s="57" t="s">
        <v>306</v>
      </c>
      <c r="B114" s="57" t="s">
        <v>117</v>
      </c>
      <c r="C114" s="57" t="s">
        <v>95</v>
      </c>
      <c r="D114" s="57" t="s">
        <v>95</v>
      </c>
      <c r="E114" s="57" t="s">
        <v>96</v>
      </c>
      <c r="F114" s="57">
        <v>72</v>
      </c>
      <c r="G114" s="57">
        <v>24</v>
      </c>
      <c r="H114" s="57">
        <v>1</v>
      </c>
      <c r="I114" s="57">
        <v>3</v>
      </c>
      <c r="J114" s="57">
        <v>6</v>
      </c>
      <c r="K114" s="58">
        <v>45658</v>
      </c>
      <c r="L114" s="58">
        <v>584389</v>
      </c>
    </row>
    <row r="115" spans="1:12">
      <c r="A115" s="57" t="s">
        <v>181</v>
      </c>
      <c r="B115" s="57" t="s">
        <v>1368</v>
      </c>
      <c r="C115" s="57" t="s">
        <v>1370</v>
      </c>
      <c r="D115" s="57" t="s">
        <v>1370</v>
      </c>
      <c r="E115" s="57" t="s">
        <v>96</v>
      </c>
      <c r="F115" s="57">
        <v>73</v>
      </c>
      <c r="G115" s="57">
        <v>21</v>
      </c>
      <c r="H115" s="57">
        <v>5</v>
      </c>
      <c r="I115" s="57">
        <v>3</v>
      </c>
      <c r="J115" s="57">
        <v>4</v>
      </c>
      <c r="K115" s="58">
        <v>45658</v>
      </c>
      <c r="L115" s="58">
        <v>584389</v>
      </c>
    </row>
    <row r="116" spans="1:12">
      <c r="A116" s="57" t="s">
        <v>651</v>
      </c>
      <c r="B116" s="57" t="s">
        <v>1407</v>
      </c>
      <c r="C116" s="57" t="s">
        <v>1365</v>
      </c>
      <c r="D116" s="57" t="s">
        <v>1365</v>
      </c>
      <c r="E116" s="57" t="s">
        <v>1363</v>
      </c>
      <c r="F116" s="57">
        <v>74</v>
      </c>
      <c r="G116" s="57">
        <v>8</v>
      </c>
      <c r="H116" s="57" t="s">
        <v>1366</v>
      </c>
      <c r="I116" s="57">
        <v>4</v>
      </c>
      <c r="J116" s="57">
        <v>7</v>
      </c>
      <c r="K116" s="58">
        <v>45658</v>
      </c>
      <c r="L116" s="58">
        <v>584389</v>
      </c>
    </row>
    <row r="117" spans="1:12">
      <c r="A117" s="57" t="s">
        <v>1408</v>
      </c>
      <c r="B117" s="57" t="s">
        <v>124</v>
      </c>
      <c r="C117" s="57" t="s">
        <v>123</v>
      </c>
      <c r="D117" s="57" t="s">
        <v>125</v>
      </c>
      <c r="E117" s="57" t="s">
        <v>87</v>
      </c>
      <c r="F117" s="57">
        <v>76</v>
      </c>
      <c r="G117" s="57">
        <v>22</v>
      </c>
      <c r="H117" s="57" t="s">
        <v>1366</v>
      </c>
      <c r="I117" s="57">
        <v>1</v>
      </c>
      <c r="J117" s="57">
        <v>1</v>
      </c>
      <c r="K117" s="58">
        <v>45658</v>
      </c>
      <c r="L117" s="58">
        <v>584389</v>
      </c>
    </row>
    <row r="118" spans="1:12">
      <c r="A118" s="57" t="s">
        <v>924</v>
      </c>
      <c r="B118" s="57" t="s">
        <v>1371</v>
      </c>
      <c r="C118" s="57" t="s">
        <v>1373</v>
      </c>
      <c r="D118" s="57" t="s">
        <v>1373</v>
      </c>
      <c r="E118" s="57" t="s">
        <v>87</v>
      </c>
      <c r="F118" s="57">
        <v>77</v>
      </c>
      <c r="G118" s="57">
        <v>2</v>
      </c>
      <c r="H118" s="57">
        <v>6</v>
      </c>
      <c r="I118" s="57">
        <v>1</v>
      </c>
      <c r="J118" s="57">
        <v>2</v>
      </c>
      <c r="K118" s="58">
        <v>45658</v>
      </c>
      <c r="L118" s="58">
        <v>584389</v>
      </c>
    </row>
    <row r="119" spans="1:12">
      <c r="A119" s="57" t="s">
        <v>1021</v>
      </c>
      <c r="B119" s="57" t="s">
        <v>1395</v>
      </c>
      <c r="C119" s="57" t="s">
        <v>1397</v>
      </c>
      <c r="D119" s="57" t="s">
        <v>1397</v>
      </c>
      <c r="E119" s="57" t="s">
        <v>76</v>
      </c>
      <c r="F119" s="57">
        <v>78</v>
      </c>
      <c r="G119" s="57">
        <v>15</v>
      </c>
      <c r="H119" s="57">
        <v>4</v>
      </c>
      <c r="I119" s="57">
        <v>2</v>
      </c>
      <c r="J119" s="57">
        <v>3</v>
      </c>
      <c r="K119" s="58">
        <v>45658</v>
      </c>
      <c r="L119" s="58">
        <v>584389</v>
      </c>
    </row>
    <row r="120" spans="1:12">
      <c r="A120" s="57" t="s">
        <v>781</v>
      </c>
      <c r="B120" s="57" t="s">
        <v>1368</v>
      </c>
      <c r="C120" s="57" t="s">
        <v>1369</v>
      </c>
      <c r="D120" s="57" t="s">
        <v>1370</v>
      </c>
      <c r="E120" s="57" t="s">
        <v>96</v>
      </c>
      <c r="F120" s="57">
        <v>79</v>
      </c>
      <c r="G120" s="57">
        <v>16</v>
      </c>
      <c r="H120" s="57">
        <v>5</v>
      </c>
      <c r="I120" s="57">
        <v>3</v>
      </c>
      <c r="J120" s="57">
        <v>4</v>
      </c>
      <c r="K120" s="58">
        <v>45658</v>
      </c>
      <c r="L120" s="58">
        <v>584389</v>
      </c>
    </row>
    <row r="121" spans="1:12">
      <c r="A121" s="57" t="s">
        <v>892</v>
      </c>
      <c r="B121" s="57" t="s">
        <v>1361</v>
      </c>
      <c r="C121" s="57" t="s">
        <v>1362</v>
      </c>
      <c r="D121" s="57" t="s">
        <v>1362</v>
      </c>
      <c r="E121" s="57" t="s">
        <v>1363</v>
      </c>
      <c r="F121" s="57">
        <v>80</v>
      </c>
      <c r="G121" s="57">
        <v>14</v>
      </c>
      <c r="H121" s="57">
        <v>3</v>
      </c>
      <c r="I121" s="57">
        <v>4</v>
      </c>
      <c r="J121" s="57">
        <v>5</v>
      </c>
      <c r="K121" s="58">
        <v>45658</v>
      </c>
      <c r="L121" s="58">
        <v>584389</v>
      </c>
    </row>
    <row r="122" spans="1:12">
      <c r="A122" s="57" t="s">
        <v>727</v>
      </c>
      <c r="B122" s="57" t="s">
        <v>1361</v>
      </c>
      <c r="C122" s="57" t="s">
        <v>1362</v>
      </c>
      <c r="D122" s="57" t="s">
        <v>1362</v>
      </c>
      <c r="E122" s="57" t="s">
        <v>1363</v>
      </c>
      <c r="F122" s="57">
        <v>81</v>
      </c>
      <c r="G122" s="57">
        <v>14</v>
      </c>
      <c r="H122" s="57">
        <v>3</v>
      </c>
      <c r="I122" s="57">
        <v>4</v>
      </c>
      <c r="J122" s="57">
        <v>5</v>
      </c>
      <c r="K122" s="58">
        <v>45658</v>
      </c>
      <c r="L122" s="58">
        <v>584389</v>
      </c>
    </row>
    <row r="123" spans="1:12">
      <c r="A123" s="57" t="s">
        <v>939</v>
      </c>
      <c r="B123" s="57" t="s">
        <v>1361</v>
      </c>
      <c r="C123" s="57" t="s">
        <v>118</v>
      </c>
      <c r="D123" s="57" t="s">
        <v>1362</v>
      </c>
      <c r="E123" s="57" t="s">
        <v>1363</v>
      </c>
      <c r="F123" s="57">
        <v>82</v>
      </c>
      <c r="G123" s="57">
        <v>9</v>
      </c>
      <c r="H123" s="57">
        <v>3</v>
      </c>
      <c r="I123" s="57">
        <v>4</v>
      </c>
      <c r="J123" s="57">
        <v>5</v>
      </c>
      <c r="K123" s="58">
        <v>45658</v>
      </c>
      <c r="L123" s="58">
        <v>584389</v>
      </c>
    </row>
    <row r="124" spans="1:12">
      <c r="A124" s="57" t="s">
        <v>1409</v>
      </c>
      <c r="B124" s="57" t="s">
        <v>1371</v>
      </c>
      <c r="C124" s="57" t="s">
        <v>1373</v>
      </c>
      <c r="D124" s="57" t="s">
        <v>1373</v>
      </c>
      <c r="E124" s="57" t="s">
        <v>87</v>
      </c>
      <c r="F124" s="57">
        <v>83</v>
      </c>
      <c r="G124" s="57">
        <v>2</v>
      </c>
      <c r="H124" s="57">
        <v>6</v>
      </c>
      <c r="I124" s="57">
        <v>1</v>
      </c>
      <c r="J124" s="57">
        <v>2</v>
      </c>
      <c r="K124" s="58">
        <v>45658</v>
      </c>
      <c r="L124" s="58">
        <v>584389</v>
      </c>
    </row>
    <row r="125" spans="1:12">
      <c r="A125" s="57" t="s">
        <v>1410</v>
      </c>
      <c r="B125" s="57" t="s">
        <v>84</v>
      </c>
      <c r="C125" s="57" t="s">
        <v>85</v>
      </c>
      <c r="D125" s="57" t="s">
        <v>86</v>
      </c>
      <c r="E125" s="57" t="s">
        <v>87</v>
      </c>
      <c r="F125" s="57">
        <v>84</v>
      </c>
      <c r="G125" s="57">
        <v>20</v>
      </c>
      <c r="H125" s="57">
        <v>7</v>
      </c>
      <c r="I125" s="57">
        <v>1</v>
      </c>
      <c r="J125" s="57">
        <v>10</v>
      </c>
      <c r="K125" s="58">
        <v>45778</v>
      </c>
      <c r="L125" s="58">
        <v>584389</v>
      </c>
    </row>
    <row r="126" spans="1:12">
      <c r="A126" s="57" t="s">
        <v>593</v>
      </c>
      <c r="B126" s="57" t="s">
        <v>1361</v>
      </c>
      <c r="C126" s="57" t="s">
        <v>1362</v>
      </c>
      <c r="D126" s="57" t="s">
        <v>1362</v>
      </c>
      <c r="E126" s="57" t="s">
        <v>1363</v>
      </c>
      <c r="F126" s="57">
        <v>85</v>
      </c>
      <c r="G126" s="57">
        <v>9</v>
      </c>
      <c r="H126" s="57">
        <v>3</v>
      </c>
      <c r="I126" s="57">
        <v>4</v>
      </c>
      <c r="J126" s="57">
        <v>5</v>
      </c>
      <c r="K126" s="58">
        <v>45658</v>
      </c>
      <c r="L126" s="58">
        <v>584389</v>
      </c>
    </row>
    <row r="127" spans="1:12">
      <c r="A127" s="57" t="s">
        <v>329</v>
      </c>
      <c r="B127" s="57" t="s">
        <v>117</v>
      </c>
      <c r="C127" s="57" t="s">
        <v>95</v>
      </c>
      <c r="D127" s="57" t="s">
        <v>95</v>
      </c>
      <c r="E127" s="57" t="s">
        <v>96</v>
      </c>
      <c r="F127" s="57">
        <v>86</v>
      </c>
      <c r="G127" s="57">
        <v>24</v>
      </c>
      <c r="H127" s="57">
        <v>1</v>
      </c>
      <c r="I127" s="57">
        <v>3</v>
      </c>
      <c r="J127" s="57">
        <v>6</v>
      </c>
      <c r="K127" s="58">
        <v>45658</v>
      </c>
      <c r="L127" s="58">
        <v>584389</v>
      </c>
    </row>
    <row r="128" spans="1:12">
      <c r="A128" s="57" t="s">
        <v>625</v>
      </c>
      <c r="B128" s="57" t="s">
        <v>1361</v>
      </c>
      <c r="C128" s="57" t="s">
        <v>118</v>
      </c>
      <c r="D128" s="57" t="s">
        <v>1362</v>
      </c>
      <c r="E128" s="57" t="s">
        <v>1363</v>
      </c>
      <c r="F128" s="57">
        <v>87</v>
      </c>
      <c r="G128" s="57">
        <v>9</v>
      </c>
      <c r="H128" s="57">
        <v>3</v>
      </c>
      <c r="I128" s="57">
        <v>4</v>
      </c>
      <c r="J128" s="57">
        <v>5</v>
      </c>
      <c r="K128" s="58">
        <v>45658</v>
      </c>
      <c r="L128" s="58">
        <v>584389</v>
      </c>
    </row>
    <row r="129" spans="1:12">
      <c r="A129" s="57" t="s">
        <v>1411</v>
      </c>
      <c r="B129" s="57" t="s">
        <v>124</v>
      </c>
      <c r="C129" s="57" t="s">
        <v>123</v>
      </c>
      <c r="D129" s="57" t="s">
        <v>125</v>
      </c>
      <c r="E129" s="57" t="s">
        <v>87</v>
      </c>
      <c r="F129" s="57">
        <v>88</v>
      </c>
      <c r="G129" s="57">
        <v>22</v>
      </c>
      <c r="H129" s="57" t="s">
        <v>1366</v>
      </c>
      <c r="I129" s="57">
        <v>1</v>
      </c>
      <c r="J129" s="57">
        <v>1</v>
      </c>
      <c r="K129" s="58">
        <v>45658</v>
      </c>
      <c r="L129" s="58">
        <v>584389</v>
      </c>
    </row>
    <row r="130" spans="1:12">
      <c r="A130" s="57" t="s">
        <v>393</v>
      </c>
      <c r="B130" s="57" t="s">
        <v>1407</v>
      </c>
      <c r="C130" s="57" t="s">
        <v>1365</v>
      </c>
      <c r="D130" s="57" t="s">
        <v>1365</v>
      </c>
      <c r="E130" s="57" t="s">
        <v>1363</v>
      </c>
      <c r="F130" s="57">
        <v>92</v>
      </c>
      <c r="G130" s="57">
        <v>8</v>
      </c>
      <c r="H130" s="57" t="s">
        <v>1366</v>
      </c>
      <c r="I130" s="57">
        <v>4</v>
      </c>
      <c r="J130" s="57">
        <v>7</v>
      </c>
      <c r="K130" s="58">
        <v>45658</v>
      </c>
      <c r="L130" s="58">
        <v>584389</v>
      </c>
    </row>
    <row r="131" spans="1:12">
      <c r="A131" s="57" t="s">
        <v>916</v>
      </c>
      <c r="B131" s="57" t="s">
        <v>1407</v>
      </c>
      <c r="C131" s="57" t="s">
        <v>1365</v>
      </c>
      <c r="D131" s="57" t="s">
        <v>1365</v>
      </c>
      <c r="E131" s="57" t="s">
        <v>1363</v>
      </c>
      <c r="F131" s="57">
        <v>93</v>
      </c>
      <c r="G131" s="57">
        <v>8</v>
      </c>
      <c r="H131" s="57" t="s">
        <v>1366</v>
      </c>
      <c r="I131" s="57">
        <v>4</v>
      </c>
      <c r="J131" s="57">
        <v>7</v>
      </c>
      <c r="K131" s="58">
        <v>45658</v>
      </c>
      <c r="L131" s="58">
        <v>584389</v>
      </c>
    </row>
    <row r="132" spans="1:12">
      <c r="A132" s="57" t="s">
        <v>1412</v>
      </c>
      <c r="B132" s="57" t="s">
        <v>84</v>
      </c>
      <c r="C132" s="57" t="s">
        <v>86</v>
      </c>
      <c r="D132" s="57" t="s">
        <v>86</v>
      </c>
      <c r="E132" s="57" t="s">
        <v>87</v>
      </c>
      <c r="F132" s="57">
        <v>94</v>
      </c>
      <c r="G132" s="57">
        <v>17</v>
      </c>
      <c r="H132" s="57">
        <v>7</v>
      </c>
      <c r="I132" s="57">
        <v>1</v>
      </c>
      <c r="J132" s="57">
        <v>10</v>
      </c>
      <c r="K132" s="58">
        <v>45658</v>
      </c>
      <c r="L132" s="58">
        <v>584389</v>
      </c>
    </row>
    <row r="133" spans="1:12">
      <c r="A133" s="57" t="s">
        <v>745</v>
      </c>
      <c r="B133" s="57" t="s">
        <v>73</v>
      </c>
      <c r="C133" s="57" t="s">
        <v>1399</v>
      </c>
      <c r="D133" s="57" t="s">
        <v>75</v>
      </c>
      <c r="E133" s="57" t="s">
        <v>75</v>
      </c>
      <c r="F133" s="57">
        <v>95</v>
      </c>
      <c r="G133" s="57">
        <v>7</v>
      </c>
      <c r="H133" s="57">
        <v>2</v>
      </c>
      <c r="I133" s="57">
        <v>2</v>
      </c>
      <c r="J133" s="57">
        <v>9</v>
      </c>
      <c r="K133" s="58">
        <v>45658</v>
      </c>
      <c r="L133" s="58">
        <v>584389</v>
      </c>
    </row>
    <row r="134" spans="1:12">
      <c r="A134" s="57" t="s">
        <v>115</v>
      </c>
      <c r="B134" s="57" t="s">
        <v>1361</v>
      </c>
      <c r="C134" s="57" t="s">
        <v>118</v>
      </c>
      <c r="D134" s="57" t="s">
        <v>1362</v>
      </c>
      <c r="E134" s="57" t="s">
        <v>1363</v>
      </c>
      <c r="F134" s="57">
        <v>97</v>
      </c>
      <c r="G134" s="57">
        <v>3</v>
      </c>
      <c r="H134" s="57">
        <v>1</v>
      </c>
      <c r="I134" s="57">
        <v>3</v>
      </c>
      <c r="J134" s="57">
        <v>6</v>
      </c>
      <c r="K134" s="58">
        <v>45658</v>
      </c>
      <c r="L134" s="58">
        <v>584389</v>
      </c>
    </row>
    <row r="135" spans="1:12">
      <c r="A135" s="57" t="s">
        <v>910</v>
      </c>
      <c r="B135" s="57" t="s">
        <v>1395</v>
      </c>
      <c r="C135" s="57" t="s">
        <v>1397</v>
      </c>
      <c r="D135" s="57" t="s">
        <v>1397</v>
      </c>
      <c r="E135" s="57" t="s">
        <v>96</v>
      </c>
      <c r="F135" s="57">
        <v>98</v>
      </c>
      <c r="G135" s="57">
        <v>16</v>
      </c>
      <c r="H135" s="57">
        <v>5</v>
      </c>
      <c r="I135" s="57">
        <v>3</v>
      </c>
      <c r="J135" s="57">
        <v>4</v>
      </c>
      <c r="K135" s="58">
        <v>45658</v>
      </c>
      <c r="L135" s="58">
        <v>584389</v>
      </c>
    </row>
    <row r="136" spans="1:12">
      <c r="A136" s="57" t="s">
        <v>1413</v>
      </c>
      <c r="B136" s="57" t="s">
        <v>1407</v>
      </c>
      <c r="C136" s="57" t="s">
        <v>1362</v>
      </c>
      <c r="D136" s="57" t="s">
        <v>1362</v>
      </c>
      <c r="E136" s="57" t="s">
        <v>1363</v>
      </c>
      <c r="F136" s="57">
        <v>99</v>
      </c>
      <c r="G136" s="57">
        <v>9</v>
      </c>
      <c r="H136" s="57">
        <v>3</v>
      </c>
      <c r="I136" s="57">
        <v>4</v>
      </c>
      <c r="J136" s="57">
        <v>7</v>
      </c>
      <c r="K136" s="58">
        <v>45658</v>
      </c>
      <c r="L136" s="58">
        <v>584389</v>
      </c>
    </row>
    <row r="137" spans="1:12">
      <c r="A137" s="57" t="s">
        <v>1414</v>
      </c>
      <c r="B137" s="57" t="s">
        <v>1371</v>
      </c>
      <c r="C137" s="57" t="s">
        <v>94</v>
      </c>
      <c r="D137" s="57" t="s">
        <v>95</v>
      </c>
      <c r="E137" s="57" t="s">
        <v>96</v>
      </c>
      <c r="F137" s="57">
        <v>100</v>
      </c>
      <c r="G137" s="57">
        <v>19</v>
      </c>
      <c r="H137" s="57">
        <v>6</v>
      </c>
      <c r="I137" s="57">
        <v>1</v>
      </c>
      <c r="J137" s="57">
        <v>2</v>
      </c>
      <c r="K137" s="58">
        <v>45658</v>
      </c>
      <c r="L137" s="58">
        <v>584389</v>
      </c>
    </row>
    <row r="138" spans="1:12">
      <c r="A138" s="57" t="s">
        <v>1415</v>
      </c>
      <c r="B138" s="57" t="s">
        <v>1371</v>
      </c>
      <c r="C138" s="57" t="s">
        <v>1373</v>
      </c>
      <c r="D138" s="57" t="s">
        <v>1373</v>
      </c>
      <c r="E138" s="57" t="s">
        <v>87</v>
      </c>
      <c r="F138" s="57">
        <v>101</v>
      </c>
      <c r="G138" s="57">
        <v>2</v>
      </c>
      <c r="H138" s="57">
        <v>6</v>
      </c>
      <c r="I138" s="57">
        <v>1</v>
      </c>
      <c r="J138" s="57">
        <v>2</v>
      </c>
      <c r="K138" s="58">
        <v>45658</v>
      </c>
      <c r="L138" s="58">
        <v>584389</v>
      </c>
    </row>
    <row r="139" spans="1:12">
      <c r="A139" s="57" t="s">
        <v>1416</v>
      </c>
      <c r="B139" s="57" t="s">
        <v>1368</v>
      </c>
      <c r="C139" s="57" t="s">
        <v>1370</v>
      </c>
      <c r="D139" s="57" t="s">
        <v>1370</v>
      </c>
      <c r="E139" s="57" t="s">
        <v>96</v>
      </c>
      <c r="F139" s="57">
        <v>102</v>
      </c>
      <c r="G139" s="57">
        <v>21</v>
      </c>
      <c r="H139" s="57">
        <v>5</v>
      </c>
      <c r="I139" s="57">
        <v>3</v>
      </c>
      <c r="J139" s="57">
        <v>4</v>
      </c>
      <c r="K139" s="58">
        <v>45658</v>
      </c>
      <c r="L139" s="58">
        <v>584389</v>
      </c>
    </row>
    <row r="140" spans="1:12">
      <c r="A140" s="57" t="s">
        <v>1417</v>
      </c>
      <c r="B140" s="57" t="s">
        <v>93</v>
      </c>
      <c r="C140" s="57" t="s">
        <v>1406</v>
      </c>
      <c r="D140" s="57" t="s">
        <v>1406</v>
      </c>
      <c r="E140" s="57" t="s">
        <v>96</v>
      </c>
      <c r="F140" s="57">
        <v>103</v>
      </c>
      <c r="G140" s="57">
        <v>15</v>
      </c>
      <c r="H140" s="57">
        <v>4</v>
      </c>
      <c r="I140" s="57">
        <v>2</v>
      </c>
      <c r="J140" s="57">
        <v>3</v>
      </c>
      <c r="K140" s="58">
        <v>45658</v>
      </c>
      <c r="L140" s="58">
        <v>584389</v>
      </c>
    </row>
    <row r="141" spans="1:12">
      <c r="A141" s="57" t="s">
        <v>427</v>
      </c>
      <c r="B141" s="57" t="s">
        <v>1407</v>
      </c>
      <c r="C141" s="57" t="s">
        <v>1365</v>
      </c>
      <c r="D141" s="57" t="s">
        <v>1365</v>
      </c>
      <c r="E141" s="57" t="s">
        <v>1363</v>
      </c>
      <c r="F141" s="57">
        <v>105</v>
      </c>
      <c r="G141" s="57">
        <v>8</v>
      </c>
      <c r="H141" s="57" t="s">
        <v>1366</v>
      </c>
      <c r="I141" s="57">
        <v>4</v>
      </c>
      <c r="J141" s="57">
        <v>7</v>
      </c>
      <c r="K141" s="58">
        <v>45658</v>
      </c>
      <c r="L141" s="58">
        <v>584389</v>
      </c>
    </row>
    <row r="142" spans="1:12">
      <c r="A142" s="57" t="s">
        <v>1024</v>
      </c>
      <c r="B142" s="57" t="s">
        <v>1368</v>
      </c>
      <c r="C142" s="57" t="s">
        <v>1370</v>
      </c>
      <c r="D142" s="57" t="s">
        <v>1370</v>
      </c>
      <c r="E142" s="57" t="s">
        <v>96</v>
      </c>
      <c r="F142" s="57">
        <v>106</v>
      </c>
      <c r="G142" s="57">
        <v>0</v>
      </c>
      <c r="H142" s="57">
        <v>5</v>
      </c>
      <c r="I142" s="57">
        <v>3</v>
      </c>
      <c r="J142" s="57">
        <v>4</v>
      </c>
      <c r="K142" s="58">
        <v>45658</v>
      </c>
      <c r="L142" s="58">
        <v>584389</v>
      </c>
    </row>
    <row r="143" spans="1:12">
      <c r="A143" s="57" t="s">
        <v>150</v>
      </c>
      <c r="B143" s="57" t="s">
        <v>124</v>
      </c>
      <c r="C143" s="57" t="s">
        <v>123</v>
      </c>
      <c r="D143" s="57" t="s">
        <v>125</v>
      </c>
      <c r="E143" s="57" t="s">
        <v>87</v>
      </c>
      <c r="F143" s="57">
        <v>107</v>
      </c>
      <c r="G143" s="57">
        <v>22</v>
      </c>
      <c r="H143" s="57" t="s">
        <v>1366</v>
      </c>
      <c r="I143" s="57">
        <v>1</v>
      </c>
      <c r="J143" s="57">
        <v>1</v>
      </c>
      <c r="K143" s="58">
        <v>45658</v>
      </c>
      <c r="L143" s="58">
        <v>584389</v>
      </c>
    </row>
    <row r="144" spans="1:12">
      <c r="A144" s="57" t="s">
        <v>1418</v>
      </c>
      <c r="B144" s="57" t="s">
        <v>124</v>
      </c>
      <c r="C144" s="57" t="s">
        <v>123</v>
      </c>
      <c r="D144" s="57" t="s">
        <v>125</v>
      </c>
      <c r="E144" s="57" t="s">
        <v>87</v>
      </c>
      <c r="F144" s="57">
        <v>108</v>
      </c>
      <c r="G144" s="57">
        <v>22</v>
      </c>
      <c r="H144" s="57" t="s">
        <v>1366</v>
      </c>
      <c r="I144" s="57">
        <v>1</v>
      </c>
      <c r="J144" s="57">
        <v>1</v>
      </c>
      <c r="K144" s="58">
        <v>45658</v>
      </c>
      <c r="L144" s="58">
        <v>584389</v>
      </c>
    </row>
    <row r="145" spans="1:12">
      <c r="A145" s="57" t="s">
        <v>889</v>
      </c>
      <c r="B145" s="57" t="s">
        <v>124</v>
      </c>
      <c r="C145" s="57" t="s">
        <v>125</v>
      </c>
      <c r="D145" s="57" t="s">
        <v>125</v>
      </c>
      <c r="E145" s="57" t="s">
        <v>87</v>
      </c>
      <c r="F145" s="57">
        <v>110</v>
      </c>
      <c r="G145" s="57">
        <v>22</v>
      </c>
      <c r="H145" s="57" t="s">
        <v>1366</v>
      </c>
      <c r="I145" s="57">
        <v>1</v>
      </c>
      <c r="J145" s="57">
        <v>1</v>
      </c>
      <c r="K145" s="58">
        <v>45658</v>
      </c>
      <c r="L145" s="58">
        <v>584389</v>
      </c>
    </row>
    <row r="146" spans="1:12">
      <c r="A146" s="57" t="s">
        <v>1419</v>
      </c>
      <c r="B146" s="57" t="s">
        <v>1407</v>
      </c>
      <c r="C146" s="57" t="s">
        <v>1362</v>
      </c>
      <c r="D146" s="57" t="s">
        <v>1362</v>
      </c>
      <c r="E146" s="57" t="s">
        <v>1363</v>
      </c>
      <c r="F146" s="57">
        <v>111</v>
      </c>
      <c r="G146" s="57">
        <v>8</v>
      </c>
      <c r="H146" s="57" t="s">
        <v>1366</v>
      </c>
      <c r="I146" s="57">
        <v>4</v>
      </c>
      <c r="J146" s="57">
        <v>7</v>
      </c>
      <c r="K146" s="58">
        <v>45658</v>
      </c>
      <c r="L146" s="58">
        <v>584389</v>
      </c>
    </row>
    <row r="147" spans="1:12">
      <c r="A147" s="57" t="s">
        <v>1420</v>
      </c>
      <c r="B147" s="57" t="s">
        <v>73</v>
      </c>
      <c r="C147" s="57" t="s">
        <v>74</v>
      </c>
      <c r="D147" s="57" t="s">
        <v>75</v>
      </c>
      <c r="E147" s="57" t="s">
        <v>75</v>
      </c>
      <c r="F147" s="57">
        <v>112</v>
      </c>
      <c r="G147" s="57">
        <v>5</v>
      </c>
      <c r="H147" s="57">
        <v>2</v>
      </c>
      <c r="I147" s="57">
        <v>2</v>
      </c>
      <c r="J147" s="57">
        <v>9</v>
      </c>
      <c r="K147" s="58">
        <v>45658</v>
      </c>
      <c r="L147" s="58">
        <v>584389</v>
      </c>
    </row>
    <row r="148" spans="1:12">
      <c r="A148" s="57" t="s">
        <v>1421</v>
      </c>
      <c r="B148" s="57" t="s">
        <v>93</v>
      </c>
      <c r="C148" s="57" t="s">
        <v>95</v>
      </c>
      <c r="D148" s="57" t="s">
        <v>95</v>
      </c>
      <c r="E148" s="57" t="s">
        <v>96</v>
      </c>
      <c r="F148" s="57">
        <v>113</v>
      </c>
      <c r="G148" s="57">
        <v>1</v>
      </c>
      <c r="H148" s="57">
        <v>1</v>
      </c>
      <c r="I148" s="57">
        <v>3</v>
      </c>
      <c r="J148" s="57">
        <v>8</v>
      </c>
      <c r="K148" s="58">
        <v>45658</v>
      </c>
      <c r="L148" s="58">
        <v>584389</v>
      </c>
    </row>
    <row r="149" spans="1:12">
      <c r="A149" s="57" t="s">
        <v>1422</v>
      </c>
      <c r="B149" s="57" t="s">
        <v>1407</v>
      </c>
      <c r="C149" s="57" t="s">
        <v>1365</v>
      </c>
      <c r="D149" s="57" t="s">
        <v>1365</v>
      </c>
      <c r="E149" s="57" t="s">
        <v>1363</v>
      </c>
      <c r="F149" s="57">
        <v>114</v>
      </c>
      <c r="G149" s="57">
        <v>8</v>
      </c>
      <c r="H149" s="57" t="s">
        <v>1366</v>
      </c>
      <c r="I149" s="57">
        <v>4</v>
      </c>
      <c r="J149" s="57">
        <v>7</v>
      </c>
      <c r="K149" s="58">
        <v>45658</v>
      </c>
      <c r="L149" s="58">
        <v>584389</v>
      </c>
    </row>
    <row r="150" spans="1:12">
      <c r="A150" s="57" t="s">
        <v>1423</v>
      </c>
      <c r="B150" s="57" t="s">
        <v>1368</v>
      </c>
      <c r="C150" s="57" t="s">
        <v>1370</v>
      </c>
      <c r="D150" s="57" t="s">
        <v>1370</v>
      </c>
      <c r="E150" s="57" t="s">
        <v>96</v>
      </c>
      <c r="F150" s="57">
        <v>115</v>
      </c>
      <c r="G150" s="57">
        <v>21</v>
      </c>
      <c r="H150" s="57">
        <v>5</v>
      </c>
      <c r="I150" s="57">
        <v>3</v>
      </c>
      <c r="J150" s="57">
        <v>4</v>
      </c>
      <c r="K150" s="58">
        <v>45658</v>
      </c>
      <c r="L150" s="58">
        <v>584389</v>
      </c>
    </row>
    <row r="151" spans="1:12">
      <c r="A151" s="57" t="s">
        <v>1424</v>
      </c>
      <c r="B151" s="57" t="s">
        <v>1395</v>
      </c>
      <c r="C151" s="57" t="s">
        <v>1400</v>
      </c>
      <c r="D151" s="57" t="s">
        <v>1397</v>
      </c>
      <c r="E151" s="57" t="s">
        <v>76</v>
      </c>
      <c r="F151" s="57">
        <v>124</v>
      </c>
      <c r="G151" s="57">
        <v>11</v>
      </c>
      <c r="H151" s="57">
        <v>4</v>
      </c>
      <c r="I151" s="57">
        <v>2</v>
      </c>
      <c r="J151" s="57">
        <v>3</v>
      </c>
      <c r="K151" s="58">
        <v>45658</v>
      </c>
      <c r="L151" s="58">
        <v>584389</v>
      </c>
    </row>
    <row r="152" spans="1:12">
      <c r="A152" s="57" t="s">
        <v>162</v>
      </c>
      <c r="B152" s="57" t="s">
        <v>73</v>
      </c>
      <c r="C152" s="57" t="s">
        <v>75</v>
      </c>
      <c r="D152" s="57" t="s">
        <v>75</v>
      </c>
      <c r="E152" s="57" t="s">
        <v>75</v>
      </c>
      <c r="F152" s="57">
        <v>125</v>
      </c>
      <c r="G152" s="57">
        <v>4</v>
      </c>
      <c r="H152" s="57">
        <v>2</v>
      </c>
      <c r="I152" s="57">
        <v>2</v>
      </c>
      <c r="J152" s="57">
        <v>9</v>
      </c>
      <c r="K152" s="58">
        <v>45658</v>
      </c>
      <c r="L152" s="58">
        <v>584389</v>
      </c>
    </row>
    <row r="153" spans="1:12">
      <c r="A153" s="57" t="s">
        <v>239</v>
      </c>
      <c r="B153" s="57" t="s">
        <v>117</v>
      </c>
      <c r="C153" s="57" t="s">
        <v>95</v>
      </c>
      <c r="D153" s="57" t="s">
        <v>95</v>
      </c>
      <c r="E153" s="57" t="s">
        <v>96</v>
      </c>
      <c r="F153" s="57">
        <v>126</v>
      </c>
      <c r="G153" s="57">
        <v>24</v>
      </c>
      <c r="H153" s="57">
        <v>1</v>
      </c>
      <c r="I153" s="57">
        <v>3</v>
      </c>
      <c r="J153" s="57">
        <v>6</v>
      </c>
      <c r="K153" s="58">
        <v>45658</v>
      </c>
      <c r="L153" s="58">
        <v>584389</v>
      </c>
    </row>
    <row r="154" spans="1:12">
      <c r="A154" s="57" t="s">
        <v>1425</v>
      </c>
      <c r="B154" s="57" t="s">
        <v>1368</v>
      </c>
      <c r="C154" s="57" t="s">
        <v>1369</v>
      </c>
      <c r="D154" s="57" t="s">
        <v>1370</v>
      </c>
      <c r="E154" s="57" t="s">
        <v>96</v>
      </c>
      <c r="F154" s="57">
        <v>128</v>
      </c>
      <c r="G154" s="57">
        <v>16</v>
      </c>
      <c r="H154" s="57">
        <v>5</v>
      </c>
      <c r="I154" s="57">
        <v>3</v>
      </c>
      <c r="J154" s="57">
        <v>4</v>
      </c>
      <c r="K154" s="58">
        <v>45658</v>
      </c>
      <c r="L154" s="58">
        <v>584389</v>
      </c>
    </row>
    <row r="155" spans="1:12">
      <c r="A155" s="57" t="s">
        <v>145</v>
      </c>
      <c r="B155" s="57" t="s">
        <v>124</v>
      </c>
      <c r="C155" s="57" t="s">
        <v>123</v>
      </c>
      <c r="D155" s="57" t="s">
        <v>125</v>
      </c>
      <c r="E155" s="57" t="s">
        <v>87</v>
      </c>
      <c r="F155" s="57">
        <v>129</v>
      </c>
      <c r="G155" s="57">
        <v>22</v>
      </c>
      <c r="H155" s="57" t="s">
        <v>1366</v>
      </c>
      <c r="I155" s="57">
        <v>1</v>
      </c>
      <c r="J155" s="57">
        <v>1</v>
      </c>
      <c r="K155" s="58">
        <v>45658</v>
      </c>
      <c r="L155" s="58">
        <v>584389</v>
      </c>
    </row>
    <row r="156" spans="1:12">
      <c r="A156" s="57" t="s">
        <v>1426</v>
      </c>
      <c r="B156" s="57" t="s">
        <v>124</v>
      </c>
      <c r="C156" s="57" t="s">
        <v>123</v>
      </c>
      <c r="D156" s="57" t="s">
        <v>125</v>
      </c>
      <c r="E156" s="57" t="s">
        <v>87</v>
      </c>
      <c r="F156" s="57">
        <v>130</v>
      </c>
      <c r="G156" s="57">
        <v>22</v>
      </c>
      <c r="H156" s="57" t="s">
        <v>1366</v>
      </c>
      <c r="I156" s="57">
        <v>1</v>
      </c>
      <c r="J156" s="57">
        <v>1</v>
      </c>
      <c r="K156" s="58">
        <v>45658</v>
      </c>
      <c r="L156" s="58">
        <v>584389</v>
      </c>
    </row>
    <row r="157" spans="1:12">
      <c r="A157" s="57" t="s">
        <v>1427</v>
      </c>
      <c r="B157" s="57" t="s">
        <v>124</v>
      </c>
      <c r="C157" s="57" t="s">
        <v>123</v>
      </c>
      <c r="D157" s="57" t="s">
        <v>125</v>
      </c>
      <c r="E157" s="57" t="s">
        <v>87</v>
      </c>
      <c r="F157" s="57">
        <v>131</v>
      </c>
      <c r="G157" s="57">
        <v>22</v>
      </c>
      <c r="H157" s="57" t="s">
        <v>1366</v>
      </c>
      <c r="I157" s="57">
        <v>1</v>
      </c>
      <c r="J157" s="57">
        <v>1</v>
      </c>
      <c r="K157" s="58">
        <v>45658</v>
      </c>
      <c r="L157" s="58">
        <v>584389</v>
      </c>
    </row>
    <row r="158" spans="1:12">
      <c r="A158" s="57" t="s">
        <v>1428</v>
      </c>
      <c r="B158" s="57" t="s">
        <v>124</v>
      </c>
      <c r="C158" s="57" t="s">
        <v>123</v>
      </c>
      <c r="D158" s="57" t="s">
        <v>125</v>
      </c>
      <c r="E158" s="57" t="s">
        <v>87</v>
      </c>
      <c r="F158" s="57">
        <v>132</v>
      </c>
      <c r="G158" s="57">
        <v>22</v>
      </c>
      <c r="H158" s="57" t="s">
        <v>1366</v>
      </c>
      <c r="I158" s="57">
        <v>1</v>
      </c>
      <c r="J158" s="57">
        <v>1</v>
      </c>
      <c r="K158" s="58">
        <v>45658</v>
      </c>
      <c r="L158" s="58">
        <v>584389</v>
      </c>
    </row>
    <row r="159" spans="1:12">
      <c r="A159" s="57" t="s">
        <v>1429</v>
      </c>
      <c r="B159" s="57" t="s">
        <v>124</v>
      </c>
      <c r="C159" s="57" t="s">
        <v>125</v>
      </c>
      <c r="D159" s="57" t="s">
        <v>125</v>
      </c>
      <c r="E159" s="57" t="s">
        <v>87</v>
      </c>
      <c r="F159" s="57">
        <v>133</v>
      </c>
      <c r="G159" s="57">
        <v>22</v>
      </c>
      <c r="H159" s="57" t="s">
        <v>1366</v>
      </c>
      <c r="I159" s="57">
        <v>1</v>
      </c>
      <c r="J159" s="57">
        <v>1</v>
      </c>
      <c r="K159" s="58">
        <v>45658</v>
      </c>
      <c r="L159" s="58">
        <v>584389</v>
      </c>
    </row>
    <row r="160" spans="1:12">
      <c r="A160" s="57" t="s">
        <v>964</v>
      </c>
      <c r="B160" s="57" t="s">
        <v>73</v>
      </c>
      <c r="C160" s="57" t="s">
        <v>75</v>
      </c>
      <c r="D160" s="57" t="s">
        <v>75</v>
      </c>
      <c r="E160" s="57" t="s">
        <v>75</v>
      </c>
      <c r="F160" s="57">
        <v>134</v>
      </c>
      <c r="G160" s="57">
        <v>4</v>
      </c>
      <c r="H160" s="57">
        <v>2</v>
      </c>
      <c r="I160" s="57">
        <v>2</v>
      </c>
      <c r="J160" s="57">
        <v>9</v>
      </c>
      <c r="K160" s="58">
        <v>45658</v>
      </c>
      <c r="L160" s="58">
        <v>584389</v>
      </c>
    </row>
    <row r="161" spans="1:12">
      <c r="A161" s="57" t="s">
        <v>1430</v>
      </c>
      <c r="B161" s="57" t="s">
        <v>124</v>
      </c>
      <c r="C161" s="57" t="s">
        <v>123</v>
      </c>
      <c r="D161" s="57" t="s">
        <v>125</v>
      </c>
      <c r="E161" s="57" t="s">
        <v>87</v>
      </c>
      <c r="F161" s="57">
        <v>135</v>
      </c>
      <c r="G161" s="57">
        <v>22</v>
      </c>
      <c r="H161" s="57" t="s">
        <v>1366</v>
      </c>
      <c r="I161" s="57">
        <v>1</v>
      </c>
      <c r="J161" s="57">
        <v>1</v>
      </c>
      <c r="K161" s="58">
        <v>45658</v>
      </c>
      <c r="L161" s="58">
        <v>584389</v>
      </c>
    </row>
    <row r="162" spans="1:12">
      <c r="A162" s="57" t="s">
        <v>1431</v>
      </c>
      <c r="B162" s="57" t="s">
        <v>84</v>
      </c>
      <c r="C162" s="57" t="s">
        <v>85</v>
      </c>
      <c r="D162" s="57" t="s">
        <v>86</v>
      </c>
      <c r="E162" s="57" t="s">
        <v>87</v>
      </c>
      <c r="F162" s="57">
        <v>136</v>
      </c>
      <c r="G162" s="57">
        <v>20</v>
      </c>
      <c r="H162" s="57">
        <v>7</v>
      </c>
      <c r="I162" s="57">
        <v>1</v>
      </c>
      <c r="J162" s="57">
        <v>10</v>
      </c>
      <c r="K162" s="58">
        <v>45689</v>
      </c>
      <c r="L162" s="58">
        <v>584389</v>
      </c>
    </row>
    <row r="163" spans="1:12">
      <c r="A163" s="57" t="s">
        <v>1432</v>
      </c>
      <c r="B163" s="57" t="s">
        <v>124</v>
      </c>
      <c r="C163" s="57" t="s">
        <v>125</v>
      </c>
      <c r="D163" s="57" t="s">
        <v>125</v>
      </c>
      <c r="E163" s="57" t="s">
        <v>87</v>
      </c>
      <c r="F163" s="57">
        <v>137</v>
      </c>
      <c r="G163" s="57">
        <v>22</v>
      </c>
      <c r="H163" s="57" t="s">
        <v>1366</v>
      </c>
      <c r="I163" s="57">
        <v>1</v>
      </c>
      <c r="J163" s="57">
        <v>1</v>
      </c>
      <c r="K163" s="58">
        <v>45658</v>
      </c>
      <c r="L163" s="58">
        <v>584389</v>
      </c>
    </row>
    <row r="164" spans="1:12">
      <c r="A164" s="57" t="s">
        <v>1433</v>
      </c>
      <c r="B164" s="57" t="s">
        <v>124</v>
      </c>
      <c r="C164" s="57" t="s">
        <v>123</v>
      </c>
      <c r="D164" s="57" t="s">
        <v>125</v>
      </c>
      <c r="E164" s="57" t="s">
        <v>87</v>
      </c>
      <c r="F164" s="57">
        <v>138</v>
      </c>
      <c r="G164" s="57">
        <v>22</v>
      </c>
      <c r="H164" s="57" t="s">
        <v>1366</v>
      </c>
      <c r="I164" s="57">
        <v>1</v>
      </c>
      <c r="J164" s="57">
        <v>1</v>
      </c>
      <c r="K164" s="58">
        <v>45658</v>
      </c>
      <c r="L164" s="58">
        <v>584389</v>
      </c>
    </row>
    <row r="165" spans="1:12">
      <c r="A165" s="57" t="s">
        <v>984</v>
      </c>
      <c r="B165" s="57" t="s">
        <v>1395</v>
      </c>
      <c r="C165" s="57" t="s">
        <v>1397</v>
      </c>
      <c r="D165" s="57" t="s">
        <v>1397</v>
      </c>
      <c r="E165" s="57" t="s">
        <v>76</v>
      </c>
      <c r="F165" s="57">
        <v>139</v>
      </c>
      <c r="G165" s="57">
        <v>23</v>
      </c>
      <c r="H165" s="57" t="s">
        <v>1366</v>
      </c>
      <c r="I165" s="57">
        <v>2</v>
      </c>
      <c r="J165" s="57">
        <v>3</v>
      </c>
      <c r="K165" s="58">
        <v>45658</v>
      </c>
      <c r="L165" s="58">
        <v>584389</v>
      </c>
    </row>
    <row r="166" spans="1:12">
      <c r="A166" s="57" t="s">
        <v>598</v>
      </c>
      <c r="B166" s="57" t="s">
        <v>377</v>
      </c>
      <c r="C166" s="57" t="s">
        <v>1364</v>
      </c>
      <c r="D166" s="57" t="s">
        <v>1365</v>
      </c>
      <c r="E166" s="57" t="s">
        <v>1363</v>
      </c>
      <c r="F166" s="57">
        <v>140</v>
      </c>
      <c r="G166" s="57">
        <v>8</v>
      </c>
      <c r="H166" s="57" t="s">
        <v>1366</v>
      </c>
      <c r="I166" s="57">
        <v>4</v>
      </c>
      <c r="J166" s="57">
        <v>11</v>
      </c>
      <c r="K166" s="58">
        <v>45658</v>
      </c>
      <c r="L166" s="58">
        <v>584389</v>
      </c>
    </row>
    <row r="167" spans="1:12">
      <c r="A167" s="57" t="s">
        <v>1434</v>
      </c>
      <c r="B167" s="57" t="s">
        <v>93</v>
      </c>
      <c r="C167" s="57" t="s">
        <v>1369</v>
      </c>
      <c r="D167" s="57" t="s">
        <v>95</v>
      </c>
      <c r="E167" s="57" t="s">
        <v>96</v>
      </c>
      <c r="F167" s="57">
        <v>141</v>
      </c>
      <c r="G167" s="57">
        <v>24</v>
      </c>
      <c r="H167" s="57">
        <v>1</v>
      </c>
      <c r="I167" s="57">
        <v>3</v>
      </c>
      <c r="J167" s="57" t="s">
        <v>1366</v>
      </c>
      <c r="K167" s="58">
        <v>45658</v>
      </c>
      <c r="L167" s="58">
        <v>584389</v>
      </c>
    </row>
    <row r="168" spans="1:12">
      <c r="A168" s="57" t="s">
        <v>1435</v>
      </c>
      <c r="B168" s="57" t="s">
        <v>1395</v>
      </c>
      <c r="C168" s="57" t="s">
        <v>1396</v>
      </c>
      <c r="D168" s="57" t="s">
        <v>1397</v>
      </c>
      <c r="E168" s="57" t="s">
        <v>76</v>
      </c>
      <c r="F168" s="57">
        <v>142</v>
      </c>
      <c r="G168" s="57">
        <v>18</v>
      </c>
      <c r="H168" s="57">
        <v>4</v>
      </c>
      <c r="I168" s="57">
        <v>2</v>
      </c>
      <c r="J168" s="57" t="s">
        <v>1366</v>
      </c>
      <c r="K168" s="58">
        <v>45658</v>
      </c>
      <c r="L168" s="58">
        <v>584389</v>
      </c>
    </row>
    <row r="169" spans="1:12">
      <c r="A169" s="57" t="s">
        <v>1436</v>
      </c>
      <c r="B169" s="57" t="s">
        <v>124</v>
      </c>
      <c r="C169" s="57" t="s">
        <v>125</v>
      </c>
      <c r="D169" s="57" t="s">
        <v>125</v>
      </c>
      <c r="E169" s="57" t="s">
        <v>87</v>
      </c>
      <c r="F169" s="57">
        <v>144</v>
      </c>
      <c r="G169" s="57">
        <v>22</v>
      </c>
      <c r="H169" s="57" t="s">
        <v>1366</v>
      </c>
      <c r="I169" s="57">
        <v>1</v>
      </c>
      <c r="J169" s="57">
        <v>1</v>
      </c>
      <c r="K169" s="58">
        <v>45658</v>
      </c>
      <c r="L169" s="58">
        <v>584389</v>
      </c>
    </row>
    <row r="170" spans="1:12">
      <c r="A170" s="57" t="s">
        <v>1437</v>
      </c>
      <c r="B170" s="57" t="s">
        <v>124</v>
      </c>
      <c r="C170" s="57" t="s">
        <v>123</v>
      </c>
      <c r="D170" s="57" t="s">
        <v>125</v>
      </c>
      <c r="E170" s="57" t="s">
        <v>87</v>
      </c>
      <c r="F170" s="57">
        <v>145</v>
      </c>
      <c r="G170" s="57">
        <v>22</v>
      </c>
      <c r="H170" s="57" t="s">
        <v>1366</v>
      </c>
      <c r="I170" s="57">
        <v>1</v>
      </c>
      <c r="J170" s="57">
        <v>1</v>
      </c>
      <c r="K170" s="58">
        <v>45658</v>
      </c>
      <c r="L170" s="58">
        <v>584389</v>
      </c>
    </row>
    <row r="171" spans="1:12">
      <c r="A171" s="57" t="s">
        <v>1438</v>
      </c>
      <c r="B171" s="57" t="s">
        <v>124</v>
      </c>
      <c r="C171" s="57" t="s">
        <v>123</v>
      </c>
      <c r="D171" s="57" t="s">
        <v>125</v>
      </c>
      <c r="E171" s="57" t="s">
        <v>87</v>
      </c>
      <c r="F171" s="57">
        <v>146</v>
      </c>
      <c r="G171" s="57">
        <v>22</v>
      </c>
      <c r="H171" s="57" t="s">
        <v>1366</v>
      </c>
      <c r="I171" s="57">
        <v>1</v>
      </c>
      <c r="J171" s="57">
        <v>1</v>
      </c>
      <c r="K171" s="58">
        <v>45658</v>
      </c>
      <c r="L171" s="58">
        <v>584389</v>
      </c>
    </row>
    <row r="172" spans="1:12">
      <c r="A172" s="57" t="s">
        <v>1439</v>
      </c>
      <c r="B172" s="57" t="s">
        <v>124</v>
      </c>
      <c r="C172" s="57" t="s">
        <v>125</v>
      </c>
      <c r="D172" s="57" t="s">
        <v>125</v>
      </c>
      <c r="E172" s="57" t="s">
        <v>87</v>
      </c>
      <c r="F172" s="57">
        <v>147</v>
      </c>
      <c r="G172" s="57">
        <v>22</v>
      </c>
      <c r="H172" s="57" t="s">
        <v>1366</v>
      </c>
      <c r="I172" s="57">
        <v>1</v>
      </c>
      <c r="J172" s="57">
        <v>1</v>
      </c>
      <c r="K172" s="58">
        <v>45658</v>
      </c>
      <c r="L172" s="58">
        <v>584389</v>
      </c>
    </row>
    <row r="173" spans="1:12">
      <c r="A173" s="57" t="s">
        <v>1440</v>
      </c>
      <c r="B173" s="57" t="s">
        <v>124</v>
      </c>
      <c r="C173" s="57" t="s">
        <v>123</v>
      </c>
      <c r="D173" s="57" t="s">
        <v>125</v>
      </c>
      <c r="E173" s="57" t="s">
        <v>87</v>
      </c>
      <c r="F173" s="57">
        <v>148</v>
      </c>
      <c r="G173" s="57">
        <v>22</v>
      </c>
      <c r="H173" s="57" t="s">
        <v>1366</v>
      </c>
      <c r="I173" s="57">
        <v>1</v>
      </c>
      <c r="J173" s="57">
        <v>1</v>
      </c>
      <c r="K173" s="58">
        <v>45658</v>
      </c>
      <c r="L173" s="58">
        <v>584389</v>
      </c>
    </row>
    <row r="174" spans="1:12">
      <c r="A174" s="57" t="s">
        <v>1441</v>
      </c>
      <c r="B174" s="57" t="s">
        <v>124</v>
      </c>
      <c r="C174" s="57" t="s">
        <v>125</v>
      </c>
      <c r="D174" s="57" t="s">
        <v>125</v>
      </c>
      <c r="E174" s="57" t="s">
        <v>87</v>
      </c>
      <c r="F174" s="57">
        <v>149</v>
      </c>
      <c r="G174" s="57">
        <v>22</v>
      </c>
      <c r="H174" s="57" t="s">
        <v>1366</v>
      </c>
      <c r="I174" s="57">
        <v>1</v>
      </c>
      <c r="J174" s="57">
        <v>1</v>
      </c>
      <c r="K174" s="58">
        <v>45658</v>
      </c>
      <c r="L174" s="58">
        <v>584389</v>
      </c>
    </row>
    <row r="175" spans="1:12">
      <c r="A175" s="57" t="s">
        <v>1442</v>
      </c>
      <c r="B175" s="57" t="s">
        <v>124</v>
      </c>
      <c r="C175" s="57" t="s">
        <v>123</v>
      </c>
      <c r="D175" s="57" t="s">
        <v>125</v>
      </c>
      <c r="E175" s="57" t="s">
        <v>87</v>
      </c>
      <c r="F175" s="57">
        <v>150</v>
      </c>
      <c r="G175" s="57">
        <v>22</v>
      </c>
      <c r="H175" s="57" t="s">
        <v>1366</v>
      </c>
      <c r="I175" s="57">
        <v>1</v>
      </c>
      <c r="J175" s="57">
        <v>1</v>
      </c>
      <c r="K175" s="58">
        <v>45658</v>
      </c>
      <c r="L175" s="58">
        <v>584389</v>
      </c>
    </row>
    <row r="176" spans="1:12">
      <c r="A176" s="57" t="s">
        <v>1443</v>
      </c>
      <c r="B176" s="57" t="s">
        <v>1407</v>
      </c>
      <c r="C176" s="57" t="s">
        <v>1365</v>
      </c>
      <c r="D176" s="57" t="s">
        <v>1365</v>
      </c>
      <c r="E176" s="57" t="s">
        <v>1363</v>
      </c>
      <c r="F176" s="57">
        <v>151</v>
      </c>
      <c r="G176" s="57">
        <v>8</v>
      </c>
      <c r="H176" s="57" t="s">
        <v>1366</v>
      </c>
      <c r="I176" s="57">
        <v>4</v>
      </c>
      <c r="J176" s="57">
        <v>7</v>
      </c>
      <c r="K176" s="58">
        <v>45658</v>
      </c>
      <c r="L176" s="58">
        <v>584389</v>
      </c>
    </row>
    <row r="177" spans="1:12">
      <c r="A177" s="57" t="s">
        <v>1444</v>
      </c>
      <c r="B177" s="57" t="s">
        <v>124</v>
      </c>
      <c r="C177" s="57" t="s">
        <v>123</v>
      </c>
      <c r="D177" s="57" t="s">
        <v>125</v>
      </c>
      <c r="E177" s="57" t="s">
        <v>87</v>
      </c>
      <c r="F177" s="57">
        <v>152</v>
      </c>
      <c r="G177" s="57">
        <v>22</v>
      </c>
      <c r="H177" s="57" t="s">
        <v>1366</v>
      </c>
      <c r="I177" s="57">
        <v>1</v>
      </c>
      <c r="J177" s="57">
        <v>1</v>
      </c>
      <c r="K177" s="58">
        <v>45658</v>
      </c>
      <c r="L177" s="58">
        <v>584389</v>
      </c>
    </row>
    <row r="178" spans="1:12">
      <c r="A178" s="57" t="s">
        <v>1445</v>
      </c>
      <c r="B178" s="57" t="s">
        <v>124</v>
      </c>
      <c r="C178" s="57" t="s">
        <v>123</v>
      </c>
      <c r="D178" s="57" t="s">
        <v>125</v>
      </c>
      <c r="E178" s="57" t="s">
        <v>87</v>
      </c>
      <c r="F178" s="57">
        <v>153</v>
      </c>
      <c r="G178" s="57">
        <v>22</v>
      </c>
      <c r="H178" s="57" t="s">
        <v>1366</v>
      </c>
      <c r="I178" s="57">
        <v>1</v>
      </c>
      <c r="J178" s="57">
        <v>1</v>
      </c>
      <c r="K178" s="58">
        <v>45658</v>
      </c>
      <c r="L178" s="58">
        <v>584389</v>
      </c>
    </row>
    <row r="179" spans="1:12">
      <c r="A179" s="57" t="s">
        <v>1446</v>
      </c>
      <c r="B179" s="57" t="s">
        <v>124</v>
      </c>
      <c r="C179" s="57" t="s">
        <v>123</v>
      </c>
      <c r="D179" s="57" t="s">
        <v>125</v>
      </c>
      <c r="E179" s="57" t="s">
        <v>87</v>
      </c>
      <c r="F179" s="57">
        <v>154</v>
      </c>
      <c r="G179" s="57">
        <v>22</v>
      </c>
      <c r="H179" s="57" t="s">
        <v>1366</v>
      </c>
      <c r="I179" s="57">
        <v>1</v>
      </c>
      <c r="J179" s="57">
        <v>1</v>
      </c>
      <c r="K179" s="58">
        <v>45658</v>
      </c>
      <c r="L179" s="58">
        <v>584389</v>
      </c>
    </row>
    <row r="180" spans="1:12">
      <c r="A180" s="57" t="s">
        <v>1447</v>
      </c>
      <c r="B180" s="57" t="s">
        <v>124</v>
      </c>
      <c r="C180" s="57" t="s">
        <v>123</v>
      </c>
      <c r="D180" s="57" t="s">
        <v>125</v>
      </c>
      <c r="E180" s="57" t="s">
        <v>87</v>
      </c>
      <c r="F180" s="57">
        <v>155</v>
      </c>
      <c r="G180" s="57">
        <v>22</v>
      </c>
      <c r="H180" s="57" t="s">
        <v>1366</v>
      </c>
      <c r="I180" s="57">
        <v>1</v>
      </c>
      <c r="J180" s="57">
        <v>1</v>
      </c>
      <c r="K180" s="58">
        <v>45658</v>
      </c>
      <c r="L180" s="58">
        <v>584389</v>
      </c>
    </row>
    <row r="181" spans="1:12">
      <c r="A181" s="57" t="s">
        <v>1448</v>
      </c>
      <c r="B181" s="57" t="s">
        <v>124</v>
      </c>
      <c r="C181" s="57" t="s">
        <v>123</v>
      </c>
      <c r="D181" s="57" t="s">
        <v>125</v>
      </c>
      <c r="E181" s="57" t="s">
        <v>87</v>
      </c>
      <c r="F181" s="57">
        <v>156</v>
      </c>
      <c r="G181" s="57">
        <v>22</v>
      </c>
      <c r="H181" s="57" t="s">
        <v>1366</v>
      </c>
      <c r="I181" s="57">
        <v>1</v>
      </c>
      <c r="J181" s="57">
        <v>1</v>
      </c>
      <c r="K181" s="58">
        <v>45658</v>
      </c>
      <c r="L181" s="58">
        <v>584389</v>
      </c>
    </row>
    <row r="182" spans="1:12">
      <c r="A182" s="57" t="s">
        <v>881</v>
      </c>
      <c r="B182" s="57" t="s">
        <v>124</v>
      </c>
      <c r="C182" s="57" t="s">
        <v>123</v>
      </c>
      <c r="D182" s="57" t="s">
        <v>125</v>
      </c>
      <c r="E182" s="57" t="s">
        <v>87</v>
      </c>
      <c r="F182" s="57">
        <v>157</v>
      </c>
      <c r="G182" s="57">
        <v>22</v>
      </c>
      <c r="H182" s="57" t="s">
        <v>1366</v>
      </c>
      <c r="I182" s="57">
        <v>1</v>
      </c>
      <c r="J182" s="57">
        <v>1</v>
      </c>
      <c r="K182" s="58">
        <v>45658</v>
      </c>
      <c r="L182" s="58">
        <v>584389</v>
      </c>
    </row>
    <row r="183" spans="1:12">
      <c r="A183" s="57" t="s">
        <v>1449</v>
      </c>
      <c r="B183" s="57" t="s">
        <v>124</v>
      </c>
      <c r="C183" s="57" t="s">
        <v>123</v>
      </c>
      <c r="D183" s="57" t="s">
        <v>125</v>
      </c>
      <c r="E183" s="57" t="s">
        <v>87</v>
      </c>
      <c r="F183" s="57">
        <v>158</v>
      </c>
      <c r="G183" s="57">
        <v>22</v>
      </c>
      <c r="H183" s="57" t="s">
        <v>1366</v>
      </c>
      <c r="I183" s="57">
        <v>1</v>
      </c>
      <c r="J183" s="57">
        <v>1</v>
      </c>
      <c r="K183" s="58">
        <v>45658</v>
      </c>
      <c r="L183" s="58">
        <v>584389</v>
      </c>
    </row>
    <row r="184" spans="1:12">
      <c r="A184" s="57" t="s">
        <v>1450</v>
      </c>
      <c r="B184" s="57" t="s">
        <v>124</v>
      </c>
      <c r="C184" s="57" t="s">
        <v>123</v>
      </c>
      <c r="D184" s="57" t="s">
        <v>125</v>
      </c>
      <c r="E184" s="57" t="s">
        <v>87</v>
      </c>
      <c r="F184" s="57">
        <v>159</v>
      </c>
      <c r="G184" s="57">
        <v>22</v>
      </c>
      <c r="H184" s="57" t="s">
        <v>1366</v>
      </c>
      <c r="I184" s="57">
        <v>1</v>
      </c>
      <c r="J184" s="57">
        <v>1</v>
      </c>
      <c r="K184" s="58">
        <v>45658</v>
      </c>
      <c r="L184" s="58">
        <v>584389</v>
      </c>
    </row>
    <row r="185" spans="1:12">
      <c r="A185" s="57" t="s">
        <v>1451</v>
      </c>
      <c r="B185" s="57" t="s">
        <v>124</v>
      </c>
      <c r="C185" s="57" t="s">
        <v>123</v>
      </c>
      <c r="D185" s="57" t="s">
        <v>125</v>
      </c>
      <c r="E185" s="57" t="s">
        <v>87</v>
      </c>
      <c r="F185" s="57">
        <v>160</v>
      </c>
      <c r="G185" s="57">
        <v>22</v>
      </c>
      <c r="H185" s="57" t="s">
        <v>1366</v>
      </c>
      <c r="I185" s="57">
        <v>1</v>
      </c>
      <c r="J185" s="57">
        <v>1</v>
      </c>
      <c r="K185" s="58">
        <v>45658</v>
      </c>
      <c r="L185" s="58">
        <v>584389</v>
      </c>
    </row>
    <row r="186" spans="1:12">
      <c r="A186" s="57" t="s">
        <v>349</v>
      </c>
      <c r="B186" s="57" t="s">
        <v>124</v>
      </c>
      <c r="C186" s="57" t="s">
        <v>125</v>
      </c>
      <c r="D186" s="57" t="s">
        <v>125</v>
      </c>
      <c r="E186" s="57" t="s">
        <v>87</v>
      </c>
      <c r="F186" s="57">
        <v>160</v>
      </c>
      <c r="G186" s="57">
        <v>22</v>
      </c>
      <c r="H186" s="57" t="s">
        <v>1366</v>
      </c>
      <c r="I186" s="57">
        <v>1</v>
      </c>
      <c r="J186" s="57">
        <v>1</v>
      </c>
      <c r="K186" s="58">
        <v>45658</v>
      </c>
      <c r="L186" s="58">
        <v>584389</v>
      </c>
    </row>
    <row r="187" spans="1:12">
      <c r="A187" s="57" t="s">
        <v>962</v>
      </c>
      <c r="B187" s="57" t="s">
        <v>1368</v>
      </c>
      <c r="C187" s="57" t="s">
        <v>1369</v>
      </c>
      <c r="D187" s="57" t="s">
        <v>1370</v>
      </c>
      <c r="E187" s="57" t="s">
        <v>96</v>
      </c>
      <c r="F187" s="57">
        <v>161</v>
      </c>
      <c r="G187" s="57">
        <v>9</v>
      </c>
      <c r="H187" s="57">
        <v>5</v>
      </c>
      <c r="I187" s="57">
        <v>3</v>
      </c>
      <c r="J187" s="57">
        <v>4</v>
      </c>
      <c r="K187" s="58">
        <v>45658</v>
      </c>
      <c r="L187" s="58">
        <v>584389</v>
      </c>
    </row>
    <row r="188" spans="1:12">
      <c r="A188" s="57" t="s">
        <v>1008</v>
      </c>
      <c r="B188" s="57" t="s">
        <v>1395</v>
      </c>
      <c r="C188" s="57" t="s">
        <v>1400</v>
      </c>
      <c r="D188" s="57" t="s">
        <v>1397</v>
      </c>
      <c r="E188" s="57" t="s">
        <v>76</v>
      </c>
      <c r="F188" s="57">
        <v>61</v>
      </c>
      <c r="G188" s="57">
        <v>11</v>
      </c>
      <c r="H188" s="57">
        <v>4</v>
      </c>
      <c r="I188" s="57">
        <v>2</v>
      </c>
      <c r="J188" s="57">
        <v>3</v>
      </c>
      <c r="K188" s="58">
        <v>45658</v>
      </c>
      <c r="L188" s="58">
        <v>584389</v>
      </c>
    </row>
    <row r="191" spans="1:12">
      <c r="A191"/>
      <c r="B191"/>
    </row>
    <row r="193" spans="1:14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  <c r="DR193"/>
      <c r="DS193"/>
      <c r="DT193"/>
      <c r="DU193"/>
      <c r="DV193"/>
      <c r="DW193"/>
      <c r="DX193"/>
      <c r="DY193"/>
      <c r="DZ193"/>
      <c r="EA193"/>
      <c r="EB193"/>
      <c r="EC193"/>
      <c r="ED193"/>
      <c r="EE193"/>
      <c r="EF193"/>
      <c r="EG193"/>
      <c r="EH193"/>
      <c r="EI193"/>
      <c r="EJ193"/>
      <c r="EK193"/>
      <c r="EL193"/>
      <c r="EM193"/>
      <c r="EN193"/>
      <c r="EO193"/>
      <c r="EP193"/>
      <c r="EQ193"/>
      <c r="ER193"/>
    </row>
    <row r="194" spans="1:14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  <c r="DR194"/>
      <c r="DS194"/>
      <c r="DT194"/>
      <c r="DU194"/>
      <c r="DV194"/>
      <c r="DW194"/>
      <c r="DX194"/>
      <c r="DY194"/>
      <c r="DZ194"/>
      <c r="EA194"/>
      <c r="EB194"/>
      <c r="EC194"/>
      <c r="ED194"/>
      <c r="EE194"/>
      <c r="EF194"/>
      <c r="EG194"/>
      <c r="EH194"/>
      <c r="EI194"/>
      <c r="EJ194"/>
      <c r="EK194"/>
      <c r="EL194"/>
      <c r="EM194"/>
      <c r="EN194"/>
      <c r="EO194"/>
      <c r="EP194"/>
      <c r="EQ194"/>
      <c r="ER194"/>
    </row>
    <row r="195" spans="1:14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</row>
    <row r="196" spans="1:14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  <c r="DR196"/>
      <c r="DS196"/>
      <c r="DT196"/>
      <c r="DU196"/>
      <c r="DV196"/>
      <c r="DW196"/>
      <c r="DX196"/>
      <c r="DY196"/>
      <c r="DZ196"/>
      <c r="EA196"/>
      <c r="EB196"/>
      <c r="EC196"/>
      <c r="ED196"/>
      <c r="EE196"/>
      <c r="EF196"/>
      <c r="EG196"/>
      <c r="EH196"/>
      <c r="EI196"/>
      <c r="EJ196"/>
      <c r="EK196"/>
      <c r="EL196"/>
      <c r="EM196"/>
      <c r="EN196"/>
      <c r="EO196"/>
      <c r="EP196"/>
      <c r="EQ196"/>
      <c r="ER196"/>
    </row>
    <row r="197" spans="1:14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  <c r="DR197"/>
      <c r="DS197"/>
      <c r="DT197"/>
      <c r="DU197"/>
      <c r="DV197"/>
      <c r="DW197"/>
      <c r="DX197"/>
      <c r="DY197"/>
      <c r="DZ197"/>
      <c r="EA197"/>
      <c r="EB197"/>
      <c r="EC197"/>
      <c r="ED197"/>
      <c r="EE197"/>
      <c r="EF197"/>
      <c r="EG197"/>
      <c r="EH197"/>
      <c r="EI197"/>
      <c r="EJ197"/>
      <c r="EK197"/>
      <c r="EL197"/>
      <c r="EM197"/>
      <c r="EN197"/>
      <c r="EO197"/>
      <c r="EP197"/>
      <c r="EQ197"/>
      <c r="ER197"/>
    </row>
    <row r="198" spans="1:14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  <c r="DR198"/>
      <c r="DS198"/>
      <c r="DT198"/>
      <c r="DU198"/>
      <c r="DV198"/>
      <c r="DW198"/>
      <c r="DX198"/>
      <c r="DY198"/>
      <c r="DZ198"/>
      <c r="EA198"/>
      <c r="EB198"/>
      <c r="EC198"/>
      <c r="ED198"/>
      <c r="EE198"/>
      <c r="EF198"/>
      <c r="EG198"/>
      <c r="EH198"/>
      <c r="EI198"/>
      <c r="EJ198"/>
      <c r="EK198"/>
      <c r="EL198"/>
      <c r="EM198"/>
      <c r="EN198"/>
      <c r="EO198"/>
      <c r="EP198"/>
      <c r="EQ198"/>
      <c r="ER198"/>
    </row>
    <row r="199" spans="1:14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  <c r="DG199"/>
      <c r="DH199"/>
      <c r="DI199"/>
      <c r="DJ199"/>
      <c r="DK199"/>
      <c r="DL199"/>
      <c r="DM199"/>
      <c r="DN199"/>
      <c r="DO199"/>
      <c r="DP199"/>
      <c r="DQ199"/>
      <c r="DR199"/>
      <c r="DS199"/>
      <c r="DT199"/>
      <c r="DU199"/>
      <c r="DV199"/>
      <c r="DW199"/>
      <c r="DX199"/>
      <c r="DY199"/>
      <c r="DZ199"/>
      <c r="EA199"/>
      <c r="EB199"/>
      <c r="EC199"/>
      <c r="ED199"/>
      <c r="EE199"/>
      <c r="EF199"/>
      <c r="EG199"/>
      <c r="EH199"/>
      <c r="EI199"/>
      <c r="EJ199"/>
      <c r="EK199"/>
      <c r="EL199"/>
      <c r="EM199"/>
      <c r="EN199"/>
      <c r="EO199"/>
      <c r="EP199"/>
      <c r="EQ199"/>
      <c r="ER199"/>
    </row>
    <row r="200" spans="1:14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  <c r="DG200"/>
      <c r="DH200"/>
      <c r="DI200"/>
      <c r="DJ200"/>
      <c r="DK200"/>
      <c r="DL200"/>
      <c r="DM200"/>
      <c r="DN200"/>
      <c r="DO200"/>
      <c r="DP200"/>
      <c r="DQ200"/>
      <c r="DR200"/>
      <c r="DS200"/>
      <c r="DT200"/>
      <c r="DU200"/>
      <c r="DV200"/>
      <c r="DW200"/>
      <c r="DX200"/>
      <c r="DY200"/>
      <c r="DZ200"/>
      <c r="EA200"/>
      <c r="EB200"/>
      <c r="EC200"/>
      <c r="ED200"/>
      <c r="EE200"/>
      <c r="EF200"/>
      <c r="EG200"/>
      <c r="EH200"/>
      <c r="EI200"/>
      <c r="EJ200"/>
      <c r="EK200"/>
      <c r="EL200"/>
      <c r="EM200"/>
      <c r="EN200"/>
      <c r="EO200"/>
      <c r="EP200"/>
      <c r="EQ200"/>
      <c r="ER200"/>
    </row>
    <row r="201" spans="1:148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  <c r="DG201"/>
      <c r="DH201"/>
      <c r="DI201"/>
      <c r="DJ201"/>
      <c r="DK201"/>
      <c r="DL201"/>
      <c r="DM201"/>
      <c r="DN201"/>
      <c r="DO201"/>
      <c r="DP201"/>
      <c r="DQ201"/>
      <c r="DR201"/>
      <c r="DS201"/>
      <c r="DT201"/>
      <c r="DU201"/>
      <c r="DV201"/>
      <c r="DW201"/>
      <c r="DX201"/>
      <c r="DY201"/>
      <c r="DZ201"/>
      <c r="EA201"/>
      <c r="EB201"/>
      <c r="EC201"/>
      <c r="ED201"/>
      <c r="EE201"/>
      <c r="EF201"/>
      <c r="EG201"/>
      <c r="EH201"/>
      <c r="EI201"/>
      <c r="EJ201"/>
      <c r="EK201"/>
      <c r="EL201"/>
      <c r="EM201"/>
      <c r="EN201"/>
      <c r="EO201"/>
      <c r="EP201"/>
      <c r="EQ201"/>
      <c r="ER201"/>
    </row>
    <row r="202" spans="1:148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  <c r="DG202"/>
      <c r="DH202"/>
      <c r="DI202"/>
      <c r="DJ202"/>
      <c r="DK202"/>
      <c r="DL202"/>
      <c r="DM202"/>
      <c r="DN202"/>
      <c r="DO202"/>
      <c r="DP202"/>
      <c r="DQ202"/>
      <c r="DR202"/>
      <c r="DS202"/>
      <c r="DT202"/>
      <c r="DU202"/>
      <c r="DV202"/>
      <c r="DW202"/>
      <c r="DX202"/>
      <c r="DY202"/>
      <c r="DZ202"/>
      <c r="EA202"/>
      <c r="EB202"/>
      <c r="EC202"/>
      <c r="ED202"/>
      <c r="EE202"/>
      <c r="EF202"/>
      <c r="EG202"/>
      <c r="EH202"/>
      <c r="EI202"/>
      <c r="EJ202"/>
      <c r="EK202"/>
      <c r="EL202"/>
      <c r="EM202"/>
      <c r="EN202"/>
      <c r="EO202"/>
      <c r="EP202"/>
      <c r="EQ202"/>
      <c r="ER202"/>
    </row>
    <row r="203" spans="1:148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</row>
    <row r="204" spans="1:148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  <c r="DG204"/>
      <c r="DH204"/>
      <c r="DI204"/>
      <c r="DJ204"/>
      <c r="DK204"/>
      <c r="DL204"/>
      <c r="DM204"/>
      <c r="DN204"/>
      <c r="DO204"/>
      <c r="DP204"/>
      <c r="DQ204"/>
      <c r="DR204"/>
      <c r="DS204"/>
      <c r="DT204"/>
      <c r="DU204"/>
      <c r="DV204"/>
      <c r="DW204"/>
      <c r="DX204"/>
      <c r="DY204"/>
      <c r="DZ204"/>
      <c r="EA204"/>
      <c r="EB204"/>
      <c r="EC204"/>
      <c r="ED204"/>
      <c r="EE204"/>
      <c r="EF204"/>
      <c r="EG204"/>
      <c r="EH204"/>
      <c r="EI204"/>
      <c r="EJ204"/>
      <c r="EK204"/>
      <c r="EL204"/>
      <c r="EM204"/>
      <c r="EN204"/>
      <c r="EO204"/>
      <c r="EP204"/>
      <c r="EQ204"/>
      <c r="ER204"/>
    </row>
    <row r="205" spans="1:148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  <c r="DG205"/>
      <c r="DH205"/>
      <c r="DI205"/>
      <c r="DJ205"/>
      <c r="DK205"/>
      <c r="DL205"/>
      <c r="DM205"/>
      <c r="DN205"/>
      <c r="DO205"/>
      <c r="DP205"/>
      <c r="DQ205"/>
      <c r="DR205"/>
      <c r="DS205"/>
      <c r="DT205"/>
      <c r="DU205"/>
      <c r="DV205"/>
      <c r="DW205"/>
      <c r="DX205"/>
      <c r="DY205"/>
      <c r="DZ205"/>
      <c r="EA205"/>
      <c r="EB205"/>
      <c r="EC205"/>
      <c r="ED205"/>
      <c r="EE205"/>
      <c r="EF205"/>
      <c r="EG205"/>
      <c r="EH205"/>
      <c r="EI205"/>
      <c r="EJ205"/>
      <c r="EK205"/>
      <c r="EL205"/>
      <c r="EM205"/>
      <c r="EN205"/>
      <c r="EO205"/>
      <c r="EP205"/>
      <c r="EQ205"/>
      <c r="ER205"/>
    </row>
    <row r="206" spans="1:148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  <c r="DG206"/>
      <c r="DH206"/>
      <c r="DI206"/>
      <c r="DJ206"/>
      <c r="DK206"/>
      <c r="DL206"/>
      <c r="DM206"/>
      <c r="DN206"/>
      <c r="DO206"/>
      <c r="DP206"/>
      <c r="DQ206"/>
      <c r="DR206"/>
      <c r="DS206"/>
      <c r="DT206"/>
      <c r="DU206"/>
      <c r="DV206"/>
      <c r="DW206"/>
      <c r="DX206"/>
      <c r="DY206"/>
      <c r="DZ206"/>
      <c r="EA206"/>
      <c r="EB206"/>
      <c r="EC206"/>
      <c r="ED206"/>
      <c r="EE206"/>
      <c r="EF206"/>
      <c r="EG206"/>
      <c r="EH206"/>
      <c r="EI206"/>
      <c r="EJ206"/>
      <c r="EK206"/>
      <c r="EL206"/>
      <c r="EM206"/>
      <c r="EN206"/>
      <c r="EO206"/>
      <c r="EP206"/>
      <c r="EQ206"/>
      <c r="ER206"/>
    </row>
    <row r="207" spans="1:148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</row>
    <row r="208" spans="1:148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</row>
    <row r="209" spans="1:148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</row>
    <row r="210" spans="1:148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</row>
    <row r="211" spans="1:148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</row>
    <row r="212" spans="1:148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</row>
    <row r="213" spans="1:148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</row>
    <row r="214" spans="1:148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</row>
    <row r="215" spans="1:148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</row>
    <row r="216" spans="1:148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</row>
    <row r="217" spans="1:148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</row>
    <row r="218" spans="1:148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</row>
    <row r="219" spans="1:148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</row>
    <row r="220" spans="1:148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</row>
    <row r="221" spans="1:148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</row>
    <row r="222" spans="1:148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</row>
    <row r="223" spans="1:148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</row>
    <row r="224" spans="1:148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</row>
    <row r="225" spans="1:148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</row>
    <row r="226" spans="1:148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</row>
    <row r="227" spans="1:148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</row>
    <row r="228" spans="1:148">
      <c r="A228"/>
    </row>
    <row r="229" spans="1:148">
      <c r="A229"/>
    </row>
    <row r="230" spans="1:148">
      <c r="A230"/>
    </row>
    <row r="231" spans="1:148">
      <c r="A231"/>
    </row>
    <row r="232" spans="1:148">
      <c r="A232"/>
    </row>
    <row r="233" spans="1:148">
      <c r="A233"/>
    </row>
    <row r="234" spans="1:148">
      <c r="A234"/>
    </row>
    <row r="235" spans="1:148">
      <c r="A235"/>
    </row>
    <row r="236" spans="1:148">
      <c r="A236"/>
    </row>
    <row r="237" spans="1:148">
      <c r="A237"/>
    </row>
    <row r="238" spans="1:148">
      <c r="A238"/>
    </row>
    <row r="239" spans="1:148">
      <c r="A239"/>
    </row>
    <row r="240" spans="1:148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D902-60C3-45E3-939C-6D2B44A5B86C}">
  <dimension ref="A1:AI2019"/>
  <sheetViews>
    <sheetView workbookViewId="0">
      <selection activeCell="C11" sqref="C11"/>
    </sheetView>
  </sheetViews>
  <sheetFormatPr defaultRowHeight="14.4"/>
  <cols>
    <col min="1" max="1" width="11.77734375" bestFit="1" customWidth="1"/>
    <col min="2" max="2" width="36" bestFit="1" customWidth="1"/>
    <col min="3" max="3" width="30.5546875" bestFit="1" customWidth="1"/>
    <col min="4" max="4" width="19.77734375" bestFit="1" customWidth="1"/>
    <col min="5" max="5" width="13.21875" customWidth="1"/>
    <col min="6" max="6" width="18.21875" bestFit="1" customWidth="1"/>
    <col min="7" max="7" width="22.21875" bestFit="1" customWidth="1"/>
    <col min="8" max="8" width="14" bestFit="1" customWidth="1"/>
    <col min="9" max="9" width="15.21875" bestFit="1" customWidth="1"/>
    <col min="13" max="13" width="20.5546875" bestFit="1" customWidth="1"/>
    <col min="14" max="14" width="16.21875" bestFit="1" customWidth="1"/>
    <col min="16" max="16" width="32.5546875" bestFit="1" customWidth="1"/>
  </cols>
  <sheetData>
    <row r="1" spans="1:35">
      <c r="A1" s="60" t="s">
        <v>1452</v>
      </c>
      <c r="B1" s="60" t="s">
        <v>1453</v>
      </c>
      <c r="C1" s="60" t="s">
        <v>27</v>
      </c>
      <c r="D1" s="60" t="s">
        <v>1454</v>
      </c>
      <c r="E1" s="60" t="s">
        <v>25</v>
      </c>
      <c r="F1" s="60"/>
      <c r="G1" s="60"/>
      <c r="H1" s="60"/>
      <c r="I1" s="60"/>
      <c r="L1" s="61"/>
      <c r="M1" s="62"/>
      <c r="N1" s="62"/>
      <c r="O1" s="61"/>
      <c r="AI1" s="63" t="s">
        <v>1402</v>
      </c>
    </row>
    <row r="2" spans="1:35">
      <c r="A2" s="64" t="s">
        <v>255</v>
      </c>
      <c r="B2" s="64" t="s">
        <v>256</v>
      </c>
      <c r="C2" s="59" t="s">
        <v>892</v>
      </c>
      <c r="D2" s="59" t="s">
        <v>1455</v>
      </c>
      <c r="E2" s="59" t="s">
        <v>1456</v>
      </c>
      <c r="F2" s="65"/>
      <c r="G2" s="65"/>
      <c r="H2" s="59"/>
      <c r="I2" s="59"/>
      <c r="J2" s="65"/>
      <c r="L2" s="59"/>
      <c r="M2" s="63"/>
      <c r="N2" s="65"/>
      <c r="O2" s="65"/>
      <c r="P2" s="65"/>
      <c r="AI2" s="63" t="s">
        <v>315</v>
      </c>
    </row>
    <row r="3" spans="1:35">
      <c r="A3" s="64" t="s">
        <v>1457</v>
      </c>
      <c r="B3" s="64" t="s">
        <v>107</v>
      </c>
      <c r="C3" s="59" t="s">
        <v>78</v>
      </c>
      <c r="D3" s="59" t="s">
        <v>1458</v>
      </c>
      <c r="E3" s="59" t="s">
        <v>71</v>
      </c>
      <c r="F3" s="65"/>
      <c r="G3" s="65"/>
      <c r="H3" s="59"/>
      <c r="I3" s="59"/>
      <c r="J3" s="65"/>
      <c r="L3" s="65"/>
      <c r="M3" s="63"/>
      <c r="AI3" s="63" t="s">
        <v>501</v>
      </c>
    </row>
    <row r="4" spans="1:35">
      <c r="A4" s="64" t="s">
        <v>663</v>
      </c>
      <c r="B4" s="64" t="s">
        <v>664</v>
      </c>
      <c r="C4" s="59" t="s">
        <v>78</v>
      </c>
      <c r="D4" s="59" t="s">
        <v>1458</v>
      </c>
      <c r="E4" s="59" t="s">
        <v>71</v>
      </c>
      <c r="F4" s="65"/>
      <c r="G4" s="65"/>
      <c r="H4" s="59"/>
      <c r="I4" s="59"/>
      <c r="J4" s="65"/>
      <c r="L4" s="65"/>
      <c r="M4" s="63"/>
      <c r="N4" s="65"/>
      <c r="O4" s="65"/>
      <c r="P4" s="65"/>
      <c r="AI4" s="63" t="s">
        <v>1403</v>
      </c>
    </row>
    <row r="5" spans="1:35">
      <c r="A5" s="66" t="s">
        <v>1459</v>
      </c>
      <c r="B5" s="64" t="s">
        <v>1460</v>
      </c>
      <c r="C5" s="59" t="s">
        <v>78</v>
      </c>
      <c r="D5" s="59" t="s">
        <v>1458</v>
      </c>
      <c r="E5" s="59" t="s">
        <v>71</v>
      </c>
      <c r="F5" s="65"/>
      <c r="G5" s="65"/>
      <c r="H5" s="59"/>
      <c r="I5" s="59"/>
      <c r="J5" s="65"/>
      <c r="L5" s="65"/>
      <c r="M5" s="63"/>
      <c r="N5" s="65"/>
      <c r="O5" s="65"/>
      <c r="AI5" s="63" t="s">
        <v>1002</v>
      </c>
    </row>
    <row r="6" spans="1:35">
      <c r="A6" s="64" t="s">
        <v>1461</v>
      </c>
      <c r="B6" s="64" t="s">
        <v>1462</v>
      </c>
      <c r="C6" s="59" t="s">
        <v>89</v>
      </c>
      <c r="D6" s="59" t="s">
        <v>89</v>
      </c>
      <c r="E6" s="59" t="s">
        <v>71</v>
      </c>
      <c r="F6" s="65"/>
      <c r="G6" s="65"/>
      <c r="H6" s="65"/>
      <c r="I6" s="59"/>
      <c r="J6" s="65"/>
      <c r="L6" s="65"/>
      <c r="M6" s="63"/>
      <c r="N6" s="65"/>
      <c r="AI6" s="63" t="s">
        <v>1463</v>
      </c>
    </row>
    <row r="7" spans="1:35">
      <c r="A7" s="64" t="s">
        <v>1464</v>
      </c>
      <c r="B7" s="64" t="s">
        <v>1465</v>
      </c>
      <c r="C7" s="59" t="s">
        <v>411</v>
      </c>
      <c r="D7" s="59" t="s">
        <v>1458</v>
      </c>
      <c r="E7" s="59" t="s">
        <v>71</v>
      </c>
      <c r="F7" s="65"/>
      <c r="G7" s="65"/>
      <c r="H7" s="59"/>
      <c r="I7" s="59"/>
      <c r="J7" s="65"/>
      <c r="L7" s="65"/>
      <c r="M7" s="63"/>
      <c r="N7" s="65"/>
      <c r="AI7" s="63" t="s">
        <v>862</v>
      </c>
    </row>
    <row r="8" spans="1:35">
      <c r="A8" s="64" t="s">
        <v>1466</v>
      </c>
      <c r="B8" s="64" t="s">
        <v>1467</v>
      </c>
      <c r="C8" s="59" t="s">
        <v>108</v>
      </c>
      <c r="D8" s="59" t="s">
        <v>1458</v>
      </c>
      <c r="E8" s="59" t="s">
        <v>71</v>
      </c>
      <c r="F8" s="65"/>
      <c r="G8" s="65"/>
      <c r="H8" s="59"/>
      <c r="I8" s="59"/>
      <c r="J8" s="65"/>
      <c r="L8" s="65"/>
      <c r="M8" s="63"/>
      <c r="AI8" s="63" t="s">
        <v>1468</v>
      </c>
    </row>
    <row r="9" spans="1:35">
      <c r="A9" s="66" t="s">
        <v>1469</v>
      </c>
      <c r="B9" s="64" t="s">
        <v>1470</v>
      </c>
      <c r="C9" s="59" t="s">
        <v>89</v>
      </c>
      <c r="D9" s="59" t="s">
        <v>89</v>
      </c>
      <c r="E9" s="59" t="s">
        <v>1456</v>
      </c>
      <c r="F9" s="65"/>
      <c r="G9" s="65"/>
      <c r="H9" s="65"/>
      <c r="I9" s="59"/>
      <c r="J9" s="65"/>
      <c r="L9" s="65"/>
      <c r="M9" s="63"/>
      <c r="AI9" s="63" t="s">
        <v>117</v>
      </c>
    </row>
    <row r="10" spans="1:35">
      <c r="A10" s="64" t="s">
        <v>1471</v>
      </c>
      <c r="B10" s="64" t="s">
        <v>1472</v>
      </c>
      <c r="C10" s="59" t="s">
        <v>89</v>
      </c>
      <c r="D10" s="59" t="s">
        <v>89</v>
      </c>
      <c r="E10" s="59" t="s">
        <v>71</v>
      </c>
      <c r="F10" s="65"/>
      <c r="G10" s="65"/>
      <c r="H10" s="65"/>
      <c r="I10" s="59"/>
      <c r="J10" s="65"/>
      <c r="M10" s="63"/>
    </row>
    <row r="11" spans="1:35">
      <c r="A11" s="64" t="s">
        <v>1473</v>
      </c>
      <c r="B11" s="64" t="s">
        <v>1474</v>
      </c>
      <c r="C11" s="59" t="s">
        <v>1403</v>
      </c>
      <c r="D11" s="59" t="s">
        <v>1458</v>
      </c>
      <c r="E11" s="59" t="s">
        <v>71</v>
      </c>
      <c r="F11" s="65"/>
      <c r="G11" s="65"/>
      <c r="H11" s="59"/>
      <c r="I11" s="59"/>
      <c r="J11" s="65"/>
      <c r="M11" s="63"/>
    </row>
    <row r="12" spans="1:35">
      <c r="A12" s="59" t="s">
        <v>1475</v>
      </c>
      <c r="B12" s="59" t="s">
        <v>1476</v>
      </c>
      <c r="C12" s="59" t="s">
        <v>325</v>
      </c>
      <c r="D12" s="59" t="s">
        <v>1477</v>
      </c>
      <c r="E12" s="59" t="s">
        <v>1456</v>
      </c>
      <c r="F12" s="65"/>
      <c r="G12" s="65"/>
      <c r="H12" s="59"/>
      <c r="I12" s="59"/>
      <c r="J12" s="65"/>
      <c r="M12" s="63"/>
    </row>
    <row r="13" spans="1:35">
      <c r="A13" s="59" t="s">
        <v>164</v>
      </c>
      <c r="B13" s="59" t="s">
        <v>165</v>
      </c>
      <c r="C13" s="59" t="s">
        <v>941</v>
      </c>
      <c r="D13" s="59" t="s">
        <v>1458</v>
      </c>
      <c r="E13" s="59" t="s">
        <v>71</v>
      </c>
      <c r="F13" s="65"/>
      <c r="G13" s="65"/>
      <c r="H13" s="59"/>
      <c r="I13" s="59"/>
      <c r="J13" s="65"/>
      <c r="M13" s="63"/>
    </row>
    <row r="14" spans="1:35">
      <c r="A14" s="59" t="s">
        <v>1478</v>
      </c>
      <c r="B14" s="59" t="s">
        <v>1479</v>
      </c>
      <c r="C14" s="59" t="s">
        <v>1480</v>
      </c>
      <c r="D14" s="59" t="s">
        <v>1455</v>
      </c>
      <c r="E14" s="59" t="s">
        <v>71</v>
      </c>
      <c r="F14" s="65"/>
      <c r="G14" s="65"/>
      <c r="H14" s="59"/>
      <c r="I14" s="59"/>
      <c r="J14" s="65"/>
      <c r="M14" s="63"/>
    </row>
    <row r="15" spans="1:35">
      <c r="A15" s="59" t="s">
        <v>1481</v>
      </c>
      <c r="B15" s="59" t="s">
        <v>1482</v>
      </c>
      <c r="C15" s="59" t="s">
        <v>89</v>
      </c>
      <c r="D15" s="59" t="s">
        <v>89</v>
      </c>
      <c r="E15" s="59" t="s">
        <v>71</v>
      </c>
      <c r="F15" s="65"/>
      <c r="G15" s="65"/>
      <c r="H15" s="65"/>
      <c r="I15" s="59"/>
      <c r="J15" s="65"/>
      <c r="M15" s="63"/>
    </row>
    <row r="16" spans="1:35">
      <c r="A16" s="59" t="s">
        <v>336</v>
      </c>
      <c r="B16" s="59" t="s">
        <v>337</v>
      </c>
      <c r="C16" s="59" t="s">
        <v>108</v>
      </c>
      <c r="D16" s="59" t="s">
        <v>1458</v>
      </c>
      <c r="E16" s="59" t="s">
        <v>1456</v>
      </c>
      <c r="F16" s="65"/>
      <c r="G16" s="65"/>
      <c r="H16" s="59"/>
      <c r="I16" s="59"/>
      <c r="J16" s="65"/>
      <c r="M16" s="63"/>
    </row>
    <row r="17" spans="1:5">
      <c r="A17" s="59" t="s">
        <v>1483</v>
      </c>
      <c r="B17" s="59" t="s">
        <v>1484</v>
      </c>
      <c r="C17" s="59" t="s">
        <v>513</v>
      </c>
      <c r="D17" s="59" t="s">
        <v>1477</v>
      </c>
      <c r="E17" s="59" t="s">
        <v>71</v>
      </c>
    </row>
    <row r="18" spans="1:5">
      <c r="A18" s="59" t="s">
        <v>1485</v>
      </c>
      <c r="B18" s="59" t="s">
        <v>1486</v>
      </c>
      <c r="C18" s="59" t="s">
        <v>1398</v>
      </c>
      <c r="D18" s="59" t="s">
        <v>1395</v>
      </c>
      <c r="E18" s="59" t="s">
        <v>71</v>
      </c>
    </row>
    <row r="19" spans="1:5">
      <c r="A19" s="59" t="s">
        <v>1487</v>
      </c>
      <c r="B19" s="59" t="s">
        <v>1488</v>
      </c>
      <c r="C19" s="59" t="s">
        <v>1431</v>
      </c>
      <c r="D19" s="59" t="s">
        <v>1458</v>
      </c>
      <c r="E19" s="59" t="s">
        <v>122</v>
      </c>
    </row>
    <row r="20" spans="1:5">
      <c r="A20" s="59" t="s">
        <v>1489</v>
      </c>
      <c r="B20" s="59" t="s">
        <v>1490</v>
      </c>
      <c r="C20" s="59" t="s">
        <v>438</v>
      </c>
      <c r="D20" s="59" t="s">
        <v>1395</v>
      </c>
      <c r="E20" s="59" t="s">
        <v>71</v>
      </c>
    </row>
    <row r="21" spans="1:5">
      <c r="A21" s="59" t="s">
        <v>1491</v>
      </c>
      <c r="B21" s="59" t="s">
        <v>1492</v>
      </c>
      <c r="C21" s="59" t="s">
        <v>377</v>
      </c>
      <c r="D21" s="65" t="s">
        <v>598</v>
      </c>
      <c r="E21" s="65" t="s">
        <v>71</v>
      </c>
    </row>
    <row r="22" spans="1:5">
      <c r="A22" s="59" t="s">
        <v>1493</v>
      </c>
      <c r="B22" s="59" t="s">
        <v>1494</v>
      </c>
      <c r="C22" s="59" t="s">
        <v>1403</v>
      </c>
      <c r="D22" s="59" t="s">
        <v>1458</v>
      </c>
      <c r="E22" s="59" t="s">
        <v>71</v>
      </c>
    </row>
    <row r="23" spans="1:5">
      <c r="A23" s="59" t="s">
        <v>1495</v>
      </c>
      <c r="B23" s="59" t="s">
        <v>1496</v>
      </c>
      <c r="C23" s="59" t="s">
        <v>935</v>
      </c>
      <c r="D23" s="59" t="s">
        <v>1477</v>
      </c>
      <c r="E23" s="59" t="s">
        <v>71</v>
      </c>
    </row>
    <row r="24" spans="1:5">
      <c r="A24" s="59" t="s">
        <v>1497</v>
      </c>
      <c r="B24" s="59" t="s">
        <v>1498</v>
      </c>
      <c r="C24" s="59" t="s">
        <v>377</v>
      </c>
      <c r="D24" s="65" t="s">
        <v>598</v>
      </c>
      <c r="E24" s="65" t="s">
        <v>71</v>
      </c>
    </row>
    <row r="25" spans="1:5">
      <c r="A25" s="59" t="s">
        <v>1499</v>
      </c>
      <c r="B25" s="59" t="s">
        <v>1500</v>
      </c>
      <c r="C25" s="59" t="s">
        <v>393</v>
      </c>
      <c r="D25" s="59" t="s">
        <v>1407</v>
      </c>
      <c r="E25" s="59" t="s">
        <v>71</v>
      </c>
    </row>
    <row r="26" spans="1:5">
      <c r="A26" s="59" t="s">
        <v>1501</v>
      </c>
      <c r="B26" s="59" t="s">
        <v>1502</v>
      </c>
      <c r="C26" s="59" t="s">
        <v>1419</v>
      </c>
      <c r="D26" s="65" t="s">
        <v>1407</v>
      </c>
      <c r="E26" s="65" t="s">
        <v>31</v>
      </c>
    </row>
    <row r="27" spans="1:5">
      <c r="A27" s="59" t="s">
        <v>1503</v>
      </c>
      <c r="B27" s="59" t="s">
        <v>1502</v>
      </c>
      <c r="C27" s="59" t="s">
        <v>593</v>
      </c>
      <c r="D27" s="65" t="s">
        <v>1455</v>
      </c>
      <c r="E27" s="65" t="s">
        <v>1456</v>
      </c>
    </row>
    <row r="28" spans="1:5">
      <c r="A28" s="59" t="s">
        <v>1504</v>
      </c>
      <c r="B28" s="59" t="s">
        <v>1505</v>
      </c>
      <c r="C28" s="59" t="s">
        <v>960</v>
      </c>
      <c r="D28" s="59" t="s">
        <v>1477</v>
      </c>
      <c r="E28" s="59" t="s">
        <v>71</v>
      </c>
    </row>
    <row r="29" spans="1:5">
      <c r="A29" s="59" t="s">
        <v>1506</v>
      </c>
      <c r="B29" s="59" t="s">
        <v>1507</v>
      </c>
      <c r="C29" s="59" t="s">
        <v>377</v>
      </c>
      <c r="D29" s="65" t="s">
        <v>598</v>
      </c>
      <c r="E29" s="65" t="s">
        <v>71</v>
      </c>
    </row>
    <row r="30" spans="1:5">
      <c r="A30" s="59" t="s">
        <v>1508</v>
      </c>
      <c r="B30" s="59" t="s">
        <v>1509</v>
      </c>
      <c r="C30" s="59" t="s">
        <v>62</v>
      </c>
      <c r="D30" s="59" t="s">
        <v>1395</v>
      </c>
      <c r="E30" s="59" t="s">
        <v>1456</v>
      </c>
    </row>
    <row r="31" spans="1:5">
      <c r="A31" s="59" t="s">
        <v>1510</v>
      </c>
      <c r="B31" s="59" t="s">
        <v>1511</v>
      </c>
      <c r="C31" s="59" t="s">
        <v>1419</v>
      </c>
      <c r="D31" s="59" t="s">
        <v>1407</v>
      </c>
      <c r="E31" s="59" t="s">
        <v>31</v>
      </c>
    </row>
    <row r="32" spans="1:5">
      <c r="A32" s="59" t="s">
        <v>1512</v>
      </c>
      <c r="B32" s="59" t="s">
        <v>1513</v>
      </c>
      <c r="C32" s="59" t="s">
        <v>89</v>
      </c>
      <c r="D32" s="59" t="s">
        <v>89</v>
      </c>
      <c r="E32" s="59" t="s">
        <v>1456</v>
      </c>
    </row>
    <row r="33" spans="1:5">
      <c r="A33" s="59" t="s">
        <v>1514</v>
      </c>
      <c r="B33" s="59" t="s">
        <v>1515</v>
      </c>
      <c r="C33" s="59" t="s">
        <v>411</v>
      </c>
      <c r="D33" s="59" t="s">
        <v>1458</v>
      </c>
      <c r="E33" s="59" t="s">
        <v>71</v>
      </c>
    </row>
    <row r="34" spans="1:5">
      <c r="A34" s="59" t="s">
        <v>981</v>
      </c>
      <c r="B34" s="59" t="s">
        <v>1516</v>
      </c>
      <c r="C34" s="59" t="s">
        <v>377</v>
      </c>
      <c r="D34" s="65" t="s">
        <v>598</v>
      </c>
      <c r="E34" s="65" t="s">
        <v>71</v>
      </c>
    </row>
    <row r="35" spans="1:5">
      <c r="A35" s="59" t="s">
        <v>1517</v>
      </c>
      <c r="B35" s="59" t="s">
        <v>1518</v>
      </c>
      <c r="C35" s="59" t="s">
        <v>501</v>
      </c>
      <c r="D35" s="65" t="s">
        <v>1395</v>
      </c>
      <c r="E35" s="65" t="s">
        <v>71</v>
      </c>
    </row>
    <row r="36" spans="1:5">
      <c r="A36" s="59" t="s">
        <v>1519</v>
      </c>
      <c r="B36" s="59" t="s">
        <v>1520</v>
      </c>
      <c r="C36" s="59" t="s">
        <v>1521</v>
      </c>
      <c r="D36" s="59" t="s">
        <v>1371</v>
      </c>
      <c r="E36" s="59" t="s">
        <v>1456</v>
      </c>
    </row>
    <row r="37" spans="1:5">
      <c r="A37" s="59" t="s">
        <v>1522</v>
      </c>
      <c r="B37" s="59" t="s">
        <v>1523</v>
      </c>
      <c r="C37" s="59" t="s">
        <v>1014</v>
      </c>
      <c r="D37" s="59" t="s">
        <v>1458</v>
      </c>
      <c r="E37" s="59" t="s">
        <v>71</v>
      </c>
    </row>
    <row r="38" spans="1:5">
      <c r="A38" s="59" t="s">
        <v>1524</v>
      </c>
      <c r="B38" s="59" t="s">
        <v>1525</v>
      </c>
      <c r="C38" s="59" t="s">
        <v>884</v>
      </c>
      <c r="D38" s="59" t="s">
        <v>1395</v>
      </c>
      <c r="E38" s="59" t="s">
        <v>71</v>
      </c>
    </row>
    <row r="39" spans="1:5">
      <c r="A39" s="59" t="s">
        <v>1526</v>
      </c>
      <c r="B39" s="59" t="s">
        <v>1527</v>
      </c>
      <c r="C39" s="59" t="s">
        <v>1014</v>
      </c>
      <c r="D39" s="59" t="s">
        <v>1458</v>
      </c>
      <c r="E39" s="59" t="s">
        <v>71</v>
      </c>
    </row>
    <row r="40" spans="1:5">
      <c r="A40" s="59" t="s">
        <v>1528</v>
      </c>
      <c r="B40" s="59" t="s">
        <v>1529</v>
      </c>
      <c r="C40" s="59" t="s">
        <v>1403</v>
      </c>
      <c r="D40" s="59" t="s">
        <v>1458</v>
      </c>
      <c r="E40" s="59" t="s">
        <v>71</v>
      </c>
    </row>
    <row r="41" spans="1:5">
      <c r="A41" s="59" t="s">
        <v>1530</v>
      </c>
      <c r="B41" s="59" t="s">
        <v>1531</v>
      </c>
      <c r="C41" s="59" t="s">
        <v>249</v>
      </c>
      <c r="D41" s="65" t="s">
        <v>1455</v>
      </c>
      <c r="E41" s="65" t="s">
        <v>71</v>
      </c>
    </row>
    <row r="42" spans="1:5">
      <c r="A42" s="59" t="s">
        <v>1532</v>
      </c>
      <c r="B42" s="59" t="s">
        <v>1533</v>
      </c>
      <c r="C42" s="59" t="s">
        <v>315</v>
      </c>
      <c r="D42" s="59" t="s">
        <v>1458</v>
      </c>
      <c r="E42" s="59" t="s">
        <v>71</v>
      </c>
    </row>
    <row r="43" spans="1:5">
      <c r="A43" s="59" t="s">
        <v>1534</v>
      </c>
      <c r="B43" s="59" t="s">
        <v>1535</v>
      </c>
      <c r="C43" s="59" t="s">
        <v>484</v>
      </c>
      <c r="D43" s="59" t="s">
        <v>1455</v>
      </c>
      <c r="E43" s="59" t="s">
        <v>1456</v>
      </c>
    </row>
    <row r="44" spans="1:5">
      <c r="A44" s="59" t="s">
        <v>1536</v>
      </c>
      <c r="B44" s="59" t="s">
        <v>1537</v>
      </c>
      <c r="C44" s="59" t="s">
        <v>1403</v>
      </c>
      <c r="D44" s="59" t="s">
        <v>1458</v>
      </c>
      <c r="E44" s="59" t="s">
        <v>71</v>
      </c>
    </row>
    <row r="45" spans="1:5">
      <c r="A45" s="59" t="s">
        <v>1538</v>
      </c>
      <c r="B45" s="59" t="s">
        <v>1539</v>
      </c>
      <c r="C45" s="59" t="s">
        <v>377</v>
      </c>
      <c r="D45" s="65" t="s">
        <v>598</v>
      </c>
      <c r="E45" s="65" t="s">
        <v>71</v>
      </c>
    </row>
    <row r="46" spans="1:5">
      <c r="A46" s="59" t="s">
        <v>1540</v>
      </c>
      <c r="B46" s="59" t="s">
        <v>1541</v>
      </c>
      <c r="C46" s="59" t="s">
        <v>226</v>
      </c>
      <c r="D46" s="59" t="s">
        <v>1371</v>
      </c>
      <c r="E46" s="59" t="s">
        <v>71</v>
      </c>
    </row>
    <row r="47" spans="1:5">
      <c r="A47" s="59" t="s">
        <v>1542</v>
      </c>
      <c r="B47" s="59" t="s">
        <v>1543</v>
      </c>
      <c r="C47" s="59" t="s">
        <v>572</v>
      </c>
      <c r="D47" s="59" t="s">
        <v>1455</v>
      </c>
      <c r="E47" s="59" t="s">
        <v>1456</v>
      </c>
    </row>
    <row r="48" spans="1:5">
      <c r="A48" s="59" t="s">
        <v>1544</v>
      </c>
      <c r="B48" s="59" t="s">
        <v>1543</v>
      </c>
      <c r="C48" s="59" t="s">
        <v>181</v>
      </c>
      <c r="D48" s="59" t="s">
        <v>1477</v>
      </c>
      <c r="E48" s="59" t="s">
        <v>71</v>
      </c>
    </row>
    <row r="49" spans="1:5">
      <c r="A49" s="59" t="s">
        <v>1545</v>
      </c>
      <c r="B49" s="59" t="s">
        <v>1546</v>
      </c>
      <c r="C49" s="59" t="s">
        <v>501</v>
      </c>
      <c r="D49" s="59" t="s">
        <v>1395</v>
      </c>
      <c r="E49" s="59" t="s">
        <v>71</v>
      </c>
    </row>
    <row r="50" spans="1:5">
      <c r="A50" s="59" t="s">
        <v>1547</v>
      </c>
      <c r="B50" s="59" t="s">
        <v>1548</v>
      </c>
      <c r="C50" s="59" t="s">
        <v>926</v>
      </c>
      <c r="D50" s="59" t="s">
        <v>1458</v>
      </c>
      <c r="E50" s="59" t="s">
        <v>1456</v>
      </c>
    </row>
    <row r="51" spans="1:5">
      <c r="A51" s="59" t="s">
        <v>1549</v>
      </c>
      <c r="B51" s="59" t="s">
        <v>1550</v>
      </c>
      <c r="C51" s="59" t="s">
        <v>1551</v>
      </c>
      <c r="D51" s="65" t="s">
        <v>0</v>
      </c>
      <c r="E51" s="65" t="s">
        <v>122</v>
      </c>
    </row>
    <row r="52" spans="1:5">
      <c r="A52" s="59" t="s">
        <v>1552</v>
      </c>
      <c r="B52" s="59" t="s">
        <v>1553</v>
      </c>
      <c r="C52" s="59" t="s">
        <v>651</v>
      </c>
      <c r="D52" s="59" t="s">
        <v>1455</v>
      </c>
      <c r="E52" s="59" t="s">
        <v>71</v>
      </c>
    </row>
    <row r="53" spans="1:5">
      <c r="A53" s="59" t="s">
        <v>1554</v>
      </c>
      <c r="B53" s="59" t="s">
        <v>1555</v>
      </c>
      <c r="C53" s="59" t="s">
        <v>884</v>
      </c>
      <c r="D53" s="59" t="s">
        <v>1395</v>
      </c>
      <c r="E53" s="59" t="s">
        <v>1456</v>
      </c>
    </row>
    <row r="54" spans="1:5">
      <c r="A54" s="59" t="s">
        <v>1556</v>
      </c>
      <c r="B54" s="59" t="s">
        <v>1557</v>
      </c>
      <c r="C54" s="59" t="s">
        <v>926</v>
      </c>
      <c r="D54" s="59" t="s">
        <v>1458</v>
      </c>
      <c r="E54" s="59" t="s">
        <v>1456</v>
      </c>
    </row>
    <row r="55" spans="1:5">
      <c r="A55" s="59" t="s">
        <v>1558</v>
      </c>
      <c r="B55" s="59" t="s">
        <v>1559</v>
      </c>
      <c r="C55" s="59" t="s">
        <v>488</v>
      </c>
      <c r="D55" s="59" t="s">
        <v>1371</v>
      </c>
      <c r="E55" s="59" t="s">
        <v>71</v>
      </c>
    </row>
    <row r="56" spans="1:5">
      <c r="A56" s="59" t="s">
        <v>1560</v>
      </c>
      <c r="B56" s="59" t="s">
        <v>1561</v>
      </c>
      <c r="C56" s="59" t="s">
        <v>1562</v>
      </c>
      <c r="D56" s="59" t="s">
        <v>1407</v>
      </c>
      <c r="E56" s="59" t="s">
        <v>71</v>
      </c>
    </row>
    <row r="57" spans="1:5">
      <c r="A57" s="59" t="s">
        <v>1563</v>
      </c>
      <c r="B57" s="59" t="s">
        <v>1564</v>
      </c>
      <c r="C57" s="59" t="s">
        <v>194</v>
      </c>
      <c r="D57" s="59" t="s">
        <v>1477</v>
      </c>
      <c r="E57" s="59" t="s">
        <v>71</v>
      </c>
    </row>
    <row r="58" spans="1:5">
      <c r="A58" s="59" t="s">
        <v>1565</v>
      </c>
      <c r="B58" s="59" t="s">
        <v>1566</v>
      </c>
      <c r="C58" s="59" t="s">
        <v>211</v>
      </c>
      <c r="D58" s="59" t="s">
        <v>1458</v>
      </c>
      <c r="E58" s="59" t="s">
        <v>71</v>
      </c>
    </row>
    <row r="59" spans="1:5">
      <c r="A59" s="59" t="s">
        <v>1567</v>
      </c>
      <c r="B59" s="59" t="s">
        <v>1568</v>
      </c>
      <c r="C59" s="59" t="s">
        <v>921</v>
      </c>
      <c r="D59" s="59" t="s">
        <v>1477</v>
      </c>
      <c r="E59" s="59" t="s">
        <v>71</v>
      </c>
    </row>
    <row r="60" spans="1:5">
      <c r="A60" s="59" t="s">
        <v>1569</v>
      </c>
      <c r="B60" s="59" t="s">
        <v>1570</v>
      </c>
      <c r="C60" s="59" t="s">
        <v>983</v>
      </c>
      <c r="D60" s="59" t="s">
        <v>1371</v>
      </c>
      <c r="E60" s="59" t="s">
        <v>71</v>
      </c>
    </row>
    <row r="61" spans="1:5">
      <c r="A61" s="59" t="s">
        <v>1571</v>
      </c>
      <c r="B61" s="59" t="s">
        <v>1572</v>
      </c>
      <c r="C61" s="59" t="s">
        <v>377</v>
      </c>
      <c r="D61" s="65" t="s">
        <v>598</v>
      </c>
      <c r="E61" s="65" t="s">
        <v>71</v>
      </c>
    </row>
    <row r="62" spans="1:5">
      <c r="A62" s="59" t="s">
        <v>1573</v>
      </c>
      <c r="B62" s="59" t="s">
        <v>1574</v>
      </c>
      <c r="C62" s="59" t="s">
        <v>952</v>
      </c>
      <c r="D62" s="59" t="s">
        <v>1458</v>
      </c>
      <c r="E62" s="59" t="s">
        <v>71</v>
      </c>
    </row>
    <row r="63" spans="1:5">
      <c r="A63" s="59" t="s">
        <v>1575</v>
      </c>
      <c r="B63" s="59" t="s">
        <v>1576</v>
      </c>
      <c r="C63" s="59" t="s">
        <v>181</v>
      </c>
      <c r="D63" s="59" t="s">
        <v>1477</v>
      </c>
      <c r="E63" s="59" t="s">
        <v>71</v>
      </c>
    </row>
    <row r="64" spans="1:5">
      <c r="A64" s="59" t="s">
        <v>1577</v>
      </c>
      <c r="B64" s="59" t="s">
        <v>1578</v>
      </c>
      <c r="C64" s="59" t="s">
        <v>926</v>
      </c>
      <c r="D64" s="59" t="s">
        <v>1458</v>
      </c>
      <c r="E64" s="59" t="s">
        <v>1456</v>
      </c>
    </row>
    <row r="65" spans="1:5">
      <c r="A65" s="59" t="s">
        <v>1579</v>
      </c>
      <c r="B65" s="59" t="s">
        <v>1580</v>
      </c>
      <c r="C65" s="59" t="s">
        <v>926</v>
      </c>
      <c r="D65" s="59" t="s">
        <v>1458</v>
      </c>
      <c r="E65" s="59" t="s">
        <v>71</v>
      </c>
    </row>
    <row r="66" spans="1:5">
      <c r="A66" s="59" t="s">
        <v>1581</v>
      </c>
      <c r="B66" s="59" t="s">
        <v>1582</v>
      </c>
      <c r="C66" s="59" t="s">
        <v>501</v>
      </c>
      <c r="D66" s="59" t="s">
        <v>1395</v>
      </c>
      <c r="E66" s="59" t="s">
        <v>71</v>
      </c>
    </row>
    <row r="67" spans="1:5">
      <c r="A67" s="59" t="s">
        <v>1583</v>
      </c>
      <c r="B67" s="59" t="s">
        <v>1584</v>
      </c>
      <c r="C67" s="59" t="s">
        <v>900</v>
      </c>
      <c r="D67" s="59" t="s">
        <v>1455</v>
      </c>
      <c r="E67" s="59" t="s">
        <v>71</v>
      </c>
    </row>
    <row r="68" spans="1:5">
      <c r="A68" s="59" t="s">
        <v>1585</v>
      </c>
      <c r="B68" s="59" t="s">
        <v>1586</v>
      </c>
      <c r="C68" s="59" t="s">
        <v>488</v>
      </c>
      <c r="D68" s="59" t="s">
        <v>1371</v>
      </c>
      <c r="E68" s="59" t="s">
        <v>1456</v>
      </c>
    </row>
    <row r="69" spans="1:5">
      <c r="A69" s="59" t="s">
        <v>1587</v>
      </c>
      <c r="B69" s="59" t="s">
        <v>1588</v>
      </c>
      <c r="C69" s="59" t="s">
        <v>249</v>
      </c>
      <c r="D69" s="59" t="s">
        <v>1477</v>
      </c>
      <c r="E69" s="59" t="s">
        <v>71</v>
      </c>
    </row>
    <row r="70" spans="1:5">
      <c r="A70" s="59" t="s">
        <v>1589</v>
      </c>
      <c r="B70" s="59" t="s">
        <v>1590</v>
      </c>
      <c r="C70" s="59" t="s">
        <v>727</v>
      </c>
      <c r="D70" s="59" t="s">
        <v>1477</v>
      </c>
      <c r="E70" s="59" t="s">
        <v>71</v>
      </c>
    </row>
    <row r="71" spans="1:5">
      <c r="A71" s="59" t="s">
        <v>1591</v>
      </c>
      <c r="B71" s="59" t="s">
        <v>1592</v>
      </c>
      <c r="C71" s="59" t="s">
        <v>960</v>
      </c>
      <c r="D71" s="59" t="s">
        <v>1477</v>
      </c>
      <c r="E71" s="59" t="s">
        <v>71</v>
      </c>
    </row>
    <row r="72" spans="1:5">
      <c r="A72" s="59" t="s">
        <v>1593</v>
      </c>
      <c r="B72" s="59" t="s">
        <v>1594</v>
      </c>
      <c r="C72" s="59" t="s">
        <v>825</v>
      </c>
      <c r="D72" s="59" t="s">
        <v>1455</v>
      </c>
      <c r="E72" s="59" t="s">
        <v>71</v>
      </c>
    </row>
    <row r="73" spans="1:5">
      <c r="A73" s="59" t="s">
        <v>1595</v>
      </c>
      <c r="B73" s="59" t="s">
        <v>1596</v>
      </c>
      <c r="C73" s="59" t="s">
        <v>62</v>
      </c>
      <c r="D73" s="65" t="s">
        <v>1395</v>
      </c>
      <c r="E73" s="65" t="s">
        <v>71</v>
      </c>
    </row>
    <row r="74" spans="1:5">
      <c r="A74" s="59" t="s">
        <v>1597</v>
      </c>
      <c r="B74" s="59" t="s">
        <v>1598</v>
      </c>
      <c r="C74" s="59" t="s">
        <v>916</v>
      </c>
      <c r="D74" s="59" t="s">
        <v>1455</v>
      </c>
      <c r="E74" s="59" t="s">
        <v>1456</v>
      </c>
    </row>
    <row r="75" spans="1:5">
      <c r="A75" s="59" t="s">
        <v>958</v>
      </c>
      <c r="B75" s="59" t="s">
        <v>1599</v>
      </c>
      <c r="C75" s="59" t="s">
        <v>272</v>
      </c>
      <c r="D75" s="59" t="s">
        <v>1458</v>
      </c>
      <c r="E75" s="59" t="s">
        <v>1456</v>
      </c>
    </row>
    <row r="76" spans="1:5">
      <c r="A76" s="59" t="s">
        <v>1600</v>
      </c>
      <c r="B76" s="59" t="s">
        <v>1601</v>
      </c>
      <c r="C76" s="59" t="s">
        <v>455</v>
      </c>
      <c r="D76" s="59" t="s">
        <v>1371</v>
      </c>
      <c r="E76" s="59" t="s">
        <v>71</v>
      </c>
    </row>
    <row r="77" spans="1:5">
      <c r="A77" s="59" t="s">
        <v>1602</v>
      </c>
      <c r="B77" s="59" t="s">
        <v>1603</v>
      </c>
      <c r="C77" s="59" t="s">
        <v>517</v>
      </c>
      <c r="D77" s="59" t="s">
        <v>1395</v>
      </c>
      <c r="E77" s="59" t="s">
        <v>71</v>
      </c>
    </row>
    <row r="78" spans="1:5">
      <c r="A78" s="59" t="s">
        <v>1604</v>
      </c>
      <c r="B78" s="59" t="s">
        <v>1605</v>
      </c>
      <c r="C78" s="59" t="s">
        <v>492</v>
      </c>
      <c r="D78" s="59" t="s">
        <v>1395</v>
      </c>
      <c r="E78" s="59" t="s">
        <v>71</v>
      </c>
    </row>
    <row r="79" spans="1:5">
      <c r="A79" s="59" t="s">
        <v>1606</v>
      </c>
      <c r="B79" s="59" t="s">
        <v>1605</v>
      </c>
      <c r="C79" s="59" t="s">
        <v>492</v>
      </c>
      <c r="D79" s="59" t="s">
        <v>1395</v>
      </c>
      <c r="E79" s="59" t="s">
        <v>71</v>
      </c>
    </row>
    <row r="80" spans="1:5">
      <c r="A80" s="59" t="s">
        <v>1607</v>
      </c>
      <c r="B80" s="59" t="s">
        <v>1608</v>
      </c>
      <c r="C80" s="59" t="s">
        <v>377</v>
      </c>
      <c r="D80" s="65" t="s">
        <v>598</v>
      </c>
      <c r="E80" s="65" t="s">
        <v>71</v>
      </c>
    </row>
    <row r="81" spans="1:5">
      <c r="A81" s="59" t="s">
        <v>1609</v>
      </c>
      <c r="B81" s="59" t="s">
        <v>1610</v>
      </c>
      <c r="C81" s="59" t="s">
        <v>1403</v>
      </c>
      <c r="D81" s="59" t="s">
        <v>1458</v>
      </c>
      <c r="E81" s="59" t="s">
        <v>71</v>
      </c>
    </row>
    <row r="82" spans="1:5">
      <c r="A82" s="59" t="s">
        <v>1611</v>
      </c>
      <c r="B82" s="59" t="s">
        <v>1612</v>
      </c>
      <c r="C82" s="59" t="s">
        <v>1410</v>
      </c>
      <c r="D82" s="59" t="s">
        <v>1458</v>
      </c>
      <c r="E82" s="59" t="s">
        <v>71</v>
      </c>
    </row>
    <row r="83" spans="1:5">
      <c r="A83" s="59" t="s">
        <v>1613</v>
      </c>
      <c r="B83" s="59" t="s">
        <v>1614</v>
      </c>
      <c r="C83" s="59" t="s">
        <v>1419</v>
      </c>
      <c r="D83" s="65" t="s">
        <v>1407</v>
      </c>
      <c r="E83" s="65" t="s">
        <v>31</v>
      </c>
    </row>
    <row r="84" spans="1:5">
      <c r="A84" s="59" t="s">
        <v>1615</v>
      </c>
      <c r="B84" s="59" t="s">
        <v>1616</v>
      </c>
      <c r="C84" s="59" t="s">
        <v>825</v>
      </c>
      <c r="D84" s="59" t="s">
        <v>1455</v>
      </c>
      <c r="E84" s="59" t="s">
        <v>71</v>
      </c>
    </row>
    <row r="85" spans="1:5">
      <c r="A85" s="59" t="s">
        <v>1617</v>
      </c>
      <c r="B85" s="59" t="s">
        <v>1618</v>
      </c>
      <c r="C85" s="59" t="s">
        <v>272</v>
      </c>
      <c r="D85" s="59" t="s">
        <v>1458</v>
      </c>
      <c r="E85" s="59" t="s">
        <v>71</v>
      </c>
    </row>
    <row r="86" spans="1:5">
      <c r="A86" s="59" t="s">
        <v>1619</v>
      </c>
      <c r="B86" s="59" t="s">
        <v>1620</v>
      </c>
      <c r="C86" s="59" t="s">
        <v>956</v>
      </c>
      <c r="D86" s="65" t="s">
        <v>1371</v>
      </c>
      <c r="E86" s="65" t="s">
        <v>71</v>
      </c>
    </row>
    <row r="87" spans="1:5">
      <c r="A87" s="59" t="s">
        <v>1621</v>
      </c>
      <c r="B87" s="59" t="s">
        <v>94</v>
      </c>
      <c r="C87" s="59" t="s">
        <v>1414</v>
      </c>
      <c r="D87" s="59" t="s">
        <v>1371</v>
      </c>
      <c r="E87" s="59" t="s">
        <v>122</v>
      </c>
    </row>
    <row r="88" spans="1:5">
      <c r="A88" s="59" t="s">
        <v>1622</v>
      </c>
      <c r="B88" s="59" t="s">
        <v>1623</v>
      </c>
      <c r="C88" s="59" t="s">
        <v>1480</v>
      </c>
      <c r="D88" s="59" t="s">
        <v>1455</v>
      </c>
      <c r="E88" s="64" t="s">
        <v>1456</v>
      </c>
    </row>
    <row r="89" spans="1:5">
      <c r="A89" s="59" t="s">
        <v>1624</v>
      </c>
      <c r="B89" s="59" t="s">
        <v>1625</v>
      </c>
      <c r="C89" s="59" t="s">
        <v>78</v>
      </c>
      <c r="D89" s="65" t="s">
        <v>1458</v>
      </c>
      <c r="E89" s="65" t="s">
        <v>71</v>
      </c>
    </row>
    <row r="90" spans="1:5">
      <c r="A90" s="59" t="s">
        <v>1626</v>
      </c>
      <c r="B90" s="59" t="s">
        <v>1627</v>
      </c>
      <c r="C90" s="59" t="s">
        <v>108</v>
      </c>
      <c r="D90" s="59" t="s">
        <v>1458</v>
      </c>
      <c r="E90" s="59" t="s">
        <v>71</v>
      </c>
    </row>
    <row r="91" spans="1:5">
      <c r="A91" s="59" t="s">
        <v>1628</v>
      </c>
      <c r="B91" s="59" t="s">
        <v>1629</v>
      </c>
      <c r="C91" s="59" t="s">
        <v>501</v>
      </c>
      <c r="D91" s="59" t="s">
        <v>1395</v>
      </c>
      <c r="E91" s="59" t="s">
        <v>1456</v>
      </c>
    </row>
    <row r="92" spans="1:5">
      <c r="A92" s="59" t="s">
        <v>1630</v>
      </c>
      <c r="B92" s="59" t="s">
        <v>1631</v>
      </c>
      <c r="C92" s="59" t="s">
        <v>377</v>
      </c>
      <c r="D92" s="65" t="s">
        <v>598</v>
      </c>
      <c r="E92" s="65" t="s">
        <v>71</v>
      </c>
    </row>
    <row r="93" spans="1:5">
      <c r="A93" s="59" t="s">
        <v>1632</v>
      </c>
      <c r="B93" s="59" t="s">
        <v>1633</v>
      </c>
      <c r="C93" s="59" t="s">
        <v>916</v>
      </c>
      <c r="D93" s="59" t="s">
        <v>1455</v>
      </c>
      <c r="E93" s="59" t="s">
        <v>71</v>
      </c>
    </row>
    <row r="94" spans="1:5">
      <c r="A94" s="59" t="s">
        <v>1634</v>
      </c>
      <c r="B94" s="59" t="s">
        <v>1635</v>
      </c>
      <c r="C94" s="59" t="s">
        <v>926</v>
      </c>
      <c r="D94" s="59" t="s">
        <v>1458</v>
      </c>
      <c r="E94" s="59" t="s">
        <v>71</v>
      </c>
    </row>
    <row r="95" spans="1:5">
      <c r="A95" s="59" t="s">
        <v>1636</v>
      </c>
      <c r="B95" s="59" t="s">
        <v>1637</v>
      </c>
      <c r="C95" s="59" t="s">
        <v>956</v>
      </c>
      <c r="D95" s="59" t="s">
        <v>1371</v>
      </c>
      <c r="E95" s="59" t="s">
        <v>71</v>
      </c>
    </row>
    <row r="96" spans="1:5">
      <c r="A96" s="59" t="s">
        <v>1638</v>
      </c>
      <c r="B96" s="59" t="s">
        <v>1639</v>
      </c>
      <c r="C96" s="59" t="s">
        <v>921</v>
      </c>
      <c r="D96" s="59" t="s">
        <v>1477</v>
      </c>
      <c r="E96" s="59" t="s">
        <v>71</v>
      </c>
    </row>
    <row r="97" spans="1:5">
      <c r="A97" s="59" t="s">
        <v>1640</v>
      </c>
      <c r="B97" s="59" t="s">
        <v>1641</v>
      </c>
      <c r="C97" s="59" t="s">
        <v>492</v>
      </c>
      <c r="D97" s="59" t="s">
        <v>1395</v>
      </c>
      <c r="E97" s="59" t="s">
        <v>71</v>
      </c>
    </row>
    <row r="98" spans="1:5">
      <c r="A98" s="59" t="s">
        <v>1642</v>
      </c>
      <c r="B98" s="59" t="s">
        <v>1643</v>
      </c>
      <c r="C98" s="59" t="s">
        <v>517</v>
      </c>
      <c r="D98" s="59" t="s">
        <v>1395</v>
      </c>
      <c r="E98" s="59" t="s">
        <v>71</v>
      </c>
    </row>
    <row r="99" spans="1:5">
      <c r="A99" s="59" t="s">
        <v>1644</v>
      </c>
      <c r="B99" s="59" t="s">
        <v>1645</v>
      </c>
      <c r="C99" s="59" t="s">
        <v>1403</v>
      </c>
      <c r="D99" s="59" t="s">
        <v>1458</v>
      </c>
      <c r="E99" s="59" t="s">
        <v>71</v>
      </c>
    </row>
    <row r="100" spans="1:5">
      <c r="A100" s="59" t="s">
        <v>1646</v>
      </c>
      <c r="B100" s="59" t="s">
        <v>1647</v>
      </c>
      <c r="C100" s="59" t="s">
        <v>602</v>
      </c>
      <c r="D100" s="59" t="s">
        <v>1477</v>
      </c>
      <c r="E100" s="59" t="s">
        <v>71</v>
      </c>
    </row>
    <row r="101" spans="1:5">
      <c r="A101" s="59" t="s">
        <v>1648</v>
      </c>
      <c r="B101" s="59" t="s">
        <v>1649</v>
      </c>
      <c r="C101" s="59" t="s">
        <v>1013</v>
      </c>
      <c r="D101" s="59" t="s">
        <v>1458</v>
      </c>
      <c r="E101" s="59" t="s">
        <v>71</v>
      </c>
    </row>
    <row r="102" spans="1:5">
      <c r="A102" s="59" t="s">
        <v>1650</v>
      </c>
      <c r="B102" s="59" t="s">
        <v>1651</v>
      </c>
      <c r="C102" s="59" t="s">
        <v>108</v>
      </c>
      <c r="D102" s="59" t="s">
        <v>1458</v>
      </c>
      <c r="E102" s="59" t="s">
        <v>71</v>
      </c>
    </row>
    <row r="103" spans="1:5">
      <c r="A103" s="59" t="s">
        <v>1652</v>
      </c>
      <c r="B103" s="59" t="s">
        <v>1653</v>
      </c>
      <c r="C103" s="59" t="s">
        <v>329</v>
      </c>
      <c r="D103" s="59" t="s">
        <v>1477</v>
      </c>
      <c r="E103" s="59" t="s">
        <v>71</v>
      </c>
    </row>
    <row r="104" spans="1:5">
      <c r="A104" s="59" t="s">
        <v>1654</v>
      </c>
      <c r="B104" s="59" t="s">
        <v>1655</v>
      </c>
      <c r="C104" s="59" t="s">
        <v>431</v>
      </c>
      <c r="D104" s="59" t="s">
        <v>1477</v>
      </c>
      <c r="E104" s="59" t="s">
        <v>71</v>
      </c>
    </row>
    <row r="105" spans="1:5">
      <c r="A105" s="59" t="s">
        <v>1656</v>
      </c>
      <c r="B105" s="59" t="s">
        <v>1657</v>
      </c>
      <c r="C105" s="59" t="s">
        <v>377</v>
      </c>
      <c r="D105" s="65" t="s">
        <v>598</v>
      </c>
      <c r="E105" s="65" t="s">
        <v>71</v>
      </c>
    </row>
    <row r="106" spans="1:5">
      <c r="A106" s="59" t="s">
        <v>81</v>
      </c>
      <c r="B106" s="59" t="s">
        <v>82</v>
      </c>
      <c r="C106" s="59" t="s">
        <v>78</v>
      </c>
      <c r="D106" s="59" t="s">
        <v>1458</v>
      </c>
      <c r="E106" s="59" t="s">
        <v>71</v>
      </c>
    </row>
    <row r="107" spans="1:5">
      <c r="A107" s="59" t="s">
        <v>1658</v>
      </c>
      <c r="B107" s="59" t="s">
        <v>1659</v>
      </c>
      <c r="C107" s="59" t="s">
        <v>960</v>
      </c>
      <c r="D107" s="65" t="s">
        <v>1477</v>
      </c>
      <c r="E107" s="65" t="s">
        <v>71</v>
      </c>
    </row>
    <row r="108" spans="1:5">
      <c r="A108" s="59" t="s">
        <v>1660</v>
      </c>
      <c r="B108" s="59" t="s">
        <v>1661</v>
      </c>
      <c r="C108" s="59" t="s">
        <v>825</v>
      </c>
      <c r="D108" s="59" t="s">
        <v>1455</v>
      </c>
      <c r="E108" s="59" t="s">
        <v>71</v>
      </c>
    </row>
    <row r="109" spans="1:5">
      <c r="A109" s="59" t="s">
        <v>1662</v>
      </c>
      <c r="B109" s="59" t="s">
        <v>1663</v>
      </c>
      <c r="C109" s="59" t="s">
        <v>1664</v>
      </c>
      <c r="D109" s="59" t="s">
        <v>1455</v>
      </c>
      <c r="E109" s="59" t="s">
        <v>1456</v>
      </c>
    </row>
    <row r="110" spans="1:5">
      <c r="A110" s="59" t="s">
        <v>1665</v>
      </c>
      <c r="B110" s="59" t="s">
        <v>1666</v>
      </c>
      <c r="C110" s="59" t="s">
        <v>1521</v>
      </c>
      <c r="D110" s="59" t="s">
        <v>1371</v>
      </c>
      <c r="E110" s="59" t="s">
        <v>1456</v>
      </c>
    </row>
    <row r="111" spans="1:5">
      <c r="A111" s="59" t="s">
        <v>1667</v>
      </c>
      <c r="B111" s="59" t="s">
        <v>1668</v>
      </c>
      <c r="C111" s="59" t="s">
        <v>1669</v>
      </c>
      <c r="D111" s="59" t="s">
        <v>1455</v>
      </c>
      <c r="E111" s="59" t="s">
        <v>71</v>
      </c>
    </row>
    <row r="112" spans="1:5">
      <c r="A112" s="59" t="s">
        <v>1670</v>
      </c>
      <c r="B112" s="59" t="s">
        <v>1671</v>
      </c>
      <c r="C112" s="59" t="s">
        <v>244</v>
      </c>
      <c r="D112" s="59" t="s">
        <v>1458</v>
      </c>
      <c r="E112" s="59" t="s">
        <v>71</v>
      </c>
    </row>
    <row r="113" spans="1:5">
      <c r="A113" s="59" t="s">
        <v>1672</v>
      </c>
      <c r="B113" s="59" t="s">
        <v>1673</v>
      </c>
      <c r="C113" s="59" t="s">
        <v>1435</v>
      </c>
      <c r="D113" s="59" t="s">
        <v>1395</v>
      </c>
      <c r="E113" s="59" t="s">
        <v>122</v>
      </c>
    </row>
    <row r="114" spans="1:5">
      <c r="A114" s="59" t="s">
        <v>1674</v>
      </c>
      <c r="B114" s="59" t="s">
        <v>1675</v>
      </c>
      <c r="C114" s="59" t="s">
        <v>475</v>
      </c>
      <c r="D114" s="59" t="s">
        <v>1395</v>
      </c>
      <c r="E114" s="59" t="s">
        <v>71</v>
      </c>
    </row>
    <row r="115" spans="1:5">
      <c r="A115" s="59" t="s">
        <v>1676</v>
      </c>
      <c r="B115" s="59" t="s">
        <v>1677</v>
      </c>
      <c r="C115" s="59" t="s">
        <v>377</v>
      </c>
      <c r="D115" s="65" t="s">
        <v>598</v>
      </c>
      <c r="E115" s="65" t="s">
        <v>71</v>
      </c>
    </row>
    <row r="116" spans="1:5">
      <c r="A116" s="59" t="s">
        <v>1678</v>
      </c>
      <c r="B116" s="59" t="s">
        <v>1679</v>
      </c>
      <c r="C116" s="59" t="s">
        <v>89</v>
      </c>
      <c r="D116" s="59" t="s">
        <v>89</v>
      </c>
      <c r="E116" s="59" t="s">
        <v>71</v>
      </c>
    </row>
    <row r="117" spans="1:5">
      <c r="A117" s="59" t="s">
        <v>1680</v>
      </c>
      <c r="B117" s="59" t="s">
        <v>1681</v>
      </c>
      <c r="C117" s="59" t="s">
        <v>455</v>
      </c>
      <c r="D117" s="59" t="s">
        <v>1371</v>
      </c>
      <c r="E117" s="59" t="s">
        <v>71</v>
      </c>
    </row>
    <row r="118" spans="1:5">
      <c r="A118" s="59" t="s">
        <v>776</v>
      </c>
      <c r="B118" s="59" t="s">
        <v>777</v>
      </c>
      <c r="C118" s="59" t="s">
        <v>419</v>
      </c>
      <c r="D118" s="59" t="s">
        <v>1395</v>
      </c>
      <c r="E118" s="59" t="s">
        <v>71</v>
      </c>
    </row>
    <row r="119" spans="1:5">
      <c r="A119" s="59" t="s">
        <v>1682</v>
      </c>
      <c r="B119" s="59" t="s">
        <v>1683</v>
      </c>
      <c r="C119" s="59" t="s">
        <v>484</v>
      </c>
      <c r="D119" s="59" t="s">
        <v>1455</v>
      </c>
      <c r="E119" s="59" t="s">
        <v>71</v>
      </c>
    </row>
    <row r="120" spans="1:5">
      <c r="A120" s="59" t="s">
        <v>1684</v>
      </c>
      <c r="B120" s="59" t="s">
        <v>1685</v>
      </c>
      <c r="C120" s="59" t="s">
        <v>1404</v>
      </c>
      <c r="D120" s="59" t="s">
        <v>1395</v>
      </c>
      <c r="E120" s="59" t="s">
        <v>71</v>
      </c>
    </row>
    <row r="121" spans="1:5">
      <c r="A121" s="59" t="s">
        <v>1686</v>
      </c>
      <c r="B121" s="59" t="s">
        <v>1687</v>
      </c>
      <c r="C121" s="59" t="s">
        <v>475</v>
      </c>
      <c r="D121" s="59" t="s">
        <v>1395</v>
      </c>
      <c r="E121" s="59" t="s">
        <v>71</v>
      </c>
    </row>
    <row r="122" spans="1:5">
      <c r="A122" s="59" t="s">
        <v>1688</v>
      </c>
      <c r="B122" s="59" t="s">
        <v>1689</v>
      </c>
      <c r="C122" s="59" t="s">
        <v>377</v>
      </c>
      <c r="D122" s="65" t="s">
        <v>598</v>
      </c>
      <c r="E122" s="65" t="s">
        <v>71</v>
      </c>
    </row>
    <row r="123" spans="1:5">
      <c r="A123" s="59" t="s">
        <v>1690</v>
      </c>
      <c r="B123" s="59" t="s">
        <v>1691</v>
      </c>
      <c r="C123" s="59" t="s">
        <v>1002</v>
      </c>
      <c r="D123" s="65" t="s">
        <v>0</v>
      </c>
      <c r="E123" s="65" t="s">
        <v>122</v>
      </c>
    </row>
    <row r="124" spans="1:5">
      <c r="A124" s="59" t="s">
        <v>1692</v>
      </c>
      <c r="B124" s="59" t="s">
        <v>1693</v>
      </c>
      <c r="C124" s="59" t="s">
        <v>960</v>
      </c>
      <c r="D124" s="65" t="s">
        <v>1477</v>
      </c>
      <c r="E124" s="65" t="s">
        <v>71</v>
      </c>
    </row>
    <row r="125" spans="1:5">
      <c r="A125" s="59" t="s">
        <v>1694</v>
      </c>
      <c r="B125" s="59" t="s">
        <v>1695</v>
      </c>
      <c r="C125" s="59" t="s">
        <v>1521</v>
      </c>
      <c r="D125" s="59" t="s">
        <v>1371</v>
      </c>
      <c r="E125" s="59" t="s">
        <v>71</v>
      </c>
    </row>
    <row r="126" spans="1:5">
      <c r="A126" s="59" t="s">
        <v>1696</v>
      </c>
      <c r="B126" s="59" t="s">
        <v>1697</v>
      </c>
      <c r="C126" s="59" t="s">
        <v>509</v>
      </c>
      <c r="D126" s="59" t="s">
        <v>1458</v>
      </c>
      <c r="E126" s="59" t="s">
        <v>71</v>
      </c>
    </row>
    <row r="127" spans="1:5">
      <c r="A127" s="59" t="s">
        <v>1698</v>
      </c>
      <c r="B127" s="59" t="s">
        <v>1697</v>
      </c>
      <c r="C127" s="59" t="s">
        <v>1013</v>
      </c>
      <c r="D127" s="59" t="s">
        <v>1458</v>
      </c>
      <c r="E127" s="59" t="s">
        <v>71</v>
      </c>
    </row>
    <row r="128" spans="1:5">
      <c r="A128" s="59" t="s">
        <v>1699</v>
      </c>
      <c r="B128" s="59" t="s">
        <v>1700</v>
      </c>
      <c r="C128" s="59" t="s">
        <v>1521</v>
      </c>
      <c r="D128" s="59" t="s">
        <v>1371</v>
      </c>
      <c r="E128" s="59" t="s">
        <v>71</v>
      </c>
    </row>
    <row r="129" spans="1:5">
      <c r="A129" s="59" t="s">
        <v>1701</v>
      </c>
      <c r="B129" s="59" t="s">
        <v>1702</v>
      </c>
      <c r="C129" s="59" t="s">
        <v>211</v>
      </c>
      <c r="D129" s="65" t="s">
        <v>1458</v>
      </c>
      <c r="E129" s="65" t="s">
        <v>71</v>
      </c>
    </row>
    <row r="130" spans="1:5">
      <c r="A130" s="59" t="s">
        <v>1703</v>
      </c>
      <c r="B130" s="59" t="s">
        <v>1704</v>
      </c>
      <c r="C130" s="59" t="s">
        <v>884</v>
      </c>
      <c r="D130" s="59" t="s">
        <v>1395</v>
      </c>
      <c r="E130" s="59" t="s">
        <v>71</v>
      </c>
    </row>
    <row r="131" spans="1:5">
      <c r="A131" s="59" t="s">
        <v>1705</v>
      </c>
      <c r="B131" s="59" t="s">
        <v>1706</v>
      </c>
      <c r="C131" s="59" t="s">
        <v>377</v>
      </c>
      <c r="D131" s="65" t="s">
        <v>598</v>
      </c>
      <c r="E131" s="65" t="s">
        <v>71</v>
      </c>
    </row>
    <row r="132" spans="1:5">
      <c r="A132" s="59" t="s">
        <v>1707</v>
      </c>
      <c r="B132" s="59" t="s">
        <v>1708</v>
      </c>
      <c r="C132" s="59" t="s">
        <v>267</v>
      </c>
      <c r="D132" s="59" t="s">
        <v>1395</v>
      </c>
      <c r="E132" s="59" t="s">
        <v>71</v>
      </c>
    </row>
    <row r="133" spans="1:5">
      <c r="A133" s="59" t="s">
        <v>873</v>
      </c>
      <c r="B133" s="59" t="s">
        <v>1709</v>
      </c>
      <c r="C133" s="59" t="s">
        <v>117</v>
      </c>
      <c r="D133" s="59" t="s">
        <v>1477</v>
      </c>
      <c r="E133" s="59" t="s">
        <v>1456</v>
      </c>
    </row>
    <row r="134" spans="1:5">
      <c r="A134" s="59" t="s">
        <v>1710</v>
      </c>
      <c r="B134" s="59" t="s">
        <v>1711</v>
      </c>
      <c r="C134" s="59" t="s">
        <v>916</v>
      </c>
      <c r="D134" s="59" t="s">
        <v>1455</v>
      </c>
      <c r="E134" s="59" t="s">
        <v>71</v>
      </c>
    </row>
    <row r="135" spans="1:5">
      <c r="A135" s="59" t="s">
        <v>1712</v>
      </c>
      <c r="B135" s="59" t="s">
        <v>1713</v>
      </c>
      <c r="C135" s="59" t="s">
        <v>884</v>
      </c>
      <c r="D135" s="65" t="s">
        <v>1395</v>
      </c>
      <c r="E135" s="65" t="s">
        <v>71</v>
      </c>
    </row>
    <row r="136" spans="1:5">
      <c r="A136" s="59" t="s">
        <v>1714</v>
      </c>
      <c r="B136" s="59" t="s">
        <v>1715</v>
      </c>
      <c r="C136" s="59" t="s">
        <v>593</v>
      </c>
      <c r="D136" s="65" t="s">
        <v>1455</v>
      </c>
      <c r="E136" s="65" t="s">
        <v>1456</v>
      </c>
    </row>
    <row r="137" spans="1:5">
      <c r="A137" s="59" t="s">
        <v>1716</v>
      </c>
      <c r="B137" s="59" t="s">
        <v>1717</v>
      </c>
      <c r="C137" s="59" t="s">
        <v>1562</v>
      </c>
      <c r="D137" s="59" t="s">
        <v>1407</v>
      </c>
      <c r="E137" s="59" t="s">
        <v>31</v>
      </c>
    </row>
    <row r="138" spans="1:5">
      <c r="A138" s="59" t="s">
        <v>1718</v>
      </c>
      <c r="B138" s="59" t="s">
        <v>1719</v>
      </c>
      <c r="C138" s="59" t="s">
        <v>377</v>
      </c>
      <c r="D138" s="65" t="s">
        <v>598</v>
      </c>
      <c r="E138" s="65" t="s">
        <v>71</v>
      </c>
    </row>
    <row r="139" spans="1:5">
      <c r="A139" s="59" t="s">
        <v>1720</v>
      </c>
      <c r="B139" s="59" t="s">
        <v>1721</v>
      </c>
      <c r="C139" s="59" t="s">
        <v>900</v>
      </c>
      <c r="D139" s="59" t="s">
        <v>1455</v>
      </c>
      <c r="E139" s="59" t="s">
        <v>71</v>
      </c>
    </row>
    <row r="140" spans="1:5">
      <c r="A140" s="59" t="s">
        <v>1722</v>
      </c>
      <c r="B140" s="59" t="s">
        <v>1723</v>
      </c>
      <c r="C140" s="59" t="s">
        <v>572</v>
      </c>
      <c r="D140" s="59" t="s">
        <v>1455</v>
      </c>
      <c r="E140" s="59" t="s">
        <v>1456</v>
      </c>
    </row>
    <row r="141" spans="1:5">
      <c r="A141" s="59" t="s">
        <v>1724</v>
      </c>
      <c r="B141" s="59" t="s">
        <v>1725</v>
      </c>
      <c r="C141" s="59" t="s">
        <v>89</v>
      </c>
      <c r="D141" s="59" t="s">
        <v>89</v>
      </c>
      <c r="E141" s="59" t="s">
        <v>71</v>
      </c>
    </row>
    <row r="142" spans="1:5">
      <c r="A142" s="59" t="s">
        <v>1726</v>
      </c>
      <c r="B142" s="59" t="s">
        <v>1727</v>
      </c>
      <c r="C142" s="59" t="s">
        <v>244</v>
      </c>
      <c r="D142" s="59" t="s">
        <v>1458</v>
      </c>
      <c r="E142" s="59" t="s">
        <v>71</v>
      </c>
    </row>
    <row r="143" spans="1:5">
      <c r="A143" s="59" t="s">
        <v>1728</v>
      </c>
      <c r="B143" s="59" t="s">
        <v>1729</v>
      </c>
      <c r="C143" s="59" t="s">
        <v>1401</v>
      </c>
      <c r="D143" s="59" t="s">
        <v>1477</v>
      </c>
      <c r="E143" s="59" t="s">
        <v>71</v>
      </c>
    </row>
    <row r="144" spans="1:5">
      <c r="A144" s="59" t="s">
        <v>1730</v>
      </c>
      <c r="B144" s="59" t="s">
        <v>1731</v>
      </c>
      <c r="C144" s="59" t="s">
        <v>285</v>
      </c>
      <c r="D144" s="59" t="s">
        <v>1477</v>
      </c>
      <c r="E144" s="59" t="s">
        <v>71</v>
      </c>
    </row>
    <row r="145" spans="1:5">
      <c r="A145" s="59" t="s">
        <v>1732</v>
      </c>
      <c r="B145" s="59" t="s">
        <v>1733</v>
      </c>
      <c r="C145" s="59" t="s">
        <v>1404</v>
      </c>
      <c r="D145" s="59" t="s">
        <v>1395</v>
      </c>
      <c r="E145" s="59" t="s">
        <v>71</v>
      </c>
    </row>
    <row r="146" spans="1:5">
      <c r="A146" s="59" t="s">
        <v>1734</v>
      </c>
      <c r="B146" s="59" t="s">
        <v>1735</v>
      </c>
      <c r="C146" s="59" t="s">
        <v>653</v>
      </c>
      <c r="D146" s="59" t="s">
        <v>1455</v>
      </c>
      <c r="E146" s="59" t="s">
        <v>71</v>
      </c>
    </row>
    <row r="147" spans="1:5">
      <c r="A147" s="59" t="s">
        <v>1378</v>
      </c>
      <c r="B147" s="59" t="s">
        <v>1736</v>
      </c>
      <c r="C147" s="59" t="s">
        <v>125</v>
      </c>
      <c r="D147" s="59" t="s">
        <v>1737</v>
      </c>
      <c r="E147" s="59" t="s">
        <v>122</v>
      </c>
    </row>
    <row r="148" spans="1:5">
      <c r="A148" s="59" t="s">
        <v>1379</v>
      </c>
      <c r="B148" s="59" t="s">
        <v>1738</v>
      </c>
      <c r="C148" s="59" t="s">
        <v>125</v>
      </c>
      <c r="D148" s="59" t="s">
        <v>1737</v>
      </c>
      <c r="E148" s="59" t="s">
        <v>122</v>
      </c>
    </row>
    <row r="149" spans="1:5">
      <c r="A149" s="59" t="s">
        <v>1380</v>
      </c>
      <c r="B149" s="59" t="s">
        <v>1739</v>
      </c>
      <c r="C149" s="59" t="s">
        <v>125</v>
      </c>
      <c r="D149" s="59" t="s">
        <v>1737</v>
      </c>
      <c r="E149" s="59" t="s">
        <v>122</v>
      </c>
    </row>
    <row r="150" spans="1:5">
      <c r="A150" s="59" t="s">
        <v>1381</v>
      </c>
      <c r="B150" s="59" t="s">
        <v>1740</v>
      </c>
      <c r="C150" s="59" t="s">
        <v>125</v>
      </c>
      <c r="D150" s="59" t="s">
        <v>1737</v>
      </c>
      <c r="E150" s="59" t="s">
        <v>122</v>
      </c>
    </row>
    <row r="151" spans="1:5">
      <c r="A151" s="59" t="s">
        <v>202</v>
      </c>
      <c r="B151" s="59" t="s">
        <v>1741</v>
      </c>
      <c r="C151" s="59" t="s">
        <v>125</v>
      </c>
      <c r="D151" s="59" t="s">
        <v>1737</v>
      </c>
      <c r="E151" s="59" t="s">
        <v>122</v>
      </c>
    </row>
    <row r="152" spans="1:5">
      <c r="A152" s="59" t="s">
        <v>347</v>
      </c>
      <c r="B152" s="59" t="s">
        <v>348</v>
      </c>
      <c r="C152" s="59" t="s">
        <v>125</v>
      </c>
      <c r="D152" s="59" t="s">
        <v>1737</v>
      </c>
      <c r="E152" s="59" t="s">
        <v>122</v>
      </c>
    </row>
    <row r="153" spans="1:5">
      <c r="A153" s="59" t="s">
        <v>1382</v>
      </c>
      <c r="B153" s="59" t="s">
        <v>1742</v>
      </c>
      <c r="C153" s="59" t="s">
        <v>125</v>
      </c>
      <c r="D153" s="59" t="s">
        <v>1737</v>
      </c>
      <c r="E153" s="59" t="s">
        <v>122</v>
      </c>
    </row>
    <row r="154" spans="1:5">
      <c r="A154" s="59" t="s">
        <v>1383</v>
      </c>
      <c r="B154" s="59" t="s">
        <v>1743</v>
      </c>
      <c r="C154" s="59" t="s">
        <v>125</v>
      </c>
      <c r="D154" s="59" t="s">
        <v>1737</v>
      </c>
      <c r="E154" s="59" t="s">
        <v>122</v>
      </c>
    </row>
    <row r="155" spans="1:5">
      <c r="A155" s="59" t="s">
        <v>1384</v>
      </c>
      <c r="B155" s="59" t="s">
        <v>1744</v>
      </c>
      <c r="C155" s="59" t="s">
        <v>125</v>
      </c>
      <c r="D155" s="59" t="s">
        <v>1737</v>
      </c>
      <c r="E155" s="59" t="s">
        <v>122</v>
      </c>
    </row>
    <row r="156" spans="1:5">
      <c r="A156" s="59" t="s">
        <v>1385</v>
      </c>
      <c r="B156" s="59" t="s">
        <v>1745</v>
      </c>
      <c r="C156" s="59" t="s">
        <v>125</v>
      </c>
      <c r="D156" s="59" t="s">
        <v>1737</v>
      </c>
      <c r="E156" s="59" t="s">
        <v>122</v>
      </c>
    </row>
    <row r="157" spans="1:5">
      <c r="A157" s="59" t="s">
        <v>1386</v>
      </c>
      <c r="B157" s="59" t="s">
        <v>1746</v>
      </c>
      <c r="C157" s="59" t="s">
        <v>125</v>
      </c>
      <c r="D157" s="59" t="s">
        <v>1737</v>
      </c>
      <c r="E157" s="59" t="s">
        <v>122</v>
      </c>
    </row>
    <row r="158" spans="1:5">
      <c r="A158" s="59" t="s">
        <v>1387</v>
      </c>
      <c r="B158" s="59" t="s">
        <v>1747</v>
      </c>
      <c r="C158" s="59" t="s">
        <v>125</v>
      </c>
      <c r="D158" s="59" t="s">
        <v>1737</v>
      </c>
      <c r="E158" s="59" t="s">
        <v>122</v>
      </c>
    </row>
    <row r="159" spans="1:5">
      <c r="A159" s="59" t="s">
        <v>1388</v>
      </c>
      <c r="B159" s="59" t="s">
        <v>1748</v>
      </c>
      <c r="C159" s="59" t="s">
        <v>125</v>
      </c>
      <c r="D159" s="59" t="s">
        <v>1737</v>
      </c>
      <c r="E159" s="59" t="s">
        <v>122</v>
      </c>
    </row>
    <row r="160" spans="1:5">
      <c r="A160" s="59" t="s">
        <v>1389</v>
      </c>
      <c r="B160" s="59" t="s">
        <v>1749</v>
      </c>
      <c r="C160" s="59" t="s">
        <v>125</v>
      </c>
      <c r="D160" s="59" t="s">
        <v>1737</v>
      </c>
      <c r="E160" s="59" t="s">
        <v>122</v>
      </c>
    </row>
    <row r="161" spans="1:5">
      <c r="A161" s="59" t="s">
        <v>1750</v>
      </c>
      <c r="B161" s="59" t="s">
        <v>132</v>
      </c>
      <c r="C161" s="59" t="s">
        <v>1751</v>
      </c>
      <c r="D161" s="59" t="s">
        <v>1737</v>
      </c>
      <c r="E161" s="59" t="s">
        <v>122</v>
      </c>
    </row>
    <row r="162" spans="1:5">
      <c r="A162" s="59" t="s">
        <v>402</v>
      </c>
      <c r="B162" s="59" t="s">
        <v>1752</v>
      </c>
      <c r="C162" s="59" t="s">
        <v>123</v>
      </c>
      <c r="D162" s="59" t="s">
        <v>1737</v>
      </c>
      <c r="E162" s="59" t="s">
        <v>122</v>
      </c>
    </row>
    <row r="163" spans="1:5">
      <c r="A163" s="59" t="s">
        <v>1390</v>
      </c>
      <c r="B163" s="59" t="s">
        <v>1753</v>
      </c>
      <c r="C163" s="59" t="s">
        <v>123</v>
      </c>
      <c r="D163" s="59" t="s">
        <v>1737</v>
      </c>
      <c r="E163" s="59" t="s">
        <v>122</v>
      </c>
    </row>
    <row r="164" spans="1:5">
      <c r="A164" s="59" t="s">
        <v>1000</v>
      </c>
      <c r="B164" s="59" t="s">
        <v>1754</v>
      </c>
      <c r="C164" s="59" t="s">
        <v>123</v>
      </c>
      <c r="D164" s="59" t="s">
        <v>1737</v>
      </c>
      <c r="E164" s="59" t="s">
        <v>122</v>
      </c>
    </row>
    <row r="165" spans="1:5">
      <c r="A165" s="59" t="s">
        <v>1000</v>
      </c>
      <c r="B165" s="59" t="s">
        <v>1755</v>
      </c>
      <c r="C165" s="59" t="s">
        <v>123</v>
      </c>
      <c r="D165" s="59" t="s">
        <v>1737</v>
      </c>
      <c r="E165" s="59" t="s">
        <v>122</v>
      </c>
    </row>
    <row r="166" spans="1:5">
      <c r="A166" s="59" t="s">
        <v>1391</v>
      </c>
      <c r="B166" s="59" t="s">
        <v>1756</v>
      </c>
      <c r="C166" s="59" t="s">
        <v>123</v>
      </c>
      <c r="D166" s="59" t="s">
        <v>1737</v>
      </c>
      <c r="E166" s="59" t="s">
        <v>122</v>
      </c>
    </row>
    <row r="167" spans="1:5">
      <c r="A167" s="59" t="s">
        <v>946</v>
      </c>
      <c r="B167" s="59" t="s">
        <v>1757</v>
      </c>
      <c r="C167" s="59" t="s">
        <v>123</v>
      </c>
      <c r="D167" s="59" t="s">
        <v>1737</v>
      </c>
      <c r="E167" s="59" t="s">
        <v>122</v>
      </c>
    </row>
    <row r="168" spans="1:5">
      <c r="A168" s="59" t="s">
        <v>144</v>
      </c>
      <c r="B168" s="59" t="s">
        <v>1758</v>
      </c>
      <c r="C168" s="59" t="s">
        <v>123</v>
      </c>
      <c r="D168" s="59" t="s">
        <v>1737</v>
      </c>
      <c r="E168" s="59" t="s">
        <v>122</v>
      </c>
    </row>
    <row r="169" spans="1:5">
      <c r="A169" s="59" t="s">
        <v>472</v>
      </c>
      <c r="B169" s="59" t="s">
        <v>1759</v>
      </c>
      <c r="C169" s="59" t="s">
        <v>123</v>
      </c>
      <c r="D169" s="59" t="s">
        <v>1737</v>
      </c>
      <c r="E169" s="59" t="s">
        <v>122</v>
      </c>
    </row>
    <row r="170" spans="1:5">
      <c r="A170" s="59" t="s">
        <v>1392</v>
      </c>
      <c r="B170" s="59" t="s">
        <v>1760</v>
      </c>
      <c r="C170" s="59" t="s">
        <v>123</v>
      </c>
      <c r="D170" s="59" t="s">
        <v>1737</v>
      </c>
      <c r="E170" s="59" t="s">
        <v>122</v>
      </c>
    </row>
    <row r="171" spans="1:5">
      <c r="A171" s="59" t="s">
        <v>940</v>
      </c>
      <c r="B171" s="59" t="s">
        <v>1761</v>
      </c>
      <c r="C171" s="59" t="s">
        <v>123</v>
      </c>
      <c r="D171" s="59" t="s">
        <v>1737</v>
      </c>
      <c r="E171" s="59" t="s">
        <v>122</v>
      </c>
    </row>
    <row r="172" spans="1:5">
      <c r="A172" s="59" t="s">
        <v>1393</v>
      </c>
      <c r="B172" s="59" t="s">
        <v>1762</v>
      </c>
      <c r="C172" s="59" t="s">
        <v>123</v>
      </c>
      <c r="D172" s="59" t="s">
        <v>1737</v>
      </c>
      <c r="E172" s="59" t="s">
        <v>122</v>
      </c>
    </row>
    <row r="173" spans="1:5">
      <c r="A173" s="59" t="s">
        <v>967</v>
      </c>
      <c r="B173" s="59" t="s">
        <v>1763</v>
      </c>
      <c r="C173" s="59" t="s">
        <v>123</v>
      </c>
      <c r="D173" s="59" t="s">
        <v>1737</v>
      </c>
      <c r="E173" s="59" t="s">
        <v>122</v>
      </c>
    </row>
    <row r="174" spans="1:5">
      <c r="A174" s="59" t="s">
        <v>867</v>
      </c>
      <c r="B174" s="59" t="s">
        <v>868</v>
      </c>
      <c r="C174" s="59" t="s">
        <v>123</v>
      </c>
      <c r="D174" s="59" t="s">
        <v>1737</v>
      </c>
      <c r="E174" s="59" t="s">
        <v>122</v>
      </c>
    </row>
    <row r="175" spans="1:5">
      <c r="A175" s="59" t="s">
        <v>1394</v>
      </c>
      <c r="B175" s="59" t="s">
        <v>1764</v>
      </c>
      <c r="C175" s="59" t="s">
        <v>123</v>
      </c>
      <c r="D175" s="59" t="s">
        <v>1737</v>
      </c>
      <c r="E175" s="59" t="s">
        <v>122</v>
      </c>
    </row>
    <row r="176" spans="1:5">
      <c r="A176" s="59" t="s">
        <v>1765</v>
      </c>
      <c r="B176" s="59" t="s">
        <v>1766</v>
      </c>
      <c r="C176" s="59" t="s">
        <v>919</v>
      </c>
      <c r="D176" s="59" t="s">
        <v>1477</v>
      </c>
      <c r="E176" s="59" t="s">
        <v>1456</v>
      </c>
    </row>
    <row r="177" spans="1:5">
      <c r="A177" s="59" t="s">
        <v>1767</v>
      </c>
      <c r="B177" s="59" t="s">
        <v>1768</v>
      </c>
      <c r="C177" s="59" t="s">
        <v>572</v>
      </c>
      <c r="D177" s="59" t="s">
        <v>1455</v>
      </c>
      <c r="E177" s="59" t="s">
        <v>1456</v>
      </c>
    </row>
    <row r="178" spans="1:5">
      <c r="A178" s="59" t="s">
        <v>1769</v>
      </c>
      <c r="B178" s="59" t="s">
        <v>1770</v>
      </c>
      <c r="C178" s="59" t="s">
        <v>1771</v>
      </c>
      <c r="D178" s="59" t="s">
        <v>1407</v>
      </c>
      <c r="E178" s="59" t="s">
        <v>31</v>
      </c>
    </row>
    <row r="179" spans="1:5">
      <c r="A179" s="59" t="s">
        <v>1772</v>
      </c>
      <c r="B179" s="59" t="s">
        <v>1773</v>
      </c>
      <c r="C179" s="59" t="s">
        <v>1021</v>
      </c>
      <c r="D179" s="59" t="s">
        <v>1395</v>
      </c>
      <c r="E179" s="59" t="s">
        <v>71</v>
      </c>
    </row>
    <row r="180" spans="1:5">
      <c r="A180" s="59" t="s">
        <v>1774</v>
      </c>
      <c r="B180" s="59" t="s">
        <v>1775</v>
      </c>
      <c r="C180" s="59" t="s">
        <v>651</v>
      </c>
      <c r="D180" s="59" t="s">
        <v>1455</v>
      </c>
      <c r="E180" s="59" t="s">
        <v>71</v>
      </c>
    </row>
    <row r="181" spans="1:5">
      <c r="A181" s="59" t="s">
        <v>1776</v>
      </c>
      <c r="B181" s="59" t="s">
        <v>1777</v>
      </c>
      <c r="C181" s="59" t="s">
        <v>377</v>
      </c>
      <c r="D181" s="65" t="s">
        <v>598</v>
      </c>
      <c r="E181" s="65" t="s">
        <v>71</v>
      </c>
    </row>
    <row r="182" spans="1:5">
      <c r="A182" s="59" t="s">
        <v>991</v>
      </c>
      <c r="B182" s="59" t="s">
        <v>1778</v>
      </c>
      <c r="C182" s="59" t="s">
        <v>1480</v>
      </c>
      <c r="D182" s="59" t="s">
        <v>1455</v>
      </c>
      <c r="E182" s="59" t="s">
        <v>71</v>
      </c>
    </row>
    <row r="183" spans="1:5">
      <c r="A183" s="59" t="s">
        <v>1779</v>
      </c>
      <c r="B183" s="59" t="s">
        <v>1780</v>
      </c>
      <c r="C183" s="59" t="s">
        <v>89</v>
      </c>
      <c r="D183" s="59" t="s">
        <v>89</v>
      </c>
      <c r="E183" s="59" t="s">
        <v>71</v>
      </c>
    </row>
    <row r="184" spans="1:5">
      <c r="A184" s="59" t="s">
        <v>1781</v>
      </c>
      <c r="B184" s="59" t="s">
        <v>1782</v>
      </c>
      <c r="C184" s="59" t="s">
        <v>1402</v>
      </c>
      <c r="D184" s="59" t="s">
        <v>1395</v>
      </c>
      <c r="E184" s="59" t="s">
        <v>71</v>
      </c>
    </row>
    <row r="185" spans="1:5">
      <c r="A185" s="59" t="s">
        <v>1783</v>
      </c>
      <c r="B185" s="59" t="s">
        <v>1784</v>
      </c>
      <c r="C185" s="59" t="s">
        <v>572</v>
      </c>
      <c r="D185" s="59" t="s">
        <v>1455</v>
      </c>
      <c r="E185" s="59" t="s">
        <v>71</v>
      </c>
    </row>
    <row r="186" spans="1:5">
      <c r="A186" s="59" t="s">
        <v>1785</v>
      </c>
      <c r="B186" s="59" t="s">
        <v>1786</v>
      </c>
      <c r="C186" s="59" t="s">
        <v>156</v>
      </c>
      <c r="D186" s="59" t="s">
        <v>1407</v>
      </c>
      <c r="E186" s="59" t="s">
        <v>71</v>
      </c>
    </row>
    <row r="187" spans="1:5">
      <c r="A187" s="59" t="s">
        <v>1787</v>
      </c>
      <c r="B187" s="59" t="s">
        <v>1788</v>
      </c>
      <c r="C187" s="59" t="s">
        <v>156</v>
      </c>
      <c r="D187" s="59" t="s">
        <v>1455</v>
      </c>
      <c r="E187" s="59" t="s">
        <v>71</v>
      </c>
    </row>
    <row r="188" spans="1:5">
      <c r="A188" s="59" t="s">
        <v>1789</v>
      </c>
      <c r="B188" s="59" t="s">
        <v>1790</v>
      </c>
      <c r="C188" s="59" t="s">
        <v>935</v>
      </c>
      <c r="D188" s="59" t="s">
        <v>1477</v>
      </c>
      <c r="E188" s="59" t="s">
        <v>71</v>
      </c>
    </row>
    <row r="189" spans="1:5">
      <c r="A189" s="59" t="s">
        <v>795</v>
      </c>
      <c r="B189" s="59" t="s">
        <v>796</v>
      </c>
      <c r="C189" s="59" t="s">
        <v>272</v>
      </c>
      <c r="D189" s="59" t="s">
        <v>1458</v>
      </c>
      <c r="E189" s="59" t="s">
        <v>1456</v>
      </c>
    </row>
    <row r="190" spans="1:5">
      <c r="A190" s="59" t="s">
        <v>1791</v>
      </c>
      <c r="B190" s="59" t="s">
        <v>1792</v>
      </c>
      <c r="C190" s="59" t="s">
        <v>492</v>
      </c>
      <c r="D190" s="59" t="s">
        <v>1395</v>
      </c>
      <c r="E190" s="59" t="s">
        <v>71</v>
      </c>
    </row>
    <row r="191" spans="1:5">
      <c r="A191" s="59" t="s">
        <v>1793</v>
      </c>
      <c r="B191" s="59" t="s">
        <v>1794</v>
      </c>
      <c r="C191" s="59" t="s">
        <v>935</v>
      </c>
      <c r="D191" s="59" t="s">
        <v>1477</v>
      </c>
      <c r="E191" s="59" t="s">
        <v>71</v>
      </c>
    </row>
    <row r="192" spans="1:5">
      <c r="A192" s="59">
        <v>13041</v>
      </c>
      <c r="B192" s="59" t="s">
        <v>1795</v>
      </c>
      <c r="C192" s="59" t="s">
        <v>1002</v>
      </c>
      <c r="D192" s="65" t="s">
        <v>0</v>
      </c>
      <c r="E192" s="65" t="s">
        <v>122</v>
      </c>
    </row>
    <row r="193" spans="1:5">
      <c r="A193" s="59" t="s">
        <v>604</v>
      </c>
      <c r="B193" s="59" t="s">
        <v>605</v>
      </c>
      <c r="C193" s="59" t="s">
        <v>602</v>
      </c>
      <c r="D193" s="65" t="s">
        <v>1477</v>
      </c>
      <c r="E193" s="65" t="s">
        <v>71</v>
      </c>
    </row>
    <row r="194" spans="1:5">
      <c r="A194" s="59" t="s">
        <v>1796</v>
      </c>
      <c r="B194" s="59" t="s">
        <v>1797</v>
      </c>
      <c r="C194" s="59" t="s">
        <v>1002</v>
      </c>
      <c r="D194" s="65" t="s">
        <v>0</v>
      </c>
      <c r="E194" s="65" t="s">
        <v>122</v>
      </c>
    </row>
    <row r="195" spans="1:5">
      <c r="A195" s="59" t="s">
        <v>936</v>
      </c>
      <c r="B195" s="59" t="s">
        <v>1798</v>
      </c>
      <c r="C195" s="59" t="s">
        <v>935</v>
      </c>
      <c r="D195" s="59" t="s">
        <v>1477</v>
      </c>
      <c r="E195" s="59" t="s">
        <v>1456</v>
      </c>
    </row>
    <row r="196" spans="1:5">
      <c r="A196" s="59" t="s">
        <v>1799</v>
      </c>
      <c r="B196" s="59" t="s">
        <v>1800</v>
      </c>
      <c r="C196" s="59" t="s">
        <v>488</v>
      </c>
      <c r="D196" s="59" t="s">
        <v>1371</v>
      </c>
      <c r="E196" s="59" t="s">
        <v>1456</v>
      </c>
    </row>
    <row r="197" spans="1:5">
      <c r="A197" s="59" t="s">
        <v>1801</v>
      </c>
      <c r="B197" s="59" t="s">
        <v>1802</v>
      </c>
      <c r="C197" s="59" t="s">
        <v>960</v>
      </c>
      <c r="D197" s="59" t="s">
        <v>1477</v>
      </c>
      <c r="E197" s="59" t="s">
        <v>71</v>
      </c>
    </row>
    <row r="198" spans="1:5">
      <c r="A198" s="59" t="s">
        <v>1803</v>
      </c>
      <c r="B198" s="59" t="s">
        <v>1804</v>
      </c>
      <c r="C198" s="59" t="s">
        <v>108</v>
      </c>
      <c r="D198" s="59" t="s">
        <v>1458</v>
      </c>
      <c r="E198" s="59" t="s">
        <v>71</v>
      </c>
    </row>
    <row r="199" spans="1:5">
      <c r="A199" s="59" t="s">
        <v>1805</v>
      </c>
      <c r="B199" s="59" t="s">
        <v>1806</v>
      </c>
      <c r="C199" s="59" t="s">
        <v>108</v>
      </c>
      <c r="D199" s="65" t="s">
        <v>1458</v>
      </c>
      <c r="E199" s="65" t="s">
        <v>71</v>
      </c>
    </row>
    <row r="200" spans="1:5">
      <c r="A200" s="59" t="s">
        <v>1807</v>
      </c>
      <c r="B200" s="59" t="s">
        <v>1808</v>
      </c>
      <c r="C200" s="59" t="s">
        <v>1521</v>
      </c>
      <c r="D200" s="59" t="s">
        <v>1371</v>
      </c>
      <c r="E200" s="59" t="s">
        <v>71</v>
      </c>
    </row>
    <row r="201" spans="1:5">
      <c r="A201" s="59" t="s">
        <v>1809</v>
      </c>
      <c r="B201" s="59" t="s">
        <v>1810</v>
      </c>
      <c r="C201" s="59" t="s">
        <v>377</v>
      </c>
      <c r="D201" s="65" t="s">
        <v>598</v>
      </c>
      <c r="E201" s="65" t="s">
        <v>71</v>
      </c>
    </row>
    <row r="202" spans="1:5">
      <c r="A202" s="59" t="s">
        <v>1811</v>
      </c>
      <c r="B202" s="59" t="s">
        <v>1812</v>
      </c>
      <c r="C202" s="59" t="s">
        <v>1401</v>
      </c>
      <c r="D202" s="59" t="s">
        <v>1477</v>
      </c>
      <c r="E202" s="59" t="s">
        <v>71</v>
      </c>
    </row>
    <row r="203" spans="1:5">
      <c r="A203" s="59" t="s">
        <v>1813</v>
      </c>
      <c r="B203" s="59" t="s">
        <v>1814</v>
      </c>
      <c r="C203" s="59" t="s">
        <v>288</v>
      </c>
      <c r="D203" s="59" t="s">
        <v>1371</v>
      </c>
      <c r="E203" s="59" t="s">
        <v>71</v>
      </c>
    </row>
    <row r="204" spans="1:5">
      <c r="A204" s="59" t="s">
        <v>1815</v>
      </c>
      <c r="B204" s="59" t="s">
        <v>1816</v>
      </c>
      <c r="C204" s="59" t="s">
        <v>1404</v>
      </c>
      <c r="D204" s="59" t="s">
        <v>1395</v>
      </c>
      <c r="E204" s="59" t="s">
        <v>71</v>
      </c>
    </row>
    <row r="205" spans="1:5">
      <c r="A205" s="59" t="s">
        <v>1817</v>
      </c>
      <c r="B205" s="59" t="s">
        <v>1818</v>
      </c>
      <c r="C205" s="59" t="s">
        <v>488</v>
      </c>
      <c r="D205" s="59" t="s">
        <v>1371</v>
      </c>
      <c r="E205" s="59" t="s">
        <v>71</v>
      </c>
    </row>
    <row r="206" spans="1:5">
      <c r="A206" s="59" t="s">
        <v>1819</v>
      </c>
      <c r="B206" s="59" t="s">
        <v>1820</v>
      </c>
      <c r="C206" s="59" t="s">
        <v>653</v>
      </c>
      <c r="D206" s="59" t="s">
        <v>1455</v>
      </c>
      <c r="E206" s="59" t="s">
        <v>71</v>
      </c>
    </row>
    <row r="207" spans="1:5">
      <c r="A207" s="59" t="s">
        <v>1821</v>
      </c>
      <c r="B207" s="59" t="s">
        <v>86</v>
      </c>
      <c r="C207" s="59" t="s">
        <v>467</v>
      </c>
      <c r="D207" s="59" t="s">
        <v>1458</v>
      </c>
      <c r="E207" s="59" t="s">
        <v>122</v>
      </c>
    </row>
    <row r="208" spans="1:5">
      <c r="A208" s="59" t="s">
        <v>1822</v>
      </c>
      <c r="B208" s="59" t="s">
        <v>1823</v>
      </c>
      <c r="C208" s="59" t="s">
        <v>244</v>
      </c>
      <c r="D208" s="59" t="s">
        <v>1458</v>
      </c>
      <c r="E208" s="59" t="s">
        <v>71</v>
      </c>
    </row>
    <row r="209" spans="1:5">
      <c r="A209" s="59" t="s">
        <v>1824</v>
      </c>
      <c r="B209" s="59" t="s">
        <v>1825</v>
      </c>
      <c r="C209" s="59" t="s">
        <v>108</v>
      </c>
      <c r="D209" s="65" t="s">
        <v>1458</v>
      </c>
      <c r="E209" s="65" t="s">
        <v>71</v>
      </c>
    </row>
    <row r="210" spans="1:5">
      <c r="A210" s="59" t="s">
        <v>1826</v>
      </c>
      <c r="B210" s="59" t="s">
        <v>1827</v>
      </c>
      <c r="C210" s="59" t="s">
        <v>475</v>
      </c>
      <c r="D210" s="59" t="s">
        <v>1395</v>
      </c>
      <c r="E210" s="59" t="s">
        <v>71</v>
      </c>
    </row>
    <row r="211" spans="1:5">
      <c r="A211" s="59" t="s">
        <v>1828</v>
      </c>
      <c r="B211" s="59" t="s">
        <v>1829</v>
      </c>
      <c r="C211" s="59" t="s">
        <v>892</v>
      </c>
      <c r="D211" s="59" t="s">
        <v>1455</v>
      </c>
      <c r="E211" s="59" t="s">
        <v>71</v>
      </c>
    </row>
    <row r="212" spans="1:5">
      <c r="A212" s="59" t="s">
        <v>1830</v>
      </c>
      <c r="B212" s="59" t="s">
        <v>1831</v>
      </c>
      <c r="C212" s="59" t="s">
        <v>211</v>
      </c>
      <c r="D212" s="65" t="s">
        <v>1458</v>
      </c>
      <c r="E212" s="65" t="s">
        <v>71</v>
      </c>
    </row>
    <row r="213" spans="1:5">
      <c r="A213" s="59" t="s">
        <v>1832</v>
      </c>
      <c r="B213" s="59" t="s">
        <v>1833</v>
      </c>
      <c r="C213" s="59" t="s">
        <v>602</v>
      </c>
      <c r="D213" s="59" t="s">
        <v>1477</v>
      </c>
      <c r="E213" s="59" t="s">
        <v>71</v>
      </c>
    </row>
    <row r="214" spans="1:5">
      <c r="A214" s="59" t="s">
        <v>1834</v>
      </c>
      <c r="B214" s="59" t="s">
        <v>1835</v>
      </c>
      <c r="C214" s="59" t="s">
        <v>455</v>
      </c>
      <c r="D214" s="59" t="s">
        <v>1371</v>
      </c>
      <c r="E214" s="59" t="s">
        <v>71</v>
      </c>
    </row>
    <row r="215" spans="1:5">
      <c r="A215" s="59" t="s">
        <v>1836</v>
      </c>
      <c r="B215" s="59" t="s">
        <v>1837</v>
      </c>
      <c r="C215" s="59" t="s">
        <v>306</v>
      </c>
      <c r="D215" s="59" t="s">
        <v>1477</v>
      </c>
      <c r="E215" s="59" t="s">
        <v>71</v>
      </c>
    </row>
    <row r="216" spans="1:5">
      <c r="A216" s="59" t="s">
        <v>1838</v>
      </c>
      <c r="B216" s="59" t="s">
        <v>1839</v>
      </c>
      <c r="C216" s="59" t="s">
        <v>108</v>
      </c>
      <c r="D216" s="59" t="s">
        <v>1458</v>
      </c>
      <c r="E216" s="59" t="s">
        <v>71</v>
      </c>
    </row>
    <row r="217" spans="1:5">
      <c r="A217" s="59" t="s">
        <v>1840</v>
      </c>
      <c r="B217" s="59" t="s">
        <v>1841</v>
      </c>
      <c r="C217" s="59" t="s">
        <v>939</v>
      </c>
      <c r="D217" s="59" t="s">
        <v>1455</v>
      </c>
      <c r="E217" s="59" t="s">
        <v>1456</v>
      </c>
    </row>
    <row r="218" spans="1:5">
      <c r="A218" s="59" t="s">
        <v>1842</v>
      </c>
      <c r="B218" s="59" t="s">
        <v>1843</v>
      </c>
      <c r="C218" s="59" t="s">
        <v>939</v>
      </c>
      <c r="D218" s="65" t="s">
        <v>1455</v>
      </c>
      <c r="E218" s="65" t="s">
        <v>1456</v>
      </c>
    </row>
    <row r="219" spans="1:5">
      <c r="A219" s="59" t="s">
        <v>1844</v>
      </c>
      <c r="B219" s="59" t="s">
        <v>1845</v>
      </c>
      <c r="C219" s="59" t="s">
        <v>1403</v>
      </c>
      <c r="D219" s="59" t="s">
        <v>1458</v>
      </c>
      <c r="E219" s="59" t="s">
        <v>71</v>
      </c>
    </row>
    <row r="220" spans="1:5">
      <c r="A220" s="59" t="s">
        <v>1846</v>
      </c>
      <c r="B220" s="59" t="s">
        <v>1847</v>
      </c>
      <c r="C220" s="59" t="s">
        <v>625</v>
      </c>
      <c r="D220" s="59" t="s">
        <v>1455</v>
      </c>
      <c r="E220" s="59" t="s">
        <v>1456</v>
      </c>
    </row>
    <row r="221" spans="1:5">
      <c r="A221" s="59" t="s">
        <v>1848</v>
      </c>
      <c r="B221" s="59" t="s">
        <v>1849</v>
      </c>
      <c r="C221" s="59" t="s">
        <v>431</v>
      </c>
      <c r="D221" s="59" t="s">
        <v>1477</v>
      </c>
      <c r="E221" s="59" t="s">
        <v>71</v>
      </c>
    </row>
    <row r="222" spans="1:5">
      <c r="A222" s="59" t="s">
        <v>1850</v>
      </c>
      <c r="B222" s="59" t="s">
        <v>1851</v>
      </c>
      <c r="C222" s="59" t="s">
        <v>89</v>
      </c>
      <c r="D222" s="59" t="s">
        <v>89</v>
      </c>
      <c r="E222" s="59" t="s">
        <v>71</v>
      </c>
    </row>
    <row r="223" spans="1:5">
      <c r="A223" s="59" t="s">
        <v>1852</v>
      </c>
      <c r="B223" s="59" t="s">
        <v>1853</v>
      </c>
      <c r="C223" s="59" t="s">
        <v>602</v>
      </c>
      <c r="D223" s="65" t="s">
        <v>1477</v>
      </c>
      <c r="E223" s="65" t="s">
        <v>71</v>
      </c>
    </row>
    <row r="224" spans="1:5">
      <c r="A224" s="59" t="s">
        <v>1854</v>
      </c>
      <c r="B224" s="59" t="s">
        <v>1855</v>
      </c>
      <c r="C224" s="59" t="s">
        <v>455</v>
      </c>
      <c r="D224" s="59" t="s">
        <v>1407</v>
      </c>
      <c r="E224" s="59" t="s">
        <v>31</v>
      </c>
    </row>
    <row r="225" spans="1:5">
      <c r="A225" s="59" t="s">
        <v>1856</v>
      </c>
      <c r="B225" s="59" t="s">
        <v>1857</v>
      </c>
      <c r="C225" s="59" t="s">
        <v>960</v>
      </c>
      <c r="D225" s="59" t="s">
        <v>1477</v>
      </c>
      <c r="E225" s="59" t="s">
        <v>71</v>
      </c>
    </row>
    <row r="226" spans="1:5">
      <c r="A226" s="59" t="s">
        <v>1858</v>
      </c>
      <c r="B226" s="59" t="s">
        <v>1859</v>
      </c>
      <c r="C226" s="59" t="s">
        <v>1551</v>
      </c>
      <c r="D226" s="65" t="s">
        <v>0</v>
      </c>
      <c r="E226" s="65" t="s">
        <v>122</v>
      </c>
    </row>
    <row r="227" spans="1:5">
      <c r="A227" s="59" t="s">
        <v>1860</v>
      </c>
      <c r="B227" s="59" t="s">
        <v>1861</v>
      </c>
      <c r="C227" s="59" t="s">
        <v>1014</v>
      </c>
      <c r="D227" s="59" t="s">
        <v>1458</v>
      </c>
      <c r="E227" s="59" t="s">
        <v>1456</v>
      </c>
    </row>
    <row r="228" spans="1:5">
      <c r="A228" s="59" t="s">
        <v>1012</v>
      </c>
      <c r="B228" s="59" t="s">
        <v>1862</v>
      </c>
      <c r="C228" s="59" t="s">
        <v>117</v>
      </c>
      <c r="D228" s="59" t="s">
        <v>1477</v>
      </c>
      <c r="E228" s="59" t="s">
        <v>71</v>
      </c>
    </row>
    <row r="229" spans="1:5">
      <c r="A229" s="59" t="s">
        <v>1863</v>
      </c>
      <c r="B229" s="59" t="s">
        <v>1864</v>
      </c>
      <c r="C229" s="59" t="s">
        <v>1021</v>
      </c>
      <c r="D229" s="59" t="s">
        <v>1395</v>
      </c>
      <c r="E229" s="59" t="s">
        <v>71</v>
      </c>
    </row>
    <row r="230" spans="1:5">
      <c r="A230" s="59" t="s">
        <v>1865</v>
      </c>
      <c r="B230" s="59" t="s">
        <v>1866</v>
      </c>
      <c r="C230" s="59" t="s">
        <v>488</v>
      </c>
      <c r="D230" s="59" t="s">
        <v>1371</v>
      </c>
      <c r="E230" s="59" t="s">
        <v>1456</v>
      </c>
    </row>
    <row r="231" spans="1:5">
      <c r="A231" s="59" t="s">
        <v>1867</v>
      </c>
      <c r="B231" s="59" t="s">
        <v>1868</v>
      </c>
      <c r="C231" s="59" t="s">
        <v>960</v>
      </c>
      <c r="D231" s="59" t="s">
        <v>1477</v>
      </c>
      <c r="E231" s="59" t="s">
        <v>71</v>
      </c>
    </row>
    <row r="232" spans="1:5">
      <c r="A232" s="59" t="s">
        <v>1869</v>
      </c>
      <c r="B232" s="59" t="s">
        <v>1870</v>
      </c>
      <c r="C232" s="59" t="s">
        <v>181</v>
      </c>
      <c r="D232" s="59" t="s">
        <v>1477</v>
      </c>
      <c r="E232" s="59" t="s">
        <v>71</v>
      </c>
    </row>
    <row r="233" spans="1:5">
      <c r="A233" s="59" t="s">
        <v>1871</v>
      </c>
      <c r="B233" s="59" t="s">
        <v>1872</v>
      </c>
      <c r="C233" s="59" t="s">
        <v>244</v>
      </c>
      <c r="D233" s="59" t="s">
        <v>1458</v>
      </c>
      <c r="E233" s="59" t="s">
        <v>71</v>
      </c>
    </row>
    <row r="234" spans="1:5">
      <c r="A234" s="59" t="s">
        <v>1873</v>
      </c>
      <c r="B234" s="59" t="s">
        <v>1874</v>
      </c>
      <c r="C234" s="59" t="s">
        <v>1771</v>
      </c>
      <c r="D234" s="59" t="s">
        <v>1407</v>
      </c>
      <c r="E234" s="59" t="s">
        <v>31</v>
      </c>
    </row>
    <row r="235" spans="1:5">
      <c r="A235" s="59" t="s">
        <v>1875</v>
      </c>
      <c r="B235" s="59" t="s">
        <v>1876</v>
      </c>
      <c r="C235" s="59" t="s">
        <v>1404</v>
      </c>
      <c r="D235" s="65" t="s">
        <v>1395</v>
      </c>
      <c r="E235" s="59" t="s">
        <v>71</v>
      </c>
    </row>
    <row r="236" spans="1:5">
      <c r="A236" s="59" t="s">
        <v>1877</v>
      </c>
      <c r="B236" s="59" t="s">
        <v>1878</v>
      </c>
      <c r="C236" s="59" t="s">
        <v>377</v>
      </c>
      <c r="D236" s="65" t="s">
        <v>598</v>
      </c>
      <c r="E236" s="65" t="s">
        <v>71</v>
      </c>
    </row>
    <row r="237" spans="1:5">
      <c r="A237" s="59" t="s">
        <v>1879</v>
      </c>
      <c r="B237" s="59" t="s">
        <v>247</v>
      </c>
      <c r="C237" s="59" t="s">
        <v>411</v>
      </c>
      <c r="D237" s="59" t="s">
        <v>1458</v>
      </c>
      <c r="E237" s="59" t="s">
        <v>71</v>
      </c>
    </row>
    <row r="238" spans="1:5">
      <c r="A238" s="59" t="s">
        <v>246</v>
      </c>
      <c r="B238" s="59" t="s">
        <v>247</v>
      </c>
      <c r="C238" s="59" t="s">
        <v>244</v>
      </c>
      <c r="D238" s="59" t="s">
        <v>1458</v>
      </c>
      <c r="E238" s="59" t="s">
        <v>71</v>
      </c>
    </row>
    <row r="239" spans="1:5">
      <c r="A239" s="59" t="s">
        <v>1880</v>
      </c>
      <c r="B239" s="59" t="s">
        <v>1881</v>
      </c>
      <c r="C239" s="59" t="s">
        <v>377</v>
      </c>
      <c r="D239" s="65" t="s">
        <v>598</v>
      </c>
      <c r="E239" s="65" t="s">
        <v>71</v>
      </c>
    </row>
    <row r="240" spans="1:5">
      <c r="A240" s="59" t="s">
        <v>1882</v>
      </c>
      <c r="B240" s="59" t="s">
        <v>1883</v>
      </c>
      <c r="C240" s="59" t="s">
        <v>89</v>
      </c>
      <c r="D240" s="59" t="s">
        <v>89</v>
      </c>
      <c r="E240" s="59" t="s">
        <v>1456</v>
      </c>
    </row>
    <row r="241" spans="1:5">
      <c r="A241" s="59" t="s">
        <v>1884</v>
      </c>
      <c r="B241" s="59" t="s">
        <v>1885</v>
      </c>
      <c r="C241" s="59" t="s">
        <v>1480</v>
      </c>
      <c r="D241" s="59" t="s">
        <v>1455</v>
      </c>
      <c r="E241" s="59" t="s">
        <v>71</v>
      </c>
    </row>
    <row r="242" spans="1:5">
      <c r="A242" s="59" t="s">
        <v>1886</v>
      </c>
      <c r="B242" s="59" t="s">
        <v>1887</v>
      </c>
      <c r="C242" s="59" t="s">
        <v>1002</v>
      </c>
      <c r="D242" s="65" t="s">
        <v>0</v>
      </c>
      <c r="E242" s="65" t="s">
        <v>122</v>
      </c>
    </row>
    <row r="243" spans="1:5">
      <c r="A243" s="59" t="s">
        <v>1888</v>
      </c>
      <c r="B243" s="59" t="s">
        <v>1889</v>
      </c>
      <c r="C243" s="59" t="s">
        <v>156</v>
      </c>
      <c r="D243" s="59" t="s">
        <v>1455</v>
      </c>
      <c r="E243" s="59" t="s">
        <v>71</v>
      </c>
    </row>
    <row r="244" spans="1:5">
      <c r="A244" s="59" t="s">
        <v>1890</v>
      </c>
      <c r="B244" s="59" t="s">
        <v>1891</v>
      </c>
      <c r="C244" s="59" t="s">
        <v>288</v>
      </c>
      <c r="D244" s="59" t="s">
        <v>1371</v>
      </c>
      <c r="E244" s="59" t="s">
        <v>71</v>
      </c>
    </row>
    <row r="245" spans="1:5">
      <c r="A245" s="59" t="s">
        <v>1892</v>
      </c>
      <c r="B245" s="59" t="s">
        <v>1893</v>
      </c>
      <c r="C245" s="59" t="s">
        <v>455</v>
      </c>
      <c r="D245" s="59" t="s">
        <v>1407</v>
      </c>
      <c r="E245" s="59" t="s">
        <v>31</v>
      </c>
    </row>
    <row r="246" spans="1:5">
      <c r="A246" s="59" t="s">
        <v>1894</v>
      </c>
      <c r="B246" s="59" t="s">
        <v>1895</v>
      </c>
      <c r="C246" s="59" t="s">
        <v>941</v>
      </c>
      <c r="D246" s="59" t="s">
        <v>1458</v>
      </c>
      <c r="E246" s="59" t="s">
        <v>71</v>
      </c>
    </row>
    <row r="247" spans="1:5">
      <c r="A247" s="59" t="s">
        <v>1896</v>
      </c>
      <c r="B247" s="59" t="s">
        <v>1897</v>
      </c>
      <c r="C247" s="59" t="s">
        <v>1410</v>
      </c>
      <c r="D247" s="59" t="s">
        <v>1458</v>
      </c>
      <c r="E247" s="59" t="s">
        <v>71</v>
      </c>
    </row>
    <row r="248" spans="1:5">
      <c r="A248" s="59" t="s">
        <v>1898</v>
      </c>
      <c r="B248" s="59" t="s">
        <v>1899</v>
      </c>
      <c r="C248" s="59" t="s">
        <v>1398</v>
      </c>
      <c r="D248" s="59" t="s">
        <v>1395</v>
      </c>
      <c r="E248" s="59" t="s">
        <v>71</v>
      </c>
    </row>
    <row r="249" spans="1:5">
      <c r="A249" s="59" t="s">
        <v>1900</v>
      </c>
      <c r="B249" s="59" t="s">
        <v>1901</v>
      </c>
      <c r="C249" s="59" t="s">
        <v>960</v>
      </c>
      <c r="D249" s="59" t="s">
        <v>1477</v>
      </c>
      <c r="E249" s="59" t="s">
        <v>71</v>
      </c>
    </row>
    <row r="250" spans="1:5">
      <c r="A250" s="59" t="s">
        <v>1902</v>
      </c>
      <c r="B250" s="59" t="s">
        <v>1903</v>
      </c>
      <c r="C250" s="59" t="s">
        <v>916</v>
      </c>
      <c r="D250" s="59" t="s">
        <v>1455</v>
      </c>
      <c r="E250" s="59" t="s">
        <v>71</v>
      </c>
    </row>
    <row r="251" spans="1:5">
      <c r="A251" s="59" t="s">
        <v>1904</v>
      </c>
      <c r="B251" s="59" t="s">
        <v>1905</v>
      </c>
      <c r="C251" s="59" t="s">
        <v>411</v>
      </c>
      <c r="D251" s="59" t="s">
        <v>1458</v>
      </c>
      <c r="E251" s="59" t="s">
        <v>71</v>
      </c>
    </row>
    <row r="252" spans="1:5">
      <c r="A252" s="59" t="s">
        <v>1906</v>
      </c>
      <c r="B252" s="59" t="s">
        <v>1907</v>
      </c>
      <c r="C252" s="59" t="s">
        <v>916</v>
      </c>
      <c r="D252" s="59" t="s">
        <v>1455</v>
      </c>
      <c r="E252" s="59" t="s">
        <v>71</v>
      </c>
    </row>
    <row r="253" spans="1:5">
      <c r="A253" s="59" t="s">
        <v>1908</v>
      </c>
      <c r="B253" s="59" t="s">
        <v>1909</v>
      </c>
      <c r="C253" s="59" t="s">
        <v>244</v>
      </c>
      <c r="D253" s="59" t="s">
        <v>1458</v>
      </c>
      <c r="E253" s="59" t="s">
        <v>71</v>
      </c>
    </row>
    <row r="254" spans="1:5">
      <c r="A254" s="59" t="s">
        <v>729</v>
      </c>
      <c r="B254" s="59" t="s">
        <v>730</v>
      </c>
      <c r="C254" s="59" t="s">
        <v>572</v>
      </c>
      <c r="D254" s="65" t="s">
        <v>1455</v>
      </c>
      <c r="E254" s="65" t="s">
        <v>71</v>
      </c>
    </row>
    <row r="255" spans="1:5">
      <c r="A255" s="59" t="s">
        <v>1910</v>
      </c>
      <c r="B255" s="59" t="s">
        <v>1911</v>
      </c>
      <c r="C255" s="59" t="s">
        <v>1404</v>
      </c>
      <c r="D255" s="59" t="s">
        <v>1395</v>
      </c>
      <c r="E255" s="59" t="s">
        <v>71</v>
      </c>
    </row>
    <row r="256" spans="1:5">
      <c r="A256" s="59" t="s">
        <v>1912</v>
      </c>
      <c r="B256" s="59" t="s">
        <v>1913</v>
      </c>
      <c r="C256" s="59" t="s">
        <v>935</v>
      </c>
      <c r="D256" s="59" t="s">
        <v>1477</v>
      </c>
      <c r="E256" s="59" t="s">
        <v>71</v>
      </c>
    </row>
    <row r="257" spans="1:5">
      <c r="A257" s="59" t="s">
        <v>1914</v>
      </c>
      <c r="B257" s="59" t="s">
        <v>1915</v>
      </c>
      <c r="C257" s="59" t="s">
        <v>1021</v>
      </c>
      <c r="D257" s="59" t="s">
        <v>1395</v>
      </c>
      <c r="E257" s="59" t="s">
        <v>71</v>
      </c>
    </row>
    <row r="258" spans="1:5">
      <c r="A258" s="59" t="s">
        <v>1916</v>
      </c>
      <c r="B258" s="59" t="s">
        <v>1917</v>
      </c>
      <c r="C258" s="59" t="s">
        <v>593</v>
      </c>
      <c r="D258" s="65" t="s">
        <v>1455</v>
      </c>
      <c r="E258" s="65" t="s">
        <v>1456</v>
      </c>
    </row>
    <row r="259" spans="1:5">
      <c r="A259" s="59" t="s">
        <v>1918</v>
      </c>
      <c r="B259" s="59" t="s">
        <v>1919</v>
      </c>
      <c r="C259" s="59" t="s">
        <v>211</v>
      </c>
      <c r="D259" s="59" t="s">
        <v>1458</v>
      </c>
      <c r="E259" s="59" t="s">
        <v>71</v>
      </c>
    </row>
    <row r="260" spans="1:5">
      <c r="A260" s="59" t="s">
        <v>1920</v>
      </c>
      <c r="B260" s="59" t="s">
        <v>1921</v>
      </c>
      <c r="C260" s="59" t="s">
        <v>377</v>
      </c>
      <c r="D260" s="65" t="s">
        <v>598</v>
      </c>
      <c r="E260" s="65" t="s">
        <v>71</v>
      </c>
    </row>
    <row r="261" spans="1:5">
      <c r="A261" s="59" t="s">
        <v>1922</v>
      </c>
      <c r="B261" s="59" t="s">
        <v>1923</v>
      </c>
      <c r="C261" s="59" t="s">
        <v>921</v>
      </c>
      <c r="D261" s="59" t="s">
        <v>1477</v>
      </c>
      <c r="E261" s="59" t="s">
        <v>71</v>
      </c>
    </row>
    <row r="262" spans="1:5">
      <c r="A262" s="59" t="s">
        <v>1924</v>
      </c>
      <c r="B262" s="59" t="s">
        <v>1925</v>
      </c>
      <c r="C262" s="59" t="s">
        <v>651</v>
      </c>
      <c r="D262" s="59" t="s">
        <v>1455</v>
      </c>
      <c r="E262" s="59" t="s">
        <v>1456</v>
      </c>
    </row>
    <row r="263" spans="1:5">
      <c r="A263" s="59" t="s">
        <v>1926</v>
      </c>
      <c r="B263" s="59" t="s">
        <v>1927</v>
      </c>
      <c r="C263" s="59" t="s">
        <v>916</v>
      </c>
      <c r="D263" s="59" t="s">
        <v>1455</v>
      </c>
      <c r="E263" s="59" t="s">
        <v>71</v>
      </c>
    </row>
    <row r="264" spans="1:5">
      <c r="A264" s="59" t="s">
        <v>1928</v>
      </c>
      <c r="B264" s="59" t="s">
        <v>646</v>
      </c>
      <c r="C264" s="59" t="s">
        <v>311</v>
      </c>
      <c r="D264" s="65" t="s">
        <v>1477</v>
      </c>
      <c r="E264" s="65" t="s">
        <v>71</v>
      </c>
    </row>
    <row r="265" spans="1:5">
      <c r="A265" s="59" t="s">
        <v>645</v>
      </c>
      <c r="B265" s="59" t="s">
        <v>646</v>
      </c>
      <c r="C265" s="59" t="s">
        <v>431</v>
      </c>
      <c r="D265" s="59" t="s">
        <v>1477</v>
      </c>
      <c r="E265" s="59" t="s">
        <v>71</v>
      </c>
    </row>
    <row r="266" spans="1:5">
      <c r="A266" s="59" t="s">
        <v>1929</v>
      </c>
      <c r="B266" s="59" t="s">
        <v>1930</v>
      </c>
      <c r="C266" s="59" t="s">
        <v>653</v>
      </c>
      <c r="D266" s="59" t="s">
        <v>1455</v>
      </c>
      <c r="E266" s="59" t="s">
        <v>71</v>
      </c>
    </row>
    <row r="267" spans="1:5">
      <c r="A267" s="59" t="s">
        <v>1931</v>
      </c>
      <c r="B267" s="59" t="s">
        <v>1932</v>
      </c>
      <c r="C267" s="59" t="s">
        <v>181</v>
      </c>
      <c r="D267" s="59" t="s">
        <v>1477</v>
      </c>
      <c r="E267" s="59" t="s">
        <v>71</v>
      </c>
    </row>
    <row r="268" spans="1:5">
      <c r="A268" s="59" t="s">
        <v>1933</v>
      </c>
      <c r="B268" s="59" t="s">
        <v>1934</v>
      </c>
      <c r="C268" s="59" t="s">
        <v>377</v>
      </c>
      <c r="D268" s="65" t="s">
        <v>598</v>
      </c>
      <c r="E268" s="65" t="s">
        <v>71</v>
      </c>
    </row>
    <row r="269" spans="1:5">
      <c r="A269" s="59" t="s">
        <v>1931</v>
      </c>
      <c r="B269" s="59" t="s">
        <v>1935</v>
      </c>
      <c r="C269" s="59" t="s">
        <v>960</v>
      </c>
      <c r="D269" s="59" t="s">
        <v>1477</v>
      </c>
      <c r="E269" s="59" t="s">
        <v>71</v>
      </c>
    </row>
    <row r="270" spans="1:5">
      <c r="A270" s="59" t="s">
        <v>1936</v>
      </c>
      <c r="B270" s="59" t="s">
        <v>1937</v>
      </c>
      <c r="C270" s="59" t="s">
        <v>89</v>
      </c>
      <c r="D270" s="59" t="s">
        <v>89</v>
      </c>
      <c r="E270" s="59" t="s">
        <v>1456</v>
      </c>
    </row>
    <row r="271" spans="1:5">
      <c r="A271" s="59" t="s">
        <v>1938</v>
      </c>
      <c r="B271" s="59" t="s">
        <v>1939</v>
      </c>
      <c r="C271" s="59" t="s">
        <v>1480</v>
      </c>
      <c r="D271" s="59" t="s">
        <v>1455</v>
      </c>
      <c r="E271" s="59" t="s">
        <v>71</v>
      </c>
    </row>
    <row r="272" spans="1:5">
      <c r="A272" s="59" t="s">
        <v>1940</v>
      </c>
      <c r="B272" s="59" t="s">
        <v>1941</v>
      </c>
      <c r="C272" s="59" t="s">
        <v>825</v>
      </c>
      <c r="D272" s="59" t="s">
        <v>1455</v>
      </c>
      <c r="E272" s="59" t="s">
        <v>1456</v>
      </c>
    </row>
    <row r="273" spans="1:5">
      <c r="A273" s="59" t="s">
        <v>1018</v>
      </c>
      <c r="B273" s="59" t="s">
        <v>1942</v>
      </c>
      <c r="C273" s="59" t="s">
        <v>488</v>
      </c>
      <c r="D273" s="59" t="s">
        <v>1371</v>
      </c>
      <c r="E273" s="59" t="s">
        <v>71</v>
      </c>
    </row>
    <row r="274" spans="1:5">
      <c r="A274" s="59" t="s">
        <v>1943</v>
      </c>
      <c r="B274" s="59" t="s">
        <v>1944</v>
      </c>
      <c r="C274" s="59" t="s">
        <v>1945</v>
      </c>
      <c r="D274" s="65" t="s">
        <v>0</v>
      </c>
      <c r="E274" s="65" t="s">
        <v>122</v>
      </c>
    </row>
    <row r="275" spans="1:5">
      <c r="A275" s="59" t="s">
        <v>1946</v>
      </c>
      <c r="B275" s="59" t="s">
        <v>1947</v>
      </c>
      <c r="C275" s="59" t="s">
        <v>1021</v>
      </c>
      <c r="D275" s="59" t="s">
        <v>1395</v>
      </c>
      <c r="E275" s="59" t="s">
        <v>71</v>
      </c>
    </row>
    <row r="276" spans="1:5">
      <c r="A276" s="59" t="s">
        <v>1948</v>
      </c>
      <c r="B276" s="59" t="s">
        <v>1949</v>
      </c>
      <c r="C276" s="59" t="s">
        <v>377</v>
      </c>
      <c r="D276" s="65" t="s">
        <v>598</v>
      </c>
      <c r="E276" s="65" t="s">
        <v>71</v>
      </c>
    </row>
    <row r="277" spans="1:5">
      <c r="A277" s="59" t="s">
        <v>1950</v>
      </c>
      <c r="B277" s="59" t="s">
        <v>1951</v>
      </c>
      <c r="C277" s="59" t="s">
        <v>377</v>
      </c>
      <c r="D277" s="65" t="s">
        <v>598</v>
      </c>
      <c r="E277" s="65" t="s">
        <v>71</v>
      </c>
    </row>
    <row r="278" spans="1:5">
      <c r="A278" s="59" t="s">
        <v>1952</v>
      </c>
      <c r="B278" s="59" t="s">
        <v>1953</v>
      </c>
      <c r="C278" s="59" t="s">
        <v>919</v>
      </c>
      <c r="D278" s="59" t="s">
        <v>1477</v>
      </c>
      <c r="E278" s="59" t="s">
        <v>71</v>
      </c>
    </row>
    <row r="279" spans="1:5">
      <c r="A279" s="59" t="s">
        <v>1954</v>
      </c>
      <c r="B279" s="59" t="s">
        <v>1955</v>
      </c>
      <c r="C279" s="59" t="s">
        <v>221</v>
      </c>
      <c r="D279" s="59" t="s">
        <v>1477</v>
      </c>
      <c r="E279" s="59" t="s">
        <v>71</v>
      </c>
    </row>
    <row r="280" spans="1:5">
      <c r="A280" s="59" t="s">
        <v>1956</v>
      </c>
      <c r="B280" s="59" t="s">
        <v>1957</v>
      </c>
      <c r="C280" s="59" t="s">
        <v>1480</v>
      </c>
      <c r="D280" s="59" t="s">
        <v>1455</v>
      </c>
      <c r="E280" s="59" t="s">
        <v>71</v>
      </c>
    </row>
    <row r="281" spans="1:5">
      <c r="A281" s="59" t="s">
        <v>1958</v>
      </c>
      <c r="B281" s="59" t="s">
        <v>1959</v>
      </c>
      <c r="C281" s="59" t="s">
        <v>509</v>
      </c>
      <c r="D281" s="59" t="s">
        <v>1458</v>
      </c>
      <c r="E281" s="59" t="s">
        <v>71</v>
      </c>
    </row>
    <row r="282" spans="1:5">
      <c r="A282" s="59" t="s">
        <v>1960</v>
      </c>
      <c r="B282" s="59" t="s">
        <v>1961</v>
      </c>
      <c r="C282" s="59" t="s">
        <v>926</v>
      </c>
      <c r="D282" s="59" t="s">
        <v>1458</v>
      </c>
      <c r="E282" s="59" t="s">
        <v>1456</v>
      </c>
    </row>
    <row r="283" spans="1:5">
      <c r="A283" s="59" t="s">
        <v>1962</v>
      </c>
      <c r="B283" s="59" t="s">
        <v>1963</v>
      </c>
      <c r="C283" s="59" t="s">
        <v>117</v>
      </c>
      <c r="D283" s="59" t="s">
        <v>1477</v>
      </c>
      <c r="E283" s="59" t="s">
        <v>71</v>
      </c>
    </row>
    <row r="284" spans="1:5">
      <c r="A284" s="59" t="s">
        <v>1964</v>
      </c>
      <c r="B284" s="59" t="s">
        <v>1965</v>
      </c>
      <c r="C284" s="59" t="s">
        <v>62</v>
      </c>
      <c r="D284" s="59" t="s">
        <v>1395</v>
      </c>
      <c r="E284" s="59" t="s">
        <v>71</v>
      </c>
    </row>
    <row r="285" spans="1:5">
      <c r="A285" s="59" t="s">
        <v>1966</v>
      </c>
      <c r="B285" s="59" t="s">
        <v>1967</v>
      </c>
      <c r="C285" s="59" t="s">
        <v>377</v>
      </c>
      <c r="D285" s="65" t="s">
        <v>598</v>
      </c>
      <c r="E285" s="65" t="s">
        <v>71</v>
      </c>
    </row>
    <row r="286" spans="1:5">
      <c r="A286" s="59" t="s">
        <v>1968</v>
      </c>
      <c r="B286" s="59" t="s">
        <v>1969</v>
      </c>
      <c r="C286" s="59" t="s">
        <v>921</v>
      </c>
      <c r="D286" s="59" t="s">
        <v>1477</v>
      </c>
      <c r="E286" s="59" t="s">
        <v>71</v>
      </c>
    </row>
    <row r="287" spans="1:5">
      <c r="A287" s="59" t="s">
        <v>1970</v>
      </c>
      <c r="B287" s="59" t="s">
        <v>1971</v>
      </c>
      <c r="C287" s="59" t="s">
        <v>393</v>
      </c>
      <c r="D287" s="59" t="s">
        <v>1407</v>
      </c>
      <c r="E287" s="59" t="s">
        <v>31</v>
      </c>
    </row>
    <row r="288" spans="1:5">
      <c r="A288" s="59" t="s">
        <v>1972</v>
      </c>
      <c r="B288" s="59" t="s">
        <v>1973</v>
      </c>
      <c r="C288" s="59" t="s">
        <v>89</v>
      </c>
      <c r="D288" s="59" t="s">
        <v>89</v>
      </c>
      <c r="E288" s="59" t="s">
        <v>71</v>
      </c>
    </row>
    <row r="289" spans="1:5">
      <c r="A289" s="59" t="s">
        <v>1974</v>
      </c>
      <c r="B289" s="59" t="s">
        <v>1975</v>
      </c>
      <c r="C289" s="59" t="s">
        <v>862</v>
      </c>
      <c r="D289" s="59" t="s">
        <v>1395</v>
      </c>
      <c r="E289" s="59" t="s">
        <v>71</v>
      </c>
    </row>
    <row r="290" spans="1:5">
      <c r="A290" s="59" t="s">
        <v>1976</v>
      </c>
      <c r="B290" s="59" t="s">
        <v>1977</v>
      </c>
      <c r="C290" s="59" t="s">
        <v>1404</v>
      </c>
      <c r="D290" s="59" t="s">
        <v>1395</v>
      </c>
      <c r="E290" s="59" t="s">
        <v>1456</v>
      </c>
    </row>
    <row r="291" spans="1:5">
      <c r="A291" s="59" t="s">
        <v>1978</v>
      </c>
      <c r="B291" s="59" t="s">
        <v>1979</v>
      </c>
      <c r="C291" s="59" t="s">
        <v>377</v>
      </c>
      <c r="D291" s="65" t="s">
        <v>598</v>
      </c>
      <c r="E291" s="65" t="s">
        <v>71</v>
      </c>
    </row>
    <row r="292" spans="1:5">
      <c r="A292" s="59" t="s">
        <v>1980</v>
      </c>
      <c r="B292" s="59" t="s">
        <v>1981</v>
      </c>
      <c r="C292" s="59" t="s">
        <v>447</v>
      </c>
      <c r="D292" s="59" t="s">
        <v>1455</v>
      </c>
      <c r="E292" s="59" t="s">
        <v>71</v>
      </c>
    </row>
    <row r="293" spans="1:5">
      <c r="A293" s="59" t="s">
        <v>228</v>
      </c>
      <c r="B293" s="59" t="s">
        <v>229</v>
      </c>
      <c r="C293" s="59" t="s">
        <v>226</v>
      </c>
      <c r="D293" s="59" t="s">
        <v>1371</v>
      </c>
      <c r="E293" s="59" t="s">
        <v>71</v>
      </c>
    </row>
    <row r="294" spans="1:5">
      <c r="A294" s="59" t="s">
        <v>1982</v>
      </c>
      <c r="B294" s="59" t="s">
        <v>1983</v>
      </c>
      <c r="C294" s="59" t="s">
        <v>211</v>
      </c>
      <c r="D294" s="65" t="s">
        <v>1458</v>
      </c>
      <c r="E294" s="65" t="s">
        <v>71</v>
      </c>
    </row>
    <row r="295" spans="1:5">
      <c r="A295" s="59" t="s">
        <v>1984</v>
      </c>
      <c r="B295" s="59" t="s">
        <v>1985</v>
      </c>
      <c r="C295" s="59" t="s">
        <v>1398</v>
      </c>
      <c r="D295" s="59" t="s">
        <v>1395</v>
      </c>
      <c r="E295" s="59" t="s">
        <v>71</v>
      </c>
    </row>
    <row r="296" spans="1:5">
      <c r="A296" s="59" t="s">
        <v>1986</v>
      </c>
      <c r="B296" s="59" t="s">
        <v>1987</v>
      </c>
      <c r="C296" s="59" t="s">
        <v>939</v>
      </c>
      <c r="D296" s="59" t="s">
        <v>1455</v>
      </c>
      <c r="E296" s="59" t="s">
        <v>71</v>
      </c>
    </row>
    <row r="297" spans="1:5">
      <c r="A297" s="59" t="s">
        <v>1988</v>
      </c>
      <c r="B297" s="59" t="s">
        <v>1989</v>
      </c>
      <c r="C297" s="59" t="s">
        <v>89</v>
      </c>
      <c r="D297" s="59" t="s">
        <v>89</v>
      </c>
      <c r="E297" s="59" t="s">
        <v>71</v>
      </c>
    </row>
    <row r="298" spans="1:5">
      <c r="A298" s="59" t="s">
        <v>1990</v>
      </c>
      <c r="B298" s="59" t="s">
        <v>1991</v>
      </c>
      <c r="C298" s="59" t="s">
        <v>89</v>
      </c>
      <c r="D298" s="59" t="s">
        <v>89</v>
      </c>
      <c r="E298" s="59" t="s">
        <v>71</v>
      </c>
    </row>
    <row r="299" spans="1:5">
      <c r="A299" s="59" t="s">
        <v>1992</v>
      </c>
      <c r="B299" s="59" t="s">
        <v>1993</v>
      </c>
      <c r="C299" s="59" t="s">
        <v>267</v>
      </c>
      <c r="D299" s="59" t="s">
        <v>1395</v>
      </c>
      <c r="E299" s="59" t="s">
        <v>71</v>
      </c>
    </row>
    <row r="300" spans="1:5">
      <c r="A300" s="59" t="s">
        <v>1994</v>
      </c>
      <c r="B300" s="59" t="s">
        <v>270</v>
      </c>
      <c r="C300" s="59" t="s">
        <v>249</v>
      </c>
      <c r="D300" s="59" t="s">
        <v>1477</v>
      </c>
      <c r="E300" s="59" t="s">
        <v>71</v>
      </c>
    </row>
    <row r="301" spans="1:5">
      <c r="A301" s="59" t="s">
        <v>1995</v>
      </c>
      <c r="B301" s="59" t="s">
        <v>1996</v>
      </c>
      <c r="C301" s="59" t="s">
        <v>377</v>
      </c>
      <c r="D301" s="65" t="s">
        <v>598</v>
      </c>
      <c r="E301" s="65" t="s">
        <v>71</v>
      </c>
    </row>
    <row r="302" spans="1:5">
      <c r="A302" s="59" t="s">
        <v>1997</v>
      </c>
      <c r="B302" s="59" t="s">
        <v>1998</v>
      </c>
      <c r="C302" s="59" t="s">
        <v>1013</v>
      </c>
      <c r="D302" s="59" t="s">
        <v>1458</v>
      </c>
      <c r="E302" s="59" t="s">
        <v>71</v>
      </c>
    </row>
    <row r="303" spans="1:5">
      <c r="A303" s="59" t="s">
        <v>1999</v>
      </c>
      <c r="B303" s="59" t="s">
        <v>1998</v>
      </c>
      <c r="C303" s="59" t="s">
        <v>1013</v>
      </c>
      <c r="D303" s="59" t="s">
        <v>1458</v>
      </c>
      <c r="E303" s="59" t="s">
        <v>71</v>
      </c>
    </row>
    <row r="304" spans="1:5">
      <c r="A304" s="59" t="s">
        <v>2000</v>
      </c>
      <c r="B304" s="59" t="s">
        <v>2001</v>
      </c>
      <c r="C304" s="59" t="s">
        <v>488</v>
      </c>
      <c r="D304" s="59" t="s">
        <v>1371</v>
      </c>
      <c r="E304" s="59" t="s">
        <v>71</v>
      </c>
    </row>
    <row r="305" spans="1:5">
      <c r="A305" s="59" t="s">
        <v>2002</v>
      </c>
      <c r="B305" s="59" t="s">
        <v>2003</v>
      </c>
      <c r="C305" s="59" t="s">
        <v>509</v>
      </c>
      <c r="D305" s="59" t="s">
        <v>1458</v>
      </c>
      <c r="E305" s="59" t="s">
        <v>71</v>
      </c>
    </row>
    <row r="306" spans="1:5">
      <c r="A306" s="59" t="s">
        <v>2004</v>
      </c>
      <c r="B306" s="59" t="s">
        <v>689</v>
      </c>
      <c r="C306" s="59" t="s">
        <v>280</v>
      </c>
      <c r="D306" s="59" t="s">
        <v>1395</v>
      </c>
      <c r="E306" s="59" t="s">
        <v>71</v>
      </c>
    </row>
    <row r="307" spans="1:5">
      <c r="A307" s="59" t="s">
        <v>688</v>
      </c>
      <c r="B307" s="59" t="s">
        <v>689</v>
      </c>
      <c r="C307" s="59" t="s">
        <v>280</v>
      </c>
      <c r="D307" s="59" t="s">
        <v>1395</v>
      </c>
      <c r="E307" s="59" t="s">
        <v>1456</v>
      </c>
    </row>
    <row r="308" spans="1:5">
      <c r="A308" s="59" t="s">
        <v>2005</v>
      </c>
      <c r="B308" s="59" t="s">
        <v>2006</v>
      </c>
      <c r="C308" s="59" t="s">
        <v>455</v>
      </c>
      <c r="D308" s="59" t="s">
        <v>1371</v>
      </c>
      <c r="E308" s="59" t="s">
        <v>71</v>
      </c>
    </row>
    <row r="309" spans="1:5">
      <c r="A309" s="59" t="s">
        <v>2007</v>
      </c>
      <c r="B309" s="59" t="s">
        <v>2008</v>
      </c>
      <c r="C309" s="59" t="s">
        <v>825</v>
      </c>
      <c r="D309" s="59" t="s">
        <v>1455</v>
      </c>
      <c r="E309" s="59" t="s">
        <v>71</v>
      </c>
    </row>
    <row r="310" spans="1:5">
      <c r="A310" s="59" t="s">
        <v>2009</v>
      </c>
      <c r="B310" s="59" t="s">
        <v>2010</v>
      </c>
      <c r="C310" s="59" t="s">
        <v>108</v>
      </c>
      <c r="D310" s="59" t="s">
        <v>1458</v>
      </c>
      <c r="E310" s="59" t="s">
        <v>71</v>
      </c>
    </row>
    <row r="311" spans="1:5">
      <c r="A311" s="59" t="s">
        <v>2011</v>
      </c>
      <c r="B311" s="59" t="s">
        <v>2012</v>
      </c>
      <c r="C311" s="59" t="s">
        <v>285</v>
      </c>
      <c r="D311" s="59" t="s">
        <v>1477</v>
      </c>
      <c r="E311" s="59" t="s">
        <v>71</v>
      </c>
    </row>
    <row r="312" spans="1:5">
      <c r="A312" s="59" t="s">
        <v>2013</v>
      </c>
      <c r="B312" s="59" t="s">
        <v>2014</v>
      </c>
      <c r="C312" s="59" t="s">
        <v>1419</v>
      </c>
      <c r="D312" s="59" t="s">
        <v>1407</v>
      </c>
      <c r="E312" s="59" t="s">
        <v>31</v>
      </c>
    </row>
    <row r="313" spans="1:5">
      <c r="A313" s="59" t="s">
        <v>2015</v>
      </c>
      <c r="B313" s="59" t="s">
        <v>2016</v>
      </c>
      <c r="C313" s="59" t="s">
        <v>156</v>
      </c>
      <c r="D313" s="59" t="s">
        <v>1455</v>
      </c>
      <c r="E313" s="59" t="s">
        <v>1456</v>
      </c>
    </row>
    <row r="314" spans="1:5">
      <c r="A314" s="59" t="s">
        <v>2017</v>
      </c>
      <c r="B314" s="59" t="s">
        <v>2018</v>
      </c>
      <c r="C314" s="59" t="s">
        <v>501</v>
      </c>
      <c r="D314" s="59" t="s">
        <v>1395</v>
      </c>
      <c r="E314" s="59" t="s">
        <v>71</v>
      </c>
    </row>
    <row r="315" spans="1:5">
      <c r="A315" s="59" t="s">
        <v>2019</v>
      </c>
      <c r="B315" s="59" t="s">
        <v>2020</v>
      </c>
      <c r="C315" s="59" t="s">
        <v>517</v>
      </c>
      <c r="D315" s="59" t="s">
        <v>1395</v>
      </c>
      <c r="E315" s="59" t="s">
        <v>1456</v>
      </c>
    </row>
    <row r="316" spans="1:5">
      <c r="A316" s="59" t="s">
        <v>713</v>
      </c>
      <c r="B316" s="59" t="s">
        <v>714</v>
      </c>
      <c r="C316" s="59" t="s">
        <v>377</v>
      </c>
      <c r="D316" s="65" t="s">
        <v>598</v>
      </c>
      <c r="E316" s="65" t="s">
        <v>71</v>
      </c>
    </row>
    <row r="317" spans="1:5">
      <c r="A317" s="59" t="s">
        <v>2021</v>
      </c>
      <c r="B317" s="59" t="s">
        <v>2022</v>
      </c>
      <c r="C317" s="59" t="s">
        <v>492</v>
      </c>
      <c r="D317" s="59" t="s">
        <v>1395</v>
      </c>
      <c r="E317" s="59" t="s">
        <v>71</v>
      </c>
    </row>
    <row r="318" spans="1:5">
      <c r="A318" s="59" t="s">
        <v>2023</v>
      </c>
      <c r="B318" s="59" t="s">
        <v>2024</v>
      </c>
      <c r="C318" s="59" t="s">
        <v>249</v>
      </c>
      <c r="D318" s="59" t="s">
        <v>1477</v>
      </c>
      <c r="E318" s="59" t="s">
        <v>71</v>
      </c>
    </row>
    <row r="319" spans="1:5">
      <c r="A319" s="59" t="s">
        <v>2025</v>
      </c>
      <c r="B319" s="59" t="s">
        <v>2026</v>
      </c>
      <c r="C319" s="59" t="s">
        <v>924</v>
      </c>
      <c r="D319" s="65" t="s">
        <v>1371</v>
      </c>
      <c r="E319" s="65" t="s">
        <v>71</v>
      </c>
    </row>
    <row r="320" spans="1:5">
      <c r="A320" s="59" t="s">
        <v>2027</v>
      </c>
      <c r="B320" s="59" t="s">
        <v>2028</v>
      </c>
      <c r="C320" s="59" t="s">
        <v>267</v>
      </c>
      <c r="D320" s="59" t="s">
        <v>1395</v>
      </c>
      <c r="E320" s="59" t="s">
        <v>71</v>
      </c>
    </row>
    <row r="321" spans="1:5">
      <c r="A321" s="59" t="s">
        <v>2029</v>
      </c>
      <c r="B321" s="59" t="s">
        <v>2030</v>
      </c>
      <c r="C321" s="59" t="s">
        <v>377</v>
      </c>
      <c r="D321" s="65" t="s">
        <v>598</v>
      </c>
      <c r="E321" s="65" t="s">
        <v>71</v>
      </c>
    </row>
    <row r="322" spans="1:5">
      <c r="A322" s="59" t="s">
        <v>2031</v>
      </c>
      <c r="B322" s="59" t="s">
        <v>2032</v>
      </c>
      <c r="C322" s="59" t="s">
        <v>244</v>
      </c>
      <c r="D322" s="59" t="s">
        <v>1458</v>
      </c>
      <c r="E322" s="59" t="s">
        <v>71</v>
      </c>
    </row>
    <row r="323" spans="1:5">
      <c r="A323" s="59" t="s">
        <v>944</v>
      </c>
      <c r="B323" s="59" t="s">
        <v>2033</v>
      </c>
      <c r="C323" s="59" t="s">
        <v>78</v>
      </c>
      <c r="D323" s="59" t="s">
        <v>1458</v>
      </c>
      <c r="E323" s="59" t="s">
        <v>71</v>
      </c>
    </row>
    <row r="324" spans="1:5">
      <c r="A324" s="59" t="s">
        <v>2034</v>
      </c>
      <c r="B324" s="59" t="s">
        <v>2035</v>
      </c>
      <c r="C324" s="59" t="s">
        <v>488</v>
      </c>
      <c r="D324" s="59" t="s">
        <v>1371</v>
      </c>
      <c r="E324" s="59" t="s">
        <v>71</v>
      </c>
    </row>
    <row r="325" spans="1:5">
      <c r="A325" s="59" t="s">
        <v>2036</v>
      </c>
      <c r="B325" s="59" t="s">
        <v>2037</v>
      </c>
      <c r="C325" s="59" t="s">
        <v>952</v>
      </c>
      <c r="D325" s="59" t="s">
        <v>1458</v>
      </c>
      <c r="E325" s="59" t="s">
        <v>71</v>
      </c>
    </row>
    <row r="326" spans="1:5">
      <c r="A326" s="59" t="s">
        <v>2038</v>
      </c>
      <c r="B326" s="59" t="s">
        <v>2039</v>
      </c>
      <c r="C326" s="59" t="s">
        <v>983</v>
      </c>
      <c r="D326" s="65" t="s">
        <v>1371</v>
      </c>
      <c r="E326" s="65" t="s">
        <v>71</v>
      </c>
    </row>
    <row r="327" spans="1:5">
      <c r="A327" s="59" t="s">
        <v>2040</v>
      </c>
      <c r="B327" s="59" t="s">
        <v>2041</v>
      </c>
      <c r="C327" s="59" t="s">
        <v>181</v>
      </c>
      <c r="D327" s="59" t="s">
        <v>1477</v>
      </c>
      <c r="E327" s="59" t="s">
        <v>71</v>
      </c>
    </row>
    <row r="328" spans="1:5">
      <c r="A328" s="59" t="s">
        <v>2042</v>
      </c>
      <c r="B328" s="59" t="s">
        <v>2043</v>
      </c>
      <c r="C328" s="59" t="s">
        <v>78</v>
      </c>
      <c r="D328" s="59" t="s">
        <v>1458</v>
      </c>
      <c r="E328" s="59" t="s">
        <v>71</v>
      </c>
    </row>
    <row r="329" spans="1:5">
      <c r="A329" s="59" t="s">
        <v>2044</v>
      </c>
      <c r="B329" s="59" t="s">
        <v>2045</v>
      </c>
      <c r="C329" s="59" t="s">
        <v>1664</v>
      </c>
      <c r="D329" s="59" t="s">
        <v>1455</v>
      </c>
      <c r="E329" s="59" t="s">
        <v>71</v>
      </c>
    </row>
    <row r="330" spans="1:5">
      <c r="A330" s="59" t="s">
        <v>2046</v>
      </c>
      <c r="B330" s="59" t="s">
        <v>2047</v>
      </c>
      <c r="C330" s="59" t="s">
        <v>288</v>
      </c>
      <c r="D330" s="59" t="s">
        <v>1371</v>
      </c>
      <c r="E330" s="59" t="s">
        <v>71</v>
      </c>
    </row>
    <row r="331" spans="1:5">
      <c r="A331" s="59" t="s">
        <v>2048</v>
      </c>
      <c r="B331" s="59" t="s">
        <v>2049</v>
      </c>
      <c r="C331" s="59" t="s">
        <v>1551</v>
      </c>
      <c r="D331" s="65" t="s">
        <v>0</v>
      </c>
      <c r="E331" s="65" t="s">
        <v>122</v>
      </c>
    </row>
    <row r="332" spans="1:5">
      <c r="A332" s="59" t="s">
        <v>2050</v>
      </c>
      <c r="B332" s="59" t="s">
        <v>2051</v>
      </c>
      <c r="C332" s="59" t="s">
        <v>1404</v>
      </c>
      <c r="D332" s="59" t="s">
        <v>1395</v>
      </c>
      <c r="E332" s="59" t="s">
        <v>71</v>
      </c>
    </row>
    <row r="333" spans="1:5">
      <c r="A333" s="59" t="s">
        <v>2052</v>
      </c>
      <c r="B333" s="59" t="s">
        <v>2053</v>
      </c>
      <c r="C333" s="59" t="s">
        <v>272</v>
      </c>
      <c r="D333" s="59" t="s">
        <v>1458</v>
      </c>
      <c r="E333" s="59" t="s">
        <v>71</v>
      </c>
    </row>
    <row r="334" spans="1:5">
      <c r="A334" s="59" t="s">
        <v>2054</v>
      </c>
      <c r="B334" s="59" t="s">
        <v>2055</v>
      </c>
      <c r="C334" s="59" t="s">
        <v>377</v>
      </c>
      <c r="D334" s="65" t="s">
        <v>598</v>
      </c>
      <c r="E334" s="65" t="s">
        <v>71</v>
      </c>
    </row>
    <row r="335" spans="1:5">
      <c r="A335" s="59" t="s">
        <v>2056</v>
      </c>
      <c r="B335" s="59" t="s">
        <v>2057</v>
      </c>
      <c r="C335" s="59" t="s">
        <v>892</v>
      </c>
      <c r="D335" s="59" t="s">
        <v>1455</v>
      </c>
      <c r="E335" s="59" t="s">
        <v>71</v>
      </c>
    </row>
    <row r="336" spans="1:5">
      <c r="A336" s="59" t="s">
        <v>2058</v>
      </c>
      <c r="B336" s="59" t="s">
        <v>2059</v>
      </c>
      <c r="C336" s="59" t="s">
        <v>1022</v>
      </c>
      <c r="D336" s="59" t="s">
        <v>1395</v>
      </c>
      <c r="E336" s="59" t="s">
        <v>71</v>
      </c>
    </row>
    <row r="337" spans="1:5">
      <c r="A337" s="59" t="s">
        <v>2060</v>
      </c>
      <c r="B337" s="59" t="s">
        <v>2061</v>
      </c>
      <c r="C337" s="59" t="s">
        <v>1404</v>
      </c>
      <c r="D337" s="59" t="s">
        <v>1395</v>
      </c>
      <c r="E337" s="59" t="s">
        <v>1456</v>
      </c>
    </row>
    <row r="338" spans="1:5">
      <c r="A338" s="59" t="s">
        <v>1001</v>
      </c>
      <c r="B338" s="59" t="s">
        <v>2062</v>
      </c>
      <c r="C338" s="59" t="s">
        <v>939</v>
      </c>
      <c r="D338" s="59" t="s">
        <v>1455</v>
      </c>
      <c r="E338" s="59" t="s">
        <v>71</v>
      </c>
    </row>
    <row r="339" spans="1:5">
      <c r="A339" s="59" t="s">
        <v>2063</v>
      </c>
      <c r="B339" s="59" t="s">
        <v>2064</v>
      </c>
      <c r="C339" s="59" t="s">
        <v>862</v>
      </c>
      <c r="D339" s="59" t="s">
        <v>1395</v>
      </c>
      <c r="E339" s="59" t="s">
        <v>71</v>
      </c>
    </row>
    <row r="340" spans="1:5">
      <c r="A340" s="59" t="s">
        <v>2065</v>
      </c>
      <c r="B340" s="59" t="s">
        <v>2066</v>
      </c>
      <c r="C340" s="59" t="s">
        <v>1014</v>
      </c>
      <c r="D340" s="59" t="s">
        <v>1458</v>
      </c>
      <c r="E340" s="59" t="s">
        <v>71</v>
      </c>
    </row>
    <row r="341" spans="1:5">
      <c r="A341" s="59" t="s">
        <v>2067</v>
      </c>
      <c r="B341" s="59" t="s">
        <v>2068</v>
      </c>
      <c r="C341" s="59" t="s">
        <v>1402</v>
      </c>
      <c r="D341" s="59" t="s">
        <v>1395</v>
      </c>
      <c r="E341" s="59" t="s">
        <v>71</v>
      </c>
    </row>
    <row r="342" spans="1:5">
      <c r="A342" s="59" t="s">
        <v>2069</v>
      </c>
      <c r="B342" s="59" t="s">
        <v>2070</v>
      </c>
      <c r="C342" s="59" t="s">
        <v>89</v>
      </c>
      <c r="D342" s="59" t="s">
        <v>89</v>
      </c>
      <c r="E342" s="59" t="s">
        <v>71</v>
      </c>
    </row>
    <row r="343" spans="1:5">
      <c r="A343" s="59" t="s">
        <v>2071</v>
      </c>
      <c r="B343" s="59" t="s">
        <v>2072</v>
      </c>
      <c r="C343" s="59" t="s">
        <v>89</v>
      </c>
      <c r="D343" s="59" t="s">
        <v>89</v>
      </c>
      <c r="E343" s="59" t="s">
        <v>71</v>
      </c>
    </row>
    <row r="344" spans="1:5">
      <c r="A344" s="59" t="s">
        <v>2073</v>
      </c>
      <c r="B344" s="59" t="s">
        <v>2074</v>
      </c>
      <c r="C344" s="59" t="s">
        <v>1402</v>
      </c>
      <c r="D344" s="59" t="s">
        <v>1395</v>
      </c>
      <c r="E344" s="59" t="s">
        <v>1456</v>
      </c>
    </row>
    <row r="345" spans="1:5">
      <c r="A345" s="59" t="s">
        <v>2075</v>
      </c>
      <c r="B345" s="59" t="s">
        <v>2076</v>
      </c>
      <c r="C345" s="59" t="s">
        <v>916</v>
      </c>
      <c r="D345" s="59" t="s">
        <v>1455</v>
      </c>
      <c r="E345" s="59" t="s">
        <v>71</v>
      </c>
    </row>
    <row r="346" spans="1:5">
      <c r="A346" s="59" t="s">
        <v>2077</v>
      </c>
      <c r="B346" s="59" t="s">
        <v>2078</v>
      </c>
      <c r="C346" s="59" t="s">
        <v>315</v>
      </c>
      <c r="D346" s="59" t="s">
        <v>1458</v>
      </c>
      <c r="E346" s="59" t="s">
        <v>1456</v>
      </c>
    </row>
    <row r="347" spans="1:5">
      <c r="A347" s="59" t="s">
        <v>2079</v>
      </c>
      <c r="B347" s="59" t="s">
        <v>2080</v>
      </c>
      <c r="C347" s="59" t="s">
        <v>377</v>
      </c>
      <c r="D347" s="65" t="s">
        <v>598</v>
      </c>
      <c r="E347" s="65" t="s">
        <v>71</v>
      </c>
    </row>
    <row r="348" spans="1:5">
      <c r="A348" s="59" t="s">
        <v>2081</v>
      </c>
      <c r="B348" s="59" t="s">
        <v>2080</v>
      </c>
      <c r="C348" s="59" t="s">
        <v>377</v>
      </c>
      <c r="D348" s="65" t="s">
        <v>598</v>
      </c>
      <c r="E348" s="65" t="s">
        <v>71</v>
      </c>
    </row>
    <row r="349" spans="1:5">
      <c r="A349" s="59" t="s">
        <v>2082</v>
      </c>
      <c r="B349" s="59" t="s">
        <v>2083</v>
      </c>
      <c r="C349" s="59" t="s">
        <v>181</v>
      </c>
      <c r="D349" s="59" t="s">
        <v>1477</v>
      </c>
      <c r="E349" s="59" t="s">
        <v>71</v>
      </c>
    </row>
    <row r="350" spans="1:5">
      <c r="A350" s="59" t="s">
        <v>2084</v>
      </c>
      <c r="B350" s="59" t="s">
        <v>2085</v>
      </c>
      <c r="C350" s="59" t="s">
        <v>960</v>
      </c>
      <c r="D350" s="59" t="s">
        <v>1477</v>
      </c>
      <c r="E350" s="59" t="s">
        <v>71</v>
      </c>
    </row>
    <row r="351" spans="1:5">
      <c r="A351" s="59" t="s">
        <v>2086</v>
      </c>
      <c r="B351" s="59" t="s">
        <v>2087</v>
      </c>
      <c r="C351" s="59" t="s">
        <v>108</v>
      </c>
      <c r="D351" s="59" t="s">
        <v>1458</v>
      </c>
      <c r="E351" s="59" t="s">
        <v>71</v>
      </c>
    </row>
    <row r="352" spans="1:5">
      <c r="A352" s="59" t="s">
        <v>2088</v>
      </c>
      <c r="B352" s="59" t="s">
        <v>2089</v>
      </c>
      <c r="C352" s="59" t="s">
        <v>921</v>
      </c>
      <c r="D352" s="65" t="s">
        <v>1477</v>
      </c>
      <c r="E352" s="65" t="s">
        <v>71</v>
      </c>
    </row>
    <row r="353" spans="1:5">
      <c r="A353" s="59" t="s">
        <v>2090</v>
      </c>
      <c r="B353" s="59" t="s">
        <v>2091</v>
      </c>
      <c r="C353" s="59" t="s">
        <v>921</v>
      </c>
      <c r="D353" s="59" t="s">
        <v>1477</v>
      </c>
      <c r="E353" s="59" t="s">
        <v>71</v>
      </c>
    </row>
    <row r="354" spans="1:5">
      <c r="A354" s="59" t="s">
        <v>2092</v>
      </c>
      <c r="B354" s="59" t="s">
        <v>2093</v>
      </c>
      <c r="C354" s="59" t="s">
        <v>572</v>
      </c>
      <c r="D354" s="59" t="s">
        <v>1455</v>
      </c>
      <c r="E354" s="59" t="s">
        <v>1456</v>
      </c>
    </row>
    <row r="355" spans="1:5">
      <c r="A355" s="59" t="s">
        <v>2094</v>
      </c>
      <c r="B355" s="59" t="s">
        <v>2095</v>
      </c>
      <c r="C355" s="59" t="s">
        <v>306</v>
      </c>
      <c r="D355" s="59" t="s">
        <v>1477</v>
      </c>
      <c r="E355" s="59" t="s">
        <v>71</v>
      </c>
    </row>
    <row r="356" spans="1:5">
      <c r="A356" s="59" t="s">
        <v>2096</v>
      </c>
      <c r="B356" s="59" t="s">
        <v>2097</v>
      </c>
      <c r="C356" s="59" t="s">
        <v>475</v>
      </c>
      <c r="D356" s="59" t="s">
        <v>1395</v>
      </c>
      <c r="E356" s="59" t="s">
        <v>71</v>
      </c>
    </row>
    <row r="357" spans="1:5">
      <c r="A357" s="59" t="s">
        <v>2098</v>
      </c>
      <c r="B357" s="59" t="s">
        <v>2099</v>
      </c>
      <c r="C357" s="59" t="s">
        <v>939</v>
      </c>
      <c r="D357" s="59" t="s">
        <v>1455</v>
      </c>
      <c r="E357" s="59" t="s">
        <v>71</v>
      </c>
    </row>
    <row r="358" spans="1:5">
      <c r="A358" s="59" t="s">
        <v>2100</v>
      </c>
      <c r="B358" s="59" t="s">
        <v>2101</v>
      </c>
      <c r="C358" s="59" t="s">
        <v>475</v>
      </c>
      <c r="D358" s="59" t="s">
        <v>1395</v>
      </c>
      <c r="E358" s="59" t="s">
        <v>71</v>
      </c>
    </row>
    <row r="359" spans="1:5">
      <c r="A359" s="59" t="s">
        <v>2102</v>
      </c>
      <c r="B359" s="59" t="s">
        <v>2103</v>
      </c>
      <c r="C359" s="59" t="s">
        <v>956</v>
      </c>
      <c r="D359" s="59" t="s">
        <v>1371</v>
      </c>
      <c r="E359" s="59" t="s">
        <v>1456</v>
      </c>
    </row>
    <row r="360" spans="1:5">
      <c r="A360" s="59" t="s">
        <v>2104</v>
      </c>
      <c r="B360" s="59" t="s">
        <v>2105</v>
      </c>
      <c r="C360" s="59" t="s">
        <v>475</v>
      </c>
      <c r="D360" s="59" t="s">
        <v>1395</v>
      </c>
      <c r="E360" s="59" t="s">
        <v>71</v>
      </c>
    </row>
    <row r="361" spans="1:5">
      <c r="A361" s="59" t="s">
        <v>2106</v>
      </c>
      <c r="B361" s="59" t="s">
        <v>2107</v>
      </c>
      <c r="C361" s="59" t="s">
        <v>475</v>
      </c>
      <c r="D361" s="59" t="s">
        <v>1395</v>
      </c>
      <c r="E361" s="59" t="s">
        <v>71</v>
      </c>
    </row>
    <row r="362" spans="1:5">
      <c r="A362" s="59" t="s">
        <v>2108</v>
      </c>
      <c r="B362" s="59" t="s">
        <v>660</v>
      </c>
      <c r="C362" s="59" t="s">
        <v>602</v>
      </c>
      <c r="D362" s="59" t="s">
        <v>1477</v>
      </c>
      <c r="E362" s="59" t="s">
        <v>71</v>
      </c>
    </row>
    <row r="363" spans="1:5">
      <c r="A363" s="59" t="s">
        <v>659</v>
      </c>
      <c r="B363" s="59" t="s">
        <v>660</v>
      </c>
      <c r="C363" s="59" t="s">
        <v>181</v>
      </c>
      <c r="D363" s="59" t="s">
        <v>1477</v>
      </c>
      <c r="E363" s="59" t="s">
        <v>71</v>
      </c>
    </row>
    <row r="364" spans="1:5">
      <c r="A364" s="59" t="s">
        <v>2109</v>
      </c>
      <c r="B364" s="59" t="s">
        <v>2110</v>
      </c>
      <c r="C364" s="59" t="s">
        <v>89</v>
      </c>
      <c r="D364" s="59" t="s">
        <v>89</v>
      </c>
      <c r="E364" s="59" t="s">
        <v>1456</v>
      </c>
    </row>
    <row r="365" spans="1:5">
      <c r="A365" s="59" t="s">
        <v>2111</v>
      </c>
      <c r="B365" s="59" t="s">
        <v>2112</v>
      </c>
      <c r="C365" s="59" t="s">
        <v>78</v>
      </c>
      <c r="D365" s="59" t="s">
        <v>1458</v>
      </c>
      <c r="E365" s="59" t="s">
        <v>71</v>
      </c>
    </row>
    <row r="366" spans="1:5">
      <c r="A366" s="59" t="s">
        <v>2113</v>
      </c>
      <c r="B366" s="59" t="s">
        <v>2114</v>
      </c>
      <c r="C366" s="59" t="s">
        <v>89</v>
      </c>
      <c r="D366" s="59" t="s">
        <v>89</v>
      </c>
      <c r="E366" s="59" t="s">
        <v>71</v>
      </c>
    </row>
    <row r="367" spans="1:5">
      <c r="A367" s="59" t="s">
        <v>791</v>
      </c>
      <c r="B367" s="59" t="s">
        <v>792</v>
      </c>
      <c r="C367" s="59" t="s">
        <v>484</v>
      </c>
      <c r="D367" s="59" t="s">
        <v>1455</v>
      </c>
      <c r="E367" s="59" t="s">
        <v>1456</v>
      </c>
    </row>
    <row r="368" spans="1:5">
      <c r="A368" s="59" t="s">
        <v>2115</v>
      </c>
      <c r="B368" s="59" t="s">
        <v>2116</v>
      </c>
      <c r="C368" s="59" t="s">
        <v>302</v>
      </c>
      <c r="D368" s="59" t="s">
        <v>1395</v>
      </c>
      <c r="E368" s="59" t="s">
        <v>71</v>
      </c>
    </row>
    <row r="369" spans="1:5">
      <c r="A369" s="59" t="s">
        <v>237</v>
      </c>
      <c r="B369" s="59" t="s">
        <v>238</v>
      </c>
      <c r="C369" s="59" t="s">
        <v>89</v>
      </c>
      <c r="D369" s="59" t="s">
        <v>89</v>
      </c>
      <c r="E369" s="59" t="s">
        <v>71</v>
      </c>
    </row>
    <row r="370" spans="1:5">
      <c r="A370" s="59" t="s">
        <v>2117</v>
      </c>
      <c r="B370" s="59" t="s">
        <v>2118</v>
      </c>
      <c r="C370" s="59" t="s">
        <v>211</v>
      </c>
      <c r="D370" s="59" t="s">
        <v>1458</v>
      </c>
      <c r="E370" s="59" t="s">
        <v>71</v>
      </c>
    </row>
    <row r="371" spans="1:5">
      <c r="A371" s="59" t="s">
        <v>2119</v>
      </c>
      <c r="B371" s="59" t="s">
        <v>2120</v>
      </c>
      <c r="C371" s="59" t="s">
        <v>156</v>
      </c>
      <c r="D371" s="59" t="s">
        <v>1455</v>
      </c>
      <c r="E371" s="59" t="s">
        <v>71</v>
      </c>
    </row>
    <row r="372" spans="1:5">
      <c r="A372" s="59" t="s">
        <v>2121</v>
      </c>
      <c r="B372" s="59" t="s">
        <v>2122</v>
      </c>
      <c r="C372" s="59" t="s">
        <v>181</v>
      </c>
      <c r="D372" s="59" t="s">
        <v>1477</v>
      </c>
      <c r="E372" s="59" t="s">
        <v>71</v>
      </c>
    </row>
    <row r="373" spans="1:5">
      <c r="A373" s="59" t="s">
        <v>2123</v>
      </c>
      <c r="B373" s="59" t="s">
        <v>2124</v>
      </c>
      <c r="C373" s="59" t="s">
        <v>1404</v>
      </c>
      <c r="D373" s="59" t="s">
        <v>1395</v>
      </c>
      <c r="E373" s="59" t="s">
        <v>71</v>
      </c>
    </row>
    <row r="374" spans="1:5">
      <c r="A374" s="59" t="s">
        <v>2125</v>
      </c>
      <c r="B374" s="59" t="s">
        <v>2126</v>
      </c>
      <c r="C374" s="59" t="s">
        <v>488</v>
      </c>
      <c r="D374" s="59" t="s">
        <v>1371</v>
      </c>
      <c r="E374" s="59" t="s">
        <v>1456</v>
      </c>
    </row>
    <row r="375" spans="1:5">
      <c r="A375" s="59" t="s">
        <v>911</v>
      </c>
      <c r="B375" s="59" t="s">
        <v>1397</v>
      </c>
      <c r="C375" s="59" t="s">
        <v>910</v>
      </c>
      <c r="D375" s="59" t="s">
        <v>1477</v>
      </c>
      <c r="E375" s="59" t="s">
        <v>122</v>
      </c>
    </row>
    <row r="376" spans="1:5">
      <c r="A376" s="59" t="s">
        <v>2127</v>
      </c>
      <c r="B376" s="59" t="s">
        <v>2128</v>
      </c>
      <c r="C376" s="59" t="s">
        <v>306</v>
      </c>
      <c r="D376" s="59" t="s">
        <v>1477</v>
      </c>
      <c r="E376" s="59" t="s">
        <v>71</v>
      </c>
    </row>
    <row r="377" spans="1:5">
      <c r="A377" s="59" t="s">
        <v>2129</v>
      </c>
      <c r="B377" s="59" t="s">
        <v>2130</v>
      </c>
      <c r="C377" s="59" t="s">
        <v>285</v>
      </c>
      <c r="D377" s="59" t="s">
        <v>1477</v>
      </c>
      <c r="E377" s="59" t="s">
        <v>71</v>
      </c>
    </row>
    <row r="378" spans="1:5">
      <c r="A378" s="59" t="s">
        <v>2131</v>
      </c>
      <c r="B378" s="59" t="s">
        <v>2132</v>
      </c>
      <c r="C378" s="59" t="s">
        <v>983</v>
      </c>
      <c r="D378" s="59" t="s">
        <v>1371</v>
      </c>
      <c r="E378" s="59" t="s">
        <v>1456</v>
      </c>
    </row>
    <row r="379" spans="1:5">
      <c r="A379" s="59" t="s">
        <v>2133</v>
      </c>
      <c r="B379" s="59" t="s">
        <v>2134</v>
      </c>
      <c r="C379" s="59" t="s">
        <v>1664</v>
      </c>
      <c r="D379" s="59" t="s">
        <v>1455</v>
      </c>
      <c r="E379" s="59" t="s">
        <v>71</v>
      </c>
    </row>
    <row r="380" spans="1:5">
      <c r="A380" s="59" t="s">
        <v>2135</v>
      </c>
      <c r="B380" s="59" t="s">
        <v>2136</v>
      </c>
      <c r="C380" s="59" t="s">
        <v>593</v>
      </c>
      <c r="D380" s="59" t="s">
        <v>1455</v>
      </c>
      <c r="E380" s="59" t="s">
        <v>71</v>
      </c>
    </row>
    <row r="381" spans="1:5">
      <c r="A381" s="59" t="s">
        <v>2137</v>
      </c>
      <c r="B381" s="59" t="s">
        <v>2138</v>
      </c>
      <c r="C381" s="59" t="s">
        <v>249</v>
      </c>
      <c r="D381" s="59" t="s">
        <v>1477</v>
      </c>
      <c r="E381" s="59" t="s">
        <v>71</v>
      </c>
    </row>
    <row r="382" spans="1:5">
      <c r="A382" s="59" t="s">
        <v>2139</v>
      </c>
      <c r="B382" s="59" t="s">
        <v>2140</v>
      </c>
      <c r="C382" s="59" t="s">
        <v>288</v>
      </c>
      <c r="D382" s="59" t="s">
        <v>1371</v>
      </c>
      <c r="E382" s="59" t="s">
        <v>71</v>
      </c>
    </row>
    <row r="383" spans="1:5">
      <c r="A383" s="59" t="s">
        <v>2141</v>
      </c>
      <c r="B383" s="59" t="s">
        <v>2142</v>
      </c>
      <c r="C383" s="59" t="s">
        <v>306</v>
      </c>
      <c r="D383" s="59" t="s">
        <v>1477</v>
      </c>
      <c r="E383" s="59" t="s">
        <v>71</v>
      </c>
    </row>
    <row r="384" spans="1:5">
      <c r="A384" s="59" t="s">
        <v>2143</v>
      </c>
      <c r="B384" s="59" t="s">
        <v>2144</v>
      </c>
      <c r="C384" s="59" t="s">
        <v>194</v>
      </c>
      <c r="D384" s="59" t="s">
        <v>1477</v>
      </c>
      <c r="E384" s="59" t="s">
        <v>71</v>
      </c>
    </row>
    <row r="385" spans="1:5">
      <c r="A385" s="59" t="s">
        <v>2145</v>
      </c>
      <c r="B385" s="59" t="s">
        <v>2146</v>
      </c>
      <c r="C385" s="59" t="s">
        <v>926</v>
      </c>
      <c r="D385" s="59" t="s">
        <v>1458</v>
      </c>
      <c r="E385" s="59" t="s">
        <v>71</v>
      </c>
    </row>
    <row r="386" spans="1:5">
      <c r="A386" s="59" t="s">
        <v>2147</v>
      </c>
      <c r="B386" s="59" t="s">
        <v>2148</v>
      </c>
      <c r="C386" s="59" t="s">
        <v>602</v>
      </c>
      <c r="D386" s="59" t="s">
        <v>1477</v>
      </c>
      <c r="E386" s="59" t="s">
        <v>71</v>
      </c>
    </row>
    <row r="387" spans="1:5">
      <c r="A387" s="59" t="s">
        <v>2149</v>
      </c>
      <c r="B387" s="59" t="s">
        <v>2150</v>
      </c>
      <c r="C387" s="59" t="s">
        <v>983</v>
      </c>
      <c r="D387" s="59" t="s">
        <v>1371</v>
      </c>
      <c r="E387" s="59" t="s">
        <v>71</v>
      </c>
    </row>
    <row r="388" spans="1:5">
      <c r="A388" s="59" t="s">
        <v>2151</v>
      </c>
      <c r="B388" s="59" t="s">
        <v>2152</v>
      </c>
      <c r="C388" s="59" t="s">
        <v>825</v>
      </c>
      <c r="D388" s="59" t="s">
        <v>1455</v>
      </c>
      <c r="E388" s="59" t="s">
        <v>71</v>
      </c>
    </row>
    <row r="389" spans="1:5">
      <c r="A389" s="59" t="s">
        <v>2153</v>
      </c>
      <c r="B389" s="59" t="s">
        <v>2154</v>
      </c>
      <c r="C389" s="59" t="s">
        <v>825</v>
      </c>
      <c r="D389" s="65" t="s">
        <v>1455</v>
      </c>
      <c r="E389" s="65" t="s">
        <v>71</v>
      </c>
    </row>
    <row r="390" spans="1:5">
      <c r="A390" s="59" t="s">
        <v>2155</v>
      </c>
      <c r="B390" s="59" t="s">
        <v>2156</v>
      </c>
      <c r="C390" s="59" t="s">
        <v>572</v>
      </c>
      <c r="D390" s="65" t="s">
        <v>1455</v>
      </c>
      <c r="E390" s="65" t="s">
        <v>71</v>
      </c>
    </row>
    <row r="391" spans="1:5">
      <c r="A391" s="59" t="s">
        <v>2157</v>
      </c>
      <c r="B391" s="59" t="s">
        <v>2158</v>
      </c>
      <c r="C391" s="59" t="s">
        <v>431</v>
      </c>
      <c r="D391" s="59" t="s">
        <v>1477</v>
      </c>
      <c r="E391" s="59" t="s">
        <v>1456</v>
      </c>
    </row>
    <row r="392" spans="1:5">
      <c r="A392" s="59" t="s">
        <v>2159</v>
      </c>
      <c r="B392" s="59" t="s">
        <v>2160</v>
      </c>
      <c r="C392" s="59" t="s">
        <v>2161</v>
      </c>
      <c r="D392" s="65" t="s">
        <v>0</v>
      </c>
      <c r="E392" s="65" t="s">
        <v>122</v>
      </c>
    </row>
    <row r="393" spans="1:5">
      <c r="A393" s="59" t="s">
        <v>2162</v>
      </c>
      <c r="B393" s="59" t="s">
        <v>2163</v>
      </c>
      <c r="C393" s="59" t="s">
        <v>1403</v>
      </c>
      <c r="D393" s="59" t="s">
        <v>1458</v>
      </c>
      <c r="E393" s="59" t="s">
        <v>71</v>
      </c>
    </row>
    <row r="394" spans="1:5">
      <c r="A394" s="59" t="s">
        <v>2164</v>
      </c>
      <c r="B394" s="59" t="s">
        <v>2165</v>
      </c>
      <c r="C394" s="59" t="s">
        <v>572</v>
      </c>
      <c r="D394" s="65" t="s">
        <v>1455</v>
      </c>
      <c r="E394" s="65" t="s">
        <v>71</v>
      </c>
    </row>
    <row r="395" spans="1:5">
      <c r="A395" s="59" t="s">
        <v>2162</v>
      </c>
      <c r="B395" s="59" t="s">
        <v>2166</v>
      </c>
      <c r="C395" s="59" t="s">
        <v>1403</v>
      </c>
      <c r="D395" s="59" t="s">
        <v>1458</v>
      </c>
      <c r="E395" s="59" t="s">
        <v>71</v>
      </c>
    </row>
    <row r="396" spans="1:5">
      <c r="A396" s="59" t="s">
        <v>2167</v>
      </c>
      <c r="B396" s="59" t="s">
        <v>2168</v>
      </c>
      <c r="C396" s="59" t="s">
        <v>900</v>
      </c>
      <c r="D396" s="59" t="s">
        <v>1455</v>
      </c>
      <c r="E396" s="59" t="s">
        <v>1456</v>
      </c>
    </row>
    <row r="397" spans="1:5">
      <c r="A397" s="59" t="s">
        <v>2169</v>
      </c>
      <c r="B397" s="59" t="s">
        <v>2170</v>
      </c>
      <c r="C397" s="59" t="s">
        <v>377</v>
      </c>
      <c r="D397" s="65" t="s">
        <v>598</v>
      </c>
      <c r="E397" s="65" t="s">
        <v>71</v>
      </c>
    </row>
    <row r="398" spans="1:5">
      <c r="A398" s="59" t="s">
        <v>2171</v>
      </c>
      <c r="B398" s="59" t="s">
        <v>2172</v>
      </c>
      <c r="C398" s="59" t="s">
        <v>211</v>
      </c>
      <c r="D398" s="59" t="s">
        <v>1458</v>
      </c>
      <c r="E398" s="59" t="s">
        <v>71</v>
      </c>
    </row>
    <row r="399" spans="1:5">
      <c r="A399" s="59" t="s">
        <v>2173</v>
      </c>
      <c r="B399" s="59" t="s">
        <v>2174</v>
      </c>
      <c r="C399" s="59" t="s">
        <v>1398</v>
      </c>
      <c r="D399" s="59" t="s">
        <v>1395</v>
      </c>
      <c r="E399" s="59" t="s">
        <v>71</v>
      </c>
    </row>
    <row r="400" spans="1:5">
      <c r="A400" s="59" t="s">
        <v>2175</v>
      </c>
      <c r="B400" s="59" t="s">
        <v>2176</v>
      </c>
      <c r="C400" s="59" t="s">
        <v>226</v>
      </c>
      <c r="D400" s="59" t="s">
        <v>1371</v>
      </c>
      <c r="E400" s="59" t="s">
        <v>71</v>
      </c>
    </row>
    <row r="401" spans="1:5">
      <c r="A401" s="59" t="s">
        <v>2177</v>
      </c>
      <c r="B401" s="59" t="s">
        <v>2178</v>
      </c>
      <c r="C401" s="59" t="s">
        <v>492</v>
      </c>
      <c r="D401" s="59" t="s">
        <v>1395</v>
      </c>
      <c r="E401" s="59" t="s">
        <v>71</v>
      </c>
    </row>
    <row r="402" spans="1:5">
      <c r="A402" s="59" t="s">
        <v>2179</v>
      </c>
      <c r="B402" s="59" t="s">
        <v>2180</v>
      </c>
      <c r="C402" s="59" t="s">
        <v>1404</v>
      </c>
      <c r="D402" s="59" t="s">
        <v>1395</v>
      </c>
      <c r="E402" s="59" t="s">
        <v>71</v>
      </c>
    </row>
    <row r="403" spans="1:5">
      <c r="A403" s="59" t="s">
        <v>2181</v>
      </c>
      <c r="B403" s="59" t="s">
        <v>2182</v>
      </c>
      <c r="C403" s="59" t="s">
        <v>181</v>
      </c>
      <c r="D403" s="65" t="s">
        <v>1477</v>
      </c>
      <c r="E403" s="65" t="s">
        <v>71</v>
      </c>
    </row>
    <row r="404" spans="1:5">
      <c r="A404" s="59" t="s">
        <v>2183</v>
      </c>
      <c r="B404" s="59" t="s">
        <v>2184</v>
      </c>
      <c r="C404" s="59" t="s">
        <v>377</v>
      </c>
      <c r="D404" s="65" t="s">
        <v>598</v>
      </c>
      <c r="E404" s="65" t="s">
        <v>71</v>
      </c>
    </row>
    <row r="405" spans="1:5">
      <c r="A405" s="59" t="s">
        <v>2185</v>
      </c>
      <c r="B405" s="59" t="s">
        <v>2186</v>
      </c>
      <c r="C405" s="59" t="s">
        <v>1420</v>
      </c>
      <c r="D405" s="65" t="s">
        <v>1458</v>
      </c>
      <c r="E405" s="65" t="s">
        <v>122</v>
      </c>
    </row>
    <row r="406" spans="1:5">
      <c r="A406" s="59" t="s">
        <v>2187</v>
      </c>
      <c r="B406" s="59" t="s">
        <v>2188</v>
      </c>
      <c r="C406" s="59" t="s">
        <v>1480</v>
      </c>
      <c r="D406" s="59" t="s">
        <v>1455</v>
      </c>
      <c r="E406" s="59" t="s">
        <v>71</v>
      </c>
    </row>
    <row r="407" spans="1:5">
      <c r="A407" s="59" t="s">
        <v>2189</v>
      </c>
      <c r="B407" s="59" t="s">
        <v>2190</v>
      </c>
      <c r="C407" s="59" t="s">
        <v>488</v>
      </c>
      <c r="D407" s="59" t="s">
        <v>1371</v>
      </c>
      <c r="E407" s="59" t="s">
        <v>71</v>
      </c>
    </row>
    <row r="408" spans="1:5">
      <c r="A408" s="59" t="s">
        <v>2191</v>
      </c>
      <c r="B408" s="59" t="s">
        <v>2192</v>
      </c>
      <c r="C408" s="59" t="s">
        <v>211</v>
      </c>
      <c r="D408" s="59" t="s">
        <v>1458</v>
      </c>
      <c r="E408" s="59" t="s">
        <v>71</v>
      </c>
    </row>
    <row r="409" spans="1:5">
      <c r="A409" s="59" t="s">
        <v>2193</v>
      </c>
      <c r="B409" s="59" t="s">
        <v>2194</v>
      </c>
      <c r="C409" s="59" t="s">
        <v>1013</v>
      </c>
      <c r="D409" s="59" t="s">
        <v>1458</v>
      </c>
      <c r="E409" s="59" t="s">
        <v>71</v>
      </c>
    </row>
    <row r="410" spans="1:5">
      <c r="A410" s="59" t="s">
        <v>2195</v>
      </c>
      <c r="B410" s="59" t="s">
        <v>2196</v>
      </c>
      <c r="C410" s="59" t="s">
        <v>280</v>
      </c>
      <c r="D410" s="59" t="s">
        <v>1395</v>
      </c>
      <c r="E410" s="59" t="s">
        <v>71</v>
      </c>
    </row>
    <row r="411" spans="1:5">
      <c r="A411" s="59" t="s">
        <v>2197</v>
      </c>
      <c r="B411" s="59" t="s">
        <v>2198</v>
      </c>
      <c r="C411" s="59" t="s">
        <v>1014</v>
      </c>
      <c r="D411" s="59" t="s">
        <v>1458</v>
      </c>
      <c r="E411" s="59" t="s">
        <v>71</v>
      </c>
    </row>
    <row r="412" spans="1:5">
      <c r="A412" s="59" t="s">
        <v>2199</v>
      </c>
      <c r="B412" s="59" t="s">
        <v>2200</v>
      </c>
      <c r="C412" s="59" t="s">
        <v>108</v>
      </c>
      <c r="D412" s="59" t="s">
        <v>1458</v>
      </c>
      <c r="E412" s="59" t="s">
        <v>71</v>
      </c>
    </row>
    <row r="413" spans="1:5">
      <c r="A413" s="59" t="s">
        <v>2201</v>
      </c>
      <c r="B413" s="59" t="s">
        <v>2202</v>
      </c>
      <c r="C413" s="59" t="s">
        <v>952</v>
      </c>
      <c r="D413" s="59" t="s">
        <v>1458</v>
      </c>
      <c r="E413" s="59" t="s">
        <v>71</v>
      </c>
    </row>
    <row r="414" spans="1:5">
      <c r="A414" s="59" t="s">
        <v>2203</v>
      </c>
      <c r="B414" s="59" t="s">
        <v>2204</v>
      </c>
      <c r="C414" s="59" t="s">
        <v>488</v>
      </c>
      <c r="D414" s="59" t="s">
        <v>1371</v>
      </c>
      <c r="E414" s="59" t="s">
        <v>71</v>
      </c>
    </row>
    <row r="415" spans="1:5">
      <c r="A415" s="59" t="s">
        <v>2205</v>
      </c>
      <c r="B415" s="59" t="s">
        <v>2206</v>
      </c>
      <c r="C415" s="59" t="s">
        <v>447</v>
      </c>
      <c r="D415" s="59" t="s">
        <v>1455</v>
      </c>
      <c r="E415" s="59" t="s">
        <v>71</v>
      </c>
    </row>
    <row r="416" spans="1:5">
      <c r="A416" s="59" t="s">
        <v>2207</v>
      </c>
      <c r="B416" s="59" t="s">
        <v>2208</v>
      </c>
      <c r="C416" s="59" t="s">
        <v>285</v>
      </c>
      <c r="D416" s="65" t="s">
        <v>1477</v>
      </c>
      <c r="E416" s="65" t="s">
        <v>71</v>
      </c>
    </row>
    <row r="417" spans="1:5">
      <c r="A417" s="59" t="s">
        <v>2209</v>
      </c>
      <c r="B417" s="59" t="s">
        <v>2210</v>
      </c>
      <c r="C417" s="59" t="s">
        <v>1551</v>
      </c>
      <c r="D417" s="65" t="s">
        <v>0</v>
      </c>
      <c r="E417" s="65" t="s">
        <v>122</v>
      </c>
    </row>
    <row r="418" spans="1:5">
      <c r="A418" s="59" t="s">
        <v>2211</v>
      </c>
      <c r="B418" s="59" t="s">
        <v>1406</v>
      </c>
      <c r="C418" s="59" t="s">
        <v>2212</v>
      </c>
      <c r="D418" s="65" t="s">
        <v>0</v>
      </c>
      <c r="E418" s="65" t="s">
        <v>122</v>
      </c>
    </row>
    <row r="419" spans="1:5">
      <c r="A419" s="59" t="s">
        <v>2213</v>
      </c>
      <c r="B419" s="59" t="s">
        <v>2214</v>
      </c>
      <c r="C419" s="59" t="s">
        <v>484</v>
      </c>
      <c r="D419" s="59" t="s">
        <v>1455</v>
      </c>
      <c r="E419" s="59" t="s">
        <v>71</v>
      </c>
    </row>
    <row r="420" spans="1:5">
      <c r="A420" s="59" t="s">
        <v>2215</v>
      </c>
      <c r="B420" s="59" t="s">
        <v>2216</v>
      </c>
      <c r="C420" s="59" t="s">
        <v>900</v>
      </c>
      <c r="D420" s="59" t="s">
        <v>1455</v>
      </c>
      <c r="E420" s="59" t="s">
        <v>71</v>
      </c>
    </row>
    <row r="421" spans="1:5">
      <c r="A421" s="59" t="s">
        <v>2217</v>
      </c>
      <c r="B421" s="59" t="s">
        <v>2218</v>
      </c>
      <c r="C421" s="59" t="s">
        <v>315</v>
      </c>
      <c r="D421" s="59" t="s">
        <v>1458</v>
      </c>
      <c r="E421" s="59" t="s">
        <v>71</v>
      </c>
    </row>
    <row r="422" spans="1:5">
      <c r="A422" s="59" t="s">
        <v>2219</v>
      </c>
      <c r="B422" s="59" t="s">
        <v>2220</v>
      </c>
      <c r="C422" s="59" t="s">
        <v>1404</v>
      </c>
      <c r="D422" s="65" t="s">
        <v>1395</v>
      </c>
      <c r="E422" s="65" t="s">
        <v>71</v>
      </c>
    </row>
    <row r="423" spans="1:5">
      <c r="A423" s="59" t="s">
        <v>2221</v>
      </c>
      <c r="B423" s="59" t="s">
        <v>2222</v>
      </c>
      <c r="C423" s="59" t="s">
        <v>2223</v>
      </c>
      <c r="D423" s="65" t="s">
        <v>1395</v>
      </c>
      <c r="E423" s="65" t="s">
        <v>122</v>
      </c>
    </row>
    <row r="424" spans="1:5">
      <c r="A424" s="59" t="s">
        <v>2224</v>
      </c>
      <c r="B424" s="59" t="s">
        <v>2225</v>
      </c>
      <c r="C424" s="59" t="s">
        <v>1021</v>
      </c>
      <c r="D424" s="59" t="s">
        <v>1395</v>
      </c>
      <c r="E424" s="59" t="s">
        <v>71</v>
      </c>
    </row>
    <row r="425" spans="1:5">
      <c r="A425" s="59" t="s">
        <v>2226</v>
      </c>
      <c r="B425" s="59" t="s">
        <v>2227</v>
      </c>
      <c r="C425" s="59" t="s">
        <v>593</v>
      </c>
      <c r="D425" s="59" t="s">
        <v>1455</v>
      </c>
      <c r="E425" s="59" t="s">
        <v>71</v>
      </c>
    </row>
    <row r="426" spans="1:5">
      <c r="A426" s="59" t="s">
        <v>2228</v>
      </c>
      <c r="B426" s="59" t="s">
        <v>2229</v>
      </c>
      <c r="C426" s="59" t="s">
        <v>602</v>
      </c>
      <c r="D426" s="59" t="s">
        <v>1477</v>
      </c>
      <c r="E426" s="59" t="s">
        <v>71</v>
      </c>
    </row>
    <row r="427" spans="1:5">
      <c r="A427" s="59" t="s">
        <v>2230</v>
      </c>
      <c r="B427" s="59" t="s">
        <v>2231</v>
      </c>
      <c r="C427" s="59" t="s">
        <v>267</v>
      </c>
      <c r="D427" s="59" t="s">
        <v>1395</v>
      </c>
      <c r="E427" s="59" t="s">
        <v>71</v>
      </c>
    </row>
    <row r="428" spans="1:5">
      <c r="A428" s="59" t="s">
        <v>2232</v>
      </c>
      <c r="B428" s="59" t="s">
        <v>2233</v>
      </c>
      <c r="C428" s="59" t="s">
        <v>1409</v>
      </c>
      <c r="D428" s="59" t="s">
        <v>1371</v>
      </c>
      <c r="E428" s="59" t="s">
        <v>71</v>
      </c>
    </row>
    <row r="429" spans="1:5">
      <c r="A429" s="59" t="s">
        <v>2234</v>
      </c>
      <c r="B429" s="59" t="s">
        <v>2235</v>
      </c>
      <c r="C429" s="59" t="s">
        <v>1367</v>
      </c>
      <c r="D429" s="59" t="s">
        <v>1458</v>
      </c>
      <c r="E429" s="59" t="s">
        <v>71</v>
      </c>
    </row>
    <row r="430" spans="1:5">
      <c r="A430" s="59" t="s">
        <v>2236</v>
      </c>
      <c r="B430" s="59" t="s">
        <v>2237</v>
      </c>
      <c r="C430" s="59" t="s">
        <v>956</v>
      </c>
      <c r="D430" s="59" t="s">
        <v>1371</v>
      </c>
      <c r="E430" s="59" t="s">
        <v>71</v>
      </c>
    </row>
    <row r="431" spans="1:5">
      <c r="A431" s="59" t="s">
        <v>2238</v>
      </c>
      <c r="B431" s="59" t="s">
        <v>2239</v>
      </c>
      <c r="C431" s="59" t="s">
        <v>969</v>
      </c>
      <c r="D431" s="59" t="s">
        <v>1395</v>
      </c>
      <c r="E431" s="59" t="s">
        <v>71</v>
      </c>
    </row>
    <row r="432" spans="1:5">
      <c r="A432" s="59" t="s">
        <v>2240</v>
      </c>
      <c r="B432" s="59" t="s">
        <v>2241</v>
      </c>
      <c r="C432" s="59" t="s">
        <v>291</v>
      </c>
      <c r="D432" s="59" t="s">
        <v>1395</v>
      </c>
      <c r="E432" s="59" t="s">
        <v>71</v>
      </c>
    </row>
    <row r="433" spans="1:5">
      <c r="A433" s="59" t="s">
        <v>196</v>
      </c>
      <c r="B433" s="59" t="s">
        <v>197</v>
      </c>
      <c r="C433" s="59" t="s">
        <v>194</v>
      </c>
      <c r="D433" s="59" t="s">
        <v>1477</v>
      </c>
      <c r="E433" s="59" t="s">
        <v>71</v>
      </c>
    </row>
    <row r="434" spans="1:5">
      <c r="A434" s="59" t="s">
        <v>2242</v>
      </c>
      <c r="B434" s="59" t="s">
        <v>2243</v>
      </c>
      <c r="C434" s="59" t="s">
        <v>2244</v>
      </c>
      <c r="D434" s="65" t="s">
        <v>0</v>
      </c>
      <c r="E434" s="65" t="s">
        <v>122</v>
      </c>
    </row>
    <row r="435" spans="1:5">
      <c r="A435" s="59" t="s">
        <v>2245</v>
      </c>
      <c r="B435" s="59" t="s">
        <v>2246</v>
      </c>
      <c r="C435" s="59" t="s">
        <v>1002</v>
      </c>
      <c r="D435" s="65" t="s">
        <v>0</v>
      </c>
      <c r="E435" s="65" t="s">
        <v>122</v>
      </c>
    </row>
    <row r="436" spans="1:5">
      <c r="A436" s="59" t="s">
        <v>723</v>
      </c>
      <c r="B436" s="59" t="s">
        <v>724</v>
      </c>
      <c r="C436" s="59" t="s">
        <v>377</v>
      </c>
      <c r="D436" s="65" t="s">
        <v>598</v>
      </c>
      <c r="E436" s="65" t="s">
        <v>71</v>
      </c>
    </row>
    <row r="437" spans="1:5">
      <c r="A437" s="59" t="s">
        <v>2247</v>
      </c>
      <c r="B437" s="59" t="s">
        <v>2248</v>
      </c>
      <c r="C437" s="59" t="s">
        <v>194</v>
      </c>
      <c r="D437" s="59" t="s">
        <v>1477</v>
      </c>
      <c r="E437" s="59" t="s">
        <v>71</v>
      </c>
    </row>
    <row r="438" spans="1:5">
      <c r="A438" s="59" t="s">
        <v>2249</v>
      </c>
      <c r="B438" s="59" t="s">
        <v>2250</v>
      </c>
      <c r="C438" s="59" t="s">
        <v>921</v>
      </c>
      <c r="D438" s="59" t="s">
        <v>1477</v>
      </c>
      <c r="E438" s="59" t="s">
        <v>71</v>
      </c>
    </row>
    <row r="439" spans="1:5">
      <c r="A439" s="59" t="s">
        <v>2251</v>
      </c>
      <c r="B439" s="59" t="s">
        <v>2252</v>
      </c>
      <c r="C439" s="59" t="s">
        <v>62</v>
      </c>
      <c r="D439" s="59" t="s">
        <v>1395</v>
      </c>
      <c r="E439" s="59" t="s">
        <v>71</v>
      </c>
    </row>
    <row r="440" spans="1:5">
      <c r="A440" s="59" t="s">
        <v>2253</v>
      </c>
      <c r="B440" s="59" t="s">
        <v>2254</v>
      </c>
      <c r="C440" s="59" t="s">
        <v>517</v>
      </c>
      <c r="D440" s="65" t="s">
        <v>1395</v>
      </c>
      <c r="E440" s="65" t="s">
        <v>71</v>
      </c>
    </row>
    <row r="441" spans="1:5">
      <c r="A441" s="59" t="s">
        <v>2255</v>
      </c>
      <c r="B441" s="59" t="s">
        <v>2256</v>
      </c>
      <c r="C441" s="59" t="s">
        <v>306</v>
      </c>
      <c r="D441" s="59" t="s">
        <v>1477</v>
      </c>
      <c r="E441" s="59" t="s">
        <v>71</v>
      </c>
    </row>
    <row r="442" spans="1:5">
      <c r="A442" s="59" t="s">
        <v>2257</v>
      </c>
      <c r="B442" s="59" t="s">
        <v>2258</v>
      </c>
      <c r="C442" s="59" t="s">
        <v>973</v>
      </c>
      <c r="D442" s="59" t="s">
        <v>1455</v>
      </c>
      <c r="E442" s="59" t="s">
        <v>71</v>
      </c>
    </row>
    <row r="443" spans="1:5">
      <c r="A443" s="59" t="s">
        <v>655</v>
      </c>
      <c r="B443" s="59" t="s">
        <v>656</v>
      </c>
      <c r="C443" s="59" t="s">
        <v>653</v>
      </c>
      <c r="D443" s="65" t="s">
        <v>1455</v>
      </c>
      <c r="E443" s="65" t="s">
        <v>71</v>
      </c>
    </row>
    <row r="444" spans="1:5">
      <c r="A444" s="59" t="s">
        <v>2259</v>
      </c>
      <c r="B444" s="59" t="s">
        <v>2260</v>
      </c>
      <c r="C444" s="59" t="s">
        <v>488</v>
      </c>
      <c r="D444" s="59" t="s">
        <v>1371</v>
      </c>
      <c r="E444" s="59" t="s">
        <v>71</v>
      </c>
    </row>
    <row r="445" spans="1:5">
      <c r="A445" s="59" t="s">
        <v>2261</v>
      </c>
      <c r="B445" s="59" t="s">
        <v>2262</v>
      </c>
      <c r="C445" s="59" t="s">
        <v>921</v>
      </c>
      <c r="D445" s="59" t="s">
        <v>1477</v>
      </c>
      <c r="E445" s="59" t="s">
        <v>71</v>
      </c>
    </row>
    <row r="446" spans="1:5">
      <c r="A446" s="59" t="s">
        <v>2263</v>
      </c>
      <c r="B446" s="59" t="s">
        <v>2264</v>
      </c>
      <c r="C446" s="59" t="s">
        <v>484</v>
      </c>
      <c r="D446" s="65" t="s">
        <v>1455</v>
      </c>
      <c r="E446" s="65" t="s">
        <v>1456</v>
      </c>
    </row>
    <row r="447" spans="1:5">
      <c r="A447" s="59" t="s">
        <v>2265</v>
      </c>
      <c r="B447" s="59" t="s">
        <v>2266</v>
      </c>
      <c r="C447" s="59" t="s">
        <v>108</v>
      </c>
      <c r="D447" s="59" t="s">
        <v>1458</v>
      </c>
      <c r="E447" s="59" t="s">
        <v>71</v>
      </c>
    </row>
    <row r="448" spans="1:5">
      <c r="A448" s="59" t="s">
        <v>2267</v>
      </c>
      <c r="B448" s="59" t="s">
        <v>2268</v>
      </c>
      <c r="C448" s="59" t="s">
        <v>377</v>
      </c>
      <c r="D448" s="65" t="s">
        <v>598</v>
      </c>
      <c r="E448" s="65" t="s">
        <v>71</v>
      </c>
    </row>
    <row r="449" spans="1:5">
      <c r="A449" s="59" t="s">
        <v>692</v>
      </c>
      <c r="B449" s="59" t="s">
        <v>693</v>
      </c>
      <c r="C449" s="59" t="s">
        <v>455</v>
      </c>
      <c r="D449" s="59" t="s">
        <v>1371</v>
      </c>
      <c r="E449" s="59" t="s">
        <v>71</v>
      </c>
    </row>
    <row r="450" spans="1:5">
      <c r="A450" s="59" t="s">
        <v>2269</v>
      </c>
      <c r="B450" s="59" t="s">
        <v>2270</v>
      </c>
      <c r="C450" s="59" t="s">
        <v>484</v>
      </c>
      <c r="D450" s="59" t="s">
        <v>1455</v>
      </c>
      <c r="E450" s="59" t="s">
        <v>71</v>
      </c>
    </row>
    <row r="451" spans="1:5">
      <c r="A451" s="59" t="s">
        <v>2271</v>
      </c>
      <c r="B451" s="59" t="s">
        <v>2272</v>
      </c>
      <c r="C451" s="59" t="s">
        <v>377</v>
      </c>
      <c r="D451" s="65" t="s">
        <v>598</v>
      </c>
      <c r="E451" s="65" t="s">
        <v>71</v>
      </c>
    </row>
    <row r="452" spans="1:5">
      <c r="A452" s="59" t="s">
        <v>2273</v>
      </c>
      <c r="B452" s="59" t="s">
        <v>2274</v>
      </c>
      <c r="C452" s="59" t="s">
        <v>488</v>
      </c>
      <c r="D452" s="59" t="s">
        <v>1371</v>
      </c>
      <c r="E452" s="59" t="s">
        <v>71</v>
      </c>
    </row>
    <row r="453" spans="1:5">
      <c r="A453" s="59" t="s">
        <v>2275</v>
      </c>
      <c r="B453" s="59" t="s">
        <v>2276</v>
      </c>
      <c r="C453" s="59" t="s">
        <v>89</v>
      </c>
      <c r="D453" s="65" t="s">
        <v>89</v>
      </c>
      <c r="E453" s="65" t="s">
        <v>71</v>
      </c>
    </row>
    <row r="454" spans="1:5">
      <c r="A454" s="59" t="s">
        <v>2277</v>
      </c>
      <c r="B454" s="59" t="s">
        <v>2278</v>
      </c>
      <c r="C454" s="59" t="s">
        <v>267</v>
      </c>
      <c r="D454" s="59" t="s">
        <v>1395</v>
      </c>
      <c r="E454" s="59" t="s">
        <v>71</v>
      </c>
    </row>
    <row r="455" spans="1:5">
      <c r="A455" s="59" t="s">
        <v>2279</v>
      </c>
      <c r="B455" s="59" t="s">
        <v>2280</v>
      </c>
      <c r="C455" s="59" t="s">
        <v>2281</v>
      </c>
      <c r="D455" s="65" t="s">
        <v>0</v>
      </c>
      <c r="E455" s="65" t="s">
        <v>122</v>
      </c>
    </row>
    <row r="456" spans="1:5">
      <c r="A456" s="59" t="s">
        <v>2282</v>
      </c>
      <c r="B456" s="59" t="s">
        <v>2283</v>
      </c>
      <c r="C456" s="59" t="s">
        <v>455</v>
      </c>
      <c r="D456" s="59" t="s">
        <v>1371</v>
      </c>
      <c r="E456" s="59" t="s">
        <v>71</v>
      </c>
    </row>
    <row r="457" spans="1:5">
      <c r="A457" s="59" t="s">
        <v>2284</v>
      </c>
      <c r="B457" s="59" t="s">
        <v>2285</v>
      </c>
      <c r="C457" s="59" t="s">
        <v>1404</v>
      </c>
      <c r="D457" s="59" t="s">
        <v>1395</v>
      </c>
      <c r="E457" s="59" t="s">
        <v>71</v>
      </c>
    </row>
    <row r="458" spans="1:5">
      <c r="A458" s="59" t="s">
        <v>2286</v>
      </c>
      <c r="B458" s="59" t="s">
        <v>2287</v>
      </c>
      <c r="C458" s="59" t="s">
        <v>1521</v>
      </c>
      <c r="D458" s="59" t="s">
        <v>1371</v>
      </c>
      <c r="E458" s="59" t="s">
        <v>1456</v>
      </c>
    </row>
    <row r="459" spans="1:5">
      <c r="A459" s="59" t="s">
        <v>2288</v>
      </c>
      <c r="B459" s="59" t="s">
        <v>2289</v>
      </c>
      <c r="C459" s="59" t="s">
        <v>488</v>
      </c>
      <c r="D459" s="59" t="s">
        <v>1371</v>
      </c>
      <c r="E459" s="59" t="s">
        <v>71</v>
      </c>
    </row>
    <row r="460" spans="1:5">
      <c r="A460" s="59" t="s">
        <v>2290</v>
      </c>
      <c r="B460" s="59" t="s">
        <v>2291</v>
      </c>
      <c r="C460" s="59" t="s">
        <v>89</v>
      </c>
      <c r="D460" s="65" t="s">
        <v>89</v>
      </c>
      <c r="E460" s="59" t="s">
        <v>1456</v>
      </c>
    </row>
    <row r="461" spans="1:5">
      <c r="A461" s="59" t="s">
        <v>2292</v>
      </c>
      <c r="B461" s="59" t="s">
        <v>2293</v>
      </c>
      <c r="C461" s="59" t="s">
        <v>1551</v>
      </c>
      <c r="D461" s="65" t="s">
        <v>0</v>
      </c>
      <c r="E461" s="65" t="s">
        <v>122</v>
      </c>
    </row>
    <row r="462" spans="1:5">
      <c r="A462" s="59" t="s">
        <v>2294</v>
      </c>
      <c r="B462" s="59" t="s">
        <v>2295</v>
      </c>
      <c r="C462" s="59" t="s">
        <v>484</v>
      </c>
      <c r="D462" s="59" t="s">
        <v>1455</v>
      </c>
      <c r="E462" s="59" t="s">
        <v>71</v>
      </c>
    </row>
    <row r="463" spans="1:5">
      <c r="A463" s="59" t="s">
        <v>2296</v>
      </c>
      <c r="B463" s="59" t="s">
        <v>2297</v>
      </c>
      <c r="C463" s="59" t="s">
        <v>960</v>
      </c>
      <c r="D463" s="59" t="s">
        <v>1477</v>
      </c>
      <c r="E463" s="59" t="s">
        <v>71</v>
      </c>
    </row>
    <row r="464" spans="1:5">
      <c r="A464" s="59" t="s">
        <v>2298</v>
      </c>
      <c r="B464" s="59" t="s">
        <v>2299</v>
      </c>
      <c r="C464" s="59" t="s">
        <v>952</v>
      </c>
      <c r="D464" s="59" t="s">
        <v>1458</v>
      </c>
      <c r="E464" s="59" t="s">
        <v>71</v>
      </c>
    </row>
    <row r="465" spans="1:5">
      <c r="A465" s="59" t="s">
        <v>2300</v>
      </c>
      <c r="B465" s="59" t="s">
        <v>2301</v>
      </c>
      <c r="C465" s="59" t="s">
        <v>517</v>
      </c>
      <c r="D465" s="59" t="s">
        <v>1395</v>
      </c>
      <c r="E465" s="59" t="s">
        <v>71</v>
      </c>
    </row>
    <row r="466" spans="1:5">
      <c r="A466" s="59" t="s">
        <v>2302</v>
      </c>
      <c r="B466" s="59" t="s">
        <v>2303</v>
      </c>
      <c r="C466" s="59" t="s">
        <v>900</v>
      </c>
      <c r="D466" s="59" t="s">
        <v>1455</v>
      </c>
      <c r="E466" s="59" t="s">
        <v>71</v>
      </c>
    </row>
    <row r="467" spans="1:5">
      <c r="A467" s="59" t="s">
        <v>2304</v>
      </c>
      <c r="B467" s="59" t="s">
        <v>2305</v>
      </c>
      <c r="C467" s="59" t="s">
        <v>593</v>
      </c>
      <c r="D467" s="59" t="s">
        <v>1455</v>
      </c>
      <c r="E467" s="59" t="s">
        <v>71</v>
      </c>
    </row>
    <row r="468" spans="1:5">
      <c r="A468" s="59" t="s">
        <v>2306</v>
      </c>
      <c r="B468" s="59" t="s">
        <v>2307</v>
      </c>
      <c r="C468" s="59" t="s">
        <v>1669</v>
      </c>
      <c r="D468" s="65" t="s">
        <v>1455</v>
      </c>
      <c r="E468" s="65" t="s">
        <v>71</v>
      </c>
    </row>
    <row r="469" spans="1:5">
      <c r="A469" s="59" t="s">
        <v>2308</v>
      </c>
      <c r="B469" s="59" t="s">
        <v>2309</v>
      </c>
      <c r="C469" s="59" t="s">
        <v>1669</v>
      </c>
      <c r="D469" s="59" t="s">
        <v>1395</v>
      </c>
      <c r="E469" s="59" t="s">
        <v>71</v>
      </c>
    </row>
    <row r="470" spans="1:5">
      <c r="A470" s="59" t="s">
        <v>2310</v>
      </c>
      <c r="B470" s="59" t="s">
        <v>2311</v>
      </c>
      <c r="C470" s="59" t="s">
        <v>1669</v>
      </c>
      <c r="D470" s="59" t="s">
        <v>1458</v>
      </c>
      <c r="E470" s="59" t="s">
        <v>71</v>
      </c>
    </row>
    <row r="471" spans="1:5">
      <c r="A471" s="59" t="s">
        <v>2312</v>
      </c>
      <c r="B471" s="59" t="s">
        <v>2313</v>
      </c>
      <c r="C471" s="59" t="s">
        <v>1669</v>
      </c>
      <c r="D471" s="59" t="s">
        <v>1477</v>
      </c>
      <c r="E471" s="59" t="s">
        <v>71</v>
      </c>
    </row>
    <row r="472" spans="1:5">
      <c r="A472" s="59" t="s">
        <v>2314</v>
      </c>
      <c r="B472" s="59" t="s">
        <v>2315</v>
      </c>
      <c r="C472" s="59" t="s">
        <v>1669</v>
      </c>
      <c r="D472" s="59" t="s">
        <v>1477</v>
      </c>
      <c r="E472" s="59" t="s">
        <v>71</v>
      </c>
    </row>
    <row r="473" spans="1:5">
      <c r="A473" s="59" t="s">
        <v>2316</v>
      </c>
      <c r="B473" s="59" t="s">
        <v>2317</v>
      </c>
      <c r="C473" s="59" t="s">
        <v>1669</v>
      </c>
      <c r="D473" s="59" t="s">
        <v>1395</v>
      </c>
      <c r="E473" s="59" t="s">
        <v>71</v>
      </c>
    </row>
    <row r="474" spans="1:5">
      <c r="A474" s="59" t="s">
        <v>2318</v>
      </c>
      <c r="B474" s="59" t="s">
        <v>2319</v>
      </c>
      <c r="C474" s="59" t="s">
        <v>1669</v>
      </c>
      <c r="D474" s="59" t="s">
        <v>1395</v>
      </c>
      <c r="E474" s="59" t="s">
        <v>71</v>
      </c>
    </row>
    <row r="475" spans="1:5">
      <c r="A475" s="59" t="s">
        <v>2320</v>
      </c>
      <c r="B475" s="59" t="s">
        <v>2321</v>
      </c>
      <c r="C475" s="59" t="s">
        <v>1669</v>
      </c>
      <c r="D475" s="59" t="s">
        <v>1458</v>
      </c>
      <c r="E475" s="59" t="s">
        <v>71</v>
      </c>
    </row>
    <row r="476" spans="1:5">
      <c r="A476" s="59" t="s">
        <v>2322</v>
      </c>
      <c r="B476" s="59" t="s">
        <v>993</v>
      </c>
      <c r="C476" s="59" t="s">
        <v>1669</v>
      </c>
      <c r="D476" s="59" t="s">
        <v>1477</v>
      </c>
      <c r="E476" s="59" t="s">
        <v>71</v>
      </c>
    </row>
    <row r="477" spans="1:5">
      <c r="A477" s="59" t="s">
        <v>2323</v>
      </c>
      <c r="B477" s="59" t="s">
        <v>2324</v>
      </c>
      <c r="C477" s="59" t="s">
        <v>1669</v>
      </c>
      <c r="D477" s="59" t="s">
        <v>89</v>
      </c>
      <c r="E477" s="59" t="s">
        <v>1456</v>
      </c>
    </row>
    <row r="478" spans="1:5">
      <c r="A478" s="59" t="s">
        <v>2325</v>
      </c>
      <c r="B478" s="59" t="s">
        <v>2326</v>
      </c>
      <c r="C478" s="59" t="s">
        <v>1669</v>
      </c>
      <c r="D478" s="59" t="s">
        <v>1395</v>
      </c>
      <c r="E478" s="59" t="s">
        <v>71</v>
      </c>
    </row>
    <row r="479" spans="1:5">
      <c r="A479" s="59" t="s">
        <v>2327</v>
      </c>
      <c r="B479" s="59" t="s">
        <v>2328</v>
      </c>
      <c r="C479" s="59" t="s">
        <v>1669</v>
      </c>
      <c r="D479" s="59" t="s">
        <v>1455</v>
      </c>
      <c r="E479" s="59" t="s">
        <v>71</v>
      </c>
    </row>
    <row r="480" spans="1:5">
      <c r="A480" s="59" t="s">
        <v>2329</v>
      </c>
      <c r="B480" s="59" t="s">
        <v>2330</v>
      </c>
      <c r="C480" s="59" t="s">
        <v>1669</v>
      </c>
      <c r="D480" s="59" t="s">
        <v>1407</v>
      </c>
      <c r="E480" s="59" t="s">
        <v>31</v>
      </c>
    </row>
    <row r="481" spans="1:5">
      <c r="A481" s="59" t="s">
        <v>2331</v>
      </c>
      <c r="B481" s="59" t="s">
        <v>2332</v>
      </c>
      <c r="C481" s="59" t="s">
        <v>1669</v>
      </c>
      <c r="D481" s="59" t="s">
        <v>1477</v>
      </c>
      <c r="E481" s="59" t="s">
        <v>1456</v>
      </c>
    </row>
    <row r="482" spans="1:5">
      <c r="A482" s="59" t="s">
        <v>848</v>
      </c>
      <c r="B482" s="59" t="s">
        <v>849</v>
      </c>
      <c r="C482" s="59" t="s">
        <v>1669</v>
      </c>
      <c r="D482" s="65" t="s">
        <v>598</v>
      </c>
      <c r="E482" s="65" t="s">
        <v>71</v>
      </c>
    </row>
    <row r="483" spans="1:5">
      <c r="A483" s="59" t="s">
        <v>2333</v>
      </c>
      <c r="B483" s="59" t="s">
        <v>2334</v>
      </c>
      <c r="C483" s="59" t="s">
        <v>1669</v>
      </c>
      <c r="D483" s="59" t="s">
        <v>1458</v>
      </c>
      <c r="E483" s="59" t="s">
        <v>71</v>
      </c>
    </row>
    <row r="484" spans="1:5">
      <c r="A484" s="59" t="s">
        <v>2335</v>
      </c>
      <c r="B484" s="59" t="s">
        <v>2336</v>
      </c>
      <c r="C484" s="59" t="s">
        <v>1669</v>
      </c>
      <c r="D484" s="59" t="s">
        <v>89</v>
      </c>
      <c r="E484" s="59" t="s">
        <v>1456</v>
      </c>
    </row>
    <row r="485" spans="1:5">
      <c r="A485" s="59" t="s">
        <v>2337</v>
      </c>
      <c r="B485" s="59" t="s">
        <v>2338</v>
      </c>
      <c r="C485" s="59" t="s">
        <v>1669</v>
      </c>
      <c r="D485" s="59" t="s">
        <v>1477</v>
      </c>
      <c r="E485" s="59" t="s">
        <v>71</v>
      </c>
    </row>
    <row r="486" spans="1:5">
      <c r="A486" s="59" t="s">
        <v>2339</v>
      </c>
      <c r="B486" s="59" t="s">
        <v>2340</v>
      </c>
      <c r="C486" s="59" t="s">
        <v>1669</v>
      </c>
      <c r="D486" s="59" t="s">
        <v>1371</v>
      </c>
      <c r="E486" s="59" t="s">
        <v>1456</v>
      </c>
    </row>
    <row r="487" spans="1:5">
      <c r="A487" s="59" t="s">
        <v>2341</v>
      </c>
      <c r="B487" s="59" t="s">
        <v>2342</v>
      </c>
      <c r="C487" s="59" t="s">
        <v>1669</v>
      </c>
      <c r="D487" s="59" t="s">
        <v>1395</v>
      </c>
      <c r="E487" s="59" t="s">
        <v>71</v>
      </c>
    </row>
    <row r="488" spans="1:5">
      <c r="A488" s="59" t="s">
        <v>2343</v>
      </c>
      <c r="B488" s="59" t="s">
        <v>2344</v>
      </c>
      <c r="C488" s="59" t="s">
        <v>1669</v>
      </c>
      <c r="D488" s="59" t="s">
        <v>1407</v>
      </c>
      <c r="E488" s="59" t="s">
        <v>71</v>
      </c>
    </row>
    <row r="489" spans="1:5">
      <c r="A489" s="59" t="s">
        <v>2345</v>
      </c>
      <c r="B489" s="59" t="s">
        <v>2346</v>
      </c>
      <c r="C489" s="59" t="s">
        <v>1669</v>
      </c>
      <c r="D489" s="59" t="s">
        <v>1455</v>
      </c>
      <c r="E489" s="59" t="s">
        <v>71</v>
      </c>
    </row>
    <row r="490" spans="1:5">
      <c r="A490" s="59" t="s">
        <v>2347</v>
      </c>
      <c r="B490" s="59" t="s">
        <v>2348</v>
      </c>
      <c r="C490" s="59" t="s">
        <v>1669</v>
      </c>
      <c r="D490" s="59" t="s">
        <v>1458</v>
      </c>
      <c r="E490" s="59" t="s">
        <v>71</v>
      </c>
    </row>
    <row r="491" spans="1:5">
      <c r="A491" s="59" t="s">
        <v>2349</v>
      </c>
      <c r="B491" s="59" t="s">
        <v>2350</v>
      </c>
      <c r="C491" s="59" t="s">
        <v>1669</v>
      </c>
      <c r="D491" s="59" t="s">
        <v>1477</v>
      </c>
      <c r="E491" s="59" t="s">
        <v>1456</v>
      </c>
    </row>
    <row r="492" spans="1:5">
      <c r="A492" s="59" t="s">
        <v>2351</v>
      </c>
      <c r="B492" s="59" t="s">
        <v>2352</v>
      </c>
      <c r="C492" s="59" t="s">
        <v>1669</v>
      </c>
      <c r="D492" s="59" t="s">
        <v>1407</v>
      </c>
      <c r="E492" s="59" t="s">
        <v>31</v>
      </c>
    </row>
    <row r="493" spans="1:5">
      <c r="A493" s="59" t="s">
        <v>2353</v>
      </c>
      <c r="B493" s="59" t="s">
        <v>2354</v>
      </c>
      <c r="C493" s="59" t="s">
        <v>1669</v>
      </c>
      <c r="D493" s="59" t="s">
        <v>1395</v>
      </c>
      <c r="E493" s="59" t="s">
        <v>71</v>
      </c>
    </row>
    <row r="494" spans="1:5">
      <c r="A494" s="59" t="s">
        <v>2355</v>
      </c>
      <c r="B494" s="59" t="s">
        <v>2356</v>
      </c>
      <c r="C494" s="59" t="s">
        <v>1669</v>
      </c>
      <c r="D494" s="59" t="s">
        <v>1455</v>
      </c>
      <c r="E494" s="59" t="s">
        <v>71</v>
      </c>
    </row>
    <row r="495" spans="1:5">
      <c r="A495" s="59" t="s">
        <v>2357</v>
      </c>
      <c r="B495" s="59" t="s">
        <v>2358</v>
      </c>
      <c r="C495" s="59" t="s">
        <v>1669</v>
      </c>
      <c r="D495" s="59" t="s">
        <v>1371</v>
      </c>
      <c r="E495" s="59" t="s">
        <v>71</v>
      </c>
    </row>
    <row r="496" spans="1:5">
      <c r="A496" s="59" t="s">
        <v>2359</v>
      </c>
      <c r="B496" s="59" t="s">
        <v>2360</v>
      </c>
      <c r="C496" s="59" t="s">
        <v>1669</v>
      </c>
      <c r="D496" s="59" t="s">
        <v>1477</v>
      </c>
      <c r="E496" s="59" t="s">
        <v>71</v>
      </c>
    </row>
    <row r="497" spans="1:5">
      <c r="A497" s="59" t="s">
        <v>2361</v>
      </c>
      <c r="B497" s="59" t="s">
        <v>2362</v>
      </c>
      <c r="C497" s="59" t="s">
        <v>1669</v>
      </c>
      <c r="D497" s="59" t="s">
        <v>1371</v>
      </c>
      <c r="E497" s="59" t="s">
        <v>71</v>
      </c>
    </row>
    <row r="498" spans="1:5">
      <c r="A498" s="59" t="s">
        <v>2363</v>
      </c>
      <c r="B498" s="59" t="s">
        <v>2364</v>
      </c>
      <c r="C498" s="59" t="s">
        <v>1669</v>
      </c>
      <c r="D498" s="59" t="s">
        <v>1455</v>
      </c>
      <c r="E498" s="59" t="s">
        <v>71</v>
      </c>
    </row>
    <row r="499" spans="1:5">
      <c r="A499" s="59" t="s">
        <v>2365</v>
      </c>
      <c r="B499" s="59" t="s">
        <v>2366</v>
      </c>
      <c r="C499" s="59" t="s">
        <v>1669</v>
      </c>
      <c r="D499" s="59" t="s">
        <v>1455</v>
      </c>
      <c r="E499" s="59" t="s">
        <v>1456</v>
      </c>
    </row>
    <row r="500" spans="1:5">
      <c r="A500" s="59" t="s">
        <v>2367</v>
      </c>
      <c r="B500" s="59" t="s">
        <v>2368</v>
      </c>
      <c r="C500" s="59" t="s">
        <v>1669</v>
      </c>
      <c r="D500" s="59" t="s">
        <v>1455</v>
      </c>
      <c r="E500" s="59" t="s">
        <v>71</v>
      </c>
    </row>
    <row r="501" spans="1:5">
      <c r="A501" s="59" t="s">
        <v>2369</v>
      </c>
      <c r="B501" s="59" t="s">
        <v>2370</v>
      </c>
      <c r="C501" s="59" t="s">
        <v>1669</v>
      </c>
      <c r="D501" s="59" t="s">
        <v>1395</v>
      </c>
      <c r="E501" s="59" t="s">
        <v>71</v>
      </c>
    </row>
    <row r="502" spans="1:5">
      <c r="A502" s="59" t="s">
        <v>922</v>
      </c>
      <c r="B502" s="59" t="s">
        <v>2371</v>
      </c>
      <c r="C502" s="59" t="s">
        <v>1669</v>
      </c>
      <c r="D502" s="65" t="s">
        <v>1477</v>
      </c>
      <c r="E502" s="65" t="s">
        <v>71</v>
      </c>
    </row>
    <row r="503" spans="1:5">
      <c r="A503" s="59" t="s">
        <v>2372</v>
      </c>
      <c r="B503" s="59" t="s">
        <v>2373</v>
      </c>
      <c r="C503" s="59" t="s">
        <v>1669</v>
      </c>
      <c r="D503" s="59" t="s">
        <v>1477</v>
      </c>
      <c r="E503" s="59" t="s">
        <v>71</v>
      </c>
    </row>
    <row r="504" spans="1:5">
      <c r="A504" s="59" t="s">
        <v>2374</v>
      </c>
      <c r="B504" s="59" t="s">
        <v>2375</v>
      </c>
      <c r="C504" s="59" t="s">
        <v>1669</v>
      </c>
      <c r="D504" s="59" t="s">
        <v>1455</v>
      </c>
      <c r="E504" s="59" t="s">
        <v>1456</v>
      </c>
    </row>
    <row r="505" spans="1:5">
      <c r="A505" s="59" t="s">
        <v>2376</v>
      </c>
      <c r="B505" s="59" t="s">
        <v>2377</v>
      </c>
      <c r="C505" s="59" t="s">
        <v>1669</v>
      </c>
      <c r="D505" s="59" t="s">
        <v>1395</v>
      </c>
      <c r="E505" s="59" t="s">
        <v>71</v>
      </c>
    </row>
    <row r="506" spans="1:5">
      <c r="A506" s="59" t="s">
        <v>2378</v>
      </c>
      <c r="B506" s="59" t="s">
        <v>2379</v>
      </c>
      <c r="C506" s="59" t="s">
        <v>1669</v>
      </c>
      <c r="D506" s="59" t="s">
        <v>1458</v>
      </c>
      <c r="E506" s="59" t="s">
        <v>71</v>
      </c>
    </row>
    <row r="507" spans="1:5">
      <c r="A507" s="59" t="s">
        <v>2380</v>
      </c>
      <c r="B507" s="59" t="s">
        <v>2381</v>
      </c>
      <c r="C507" s="59" t="s">
        <v>1669</v>
      </c>
      <c r="D507" s="59" t="s">
        <v>1455</v>
      </c>
      <c r="E507" s="59" t="s">
        <v>71</v>
      </c>
    </row>
    <row r="508" spans="1:5">
      <c r="A508" s="59" t="s">
        <v>2382</v>
      </c>
      <c r="B508" s="59" t="s">
        <v>2383</v>
      </c>
      <c r="C508" s="59" t="s">
        <v>1669</v>
      </c>
      <c r="D508" s="59" t="s">
        <v>1458</v>
      </c>
      <c r="E508" s="59" t="s">
        <v>71</v>
      </c>
    </row>
    <row r="509" spans="1:5">
      <c r="A509" s="59" t="s">
        <v>2384</v>
      </c>
      <c r="B509" s="59" t="s">
        <v>2385</v>
      </c>
      <c r="C509" s="59" t="s">
        <v>1669</v>
      </c>
      <c r="D509" s="59" t="s">
        <v>1477</v>
      </c>
      <c r="E509" s="65" t="s">
        <v>1456</v>
      </c>
    </row>
    <row r="510" spans="1:5">
      <c r="A510" s="59" t="s">
        <v>2386</v>
      </c>
      <c r="B510" s="59" t="s">
        <v>2387</v>
      </c>
      <c r="C510" s="59" t="s">
        <v>1669</v>
      </c>
      <c r="D510" s="59" t="s">
        <v>1395</v>
      </c>
      <c r="E510" s="59" t="s">
        <v>71</v>
      </c>
    </row>
    <row r="511" spans="1:5">
      <c r="A511" s="59" t="s">
        <v>2388</v>
      </c>
      <c r="B511" s="59" t="s">
        <v>2389</v>
      </c>
      <c r="C511" s="59" t="s">
        <v>1669</v>
      </c>
      <c r="D511" s="59" t="s">
        <v>1477</v>
      </c>
      <c r="E511" s="59" t="s">
        <v>71</v>
      </c>
    </row>
    <row r="512" spans="1:5">
      <c r="A512" s="59" t="s">
        <v>2390</v>
      </c>
      <c r="B512" s="59" t="s">
        <v>2391</v>
      </c>
      <c r="C512" s="59" t="s">
        <v>1669</v>
      </c>
      <c r="D512" s="59" t="s">
        <v>1395</v>
      </c>
      <c r="E512" s="59" t="s">
        <v>1456</v>
      </c>
    </row>
    <row r="513" spans="1:5">
      <c r="A513" s="59" t="s">
        <v>2392</v>
      </c>
      <c r="B513" s="59" t="s">
        <v>2393</v>
      </c>
      <c r="C513" s="59" t="s">
        <v>1669</v>
      </c>
      <c r="D513" s="59" t="s">
        <v>89</v>
      </c>
      <c r="E513" s="59" t="s">
        <v>71</v>
      </c>
    </row>
    <row r="514" spans="1:5">
      <c r="A514" s="59" t="s">
        <v>2394</v>
      </c>
      <c r="B514" s="59" t="s">
        <v>2395</v>
      </c>
      <c r="C514" s="59" t="s">
        <v>1669</v>
      </c>
      <c r="D514" s="59" t="s">
        <v>1395</v>
      </c>
      <c r="E514" s="59" t="s">
        <v>71</v>
      </c>
    </row>
    <row r="515" spans="1:5">
      <c r="A515" s="59" t="s">
        <v>2396</v>
      </c>
      <c r="B515" s="59" t="s">
        <v>2397</v>
      </c>
      <c r="C515" s="59" t="s">
        <v>1669</v>
      </c>
      <c r="D515" s="59" t="s">
        <v>1371</v>
      </c>
      <c r="E515" s="59" t="s">
        <v>1456</v>
      </c>
    </row>
    <row r="516" spans="1:5">
      <c r="A516" s="59" t="s">
        <v>2398</v>
      </c>
      <c r="B516" s="59" t="s">
        <v>2399</v>
      </c>
      <c r="C516" s="59" t="s">
        <v>1669</v>
      </c>
      <c r="D516" s="59" t="s">
        <v>1458</v>
      </c>
      <c r="E516" s="59" t="s">
        <v>71</v>
      </c>
    </row>
    <row r="517" spans="1:5">
      <c r="A517" s="59" t="s">
        <v>2400</v>
      </c>
      <c r="B517" s="59" t="s">
        <v>2401</v>
      </c>
      <c r="C517" s="59" t="s">
        <v>1669</v>
      </c>
      <c r="D517" s="59" t="s">
        <v>1371</v>
      </c>
      <c r="E517" s="59" t="s">
        <v>71</v>
      </c>
    </row>
    <row r="518" spans="1:5">
      <c r="A518" s="59" t="s">
        <v>2402</v>
      </c>
      <c r="B518" s="59" t="s">
        <v>2403</v>
      </c>
      <c r="C518" s="59" t="s">
        <v>1669</v>
      </c>
      <c r="D518" s="59" t="s">
        <v>1458</v>
      </c>
      <c r="E518" s="59" t="s">
        <v>71</v>
      </c>
    </row>
    <row r="519" spans="1:5">
      <c r="A519" s="59" t="s">
        <v>2404</v>
      </c>
      <c r="B519" s="59" t="s">
        <v>2405</v>
      </c>
      <c r="C519" s="59" t="s">
        <v>1669</v>
      </c>
      <c r="D519" s="59" t="s">
        <v>1477</v>
      </c>
      <c r="E519" s="59" t="s">
        <v>71</v>
      </c>
    </row>
    <row r="520" spans="1:5">
      <c r="A520" s="59" t="s">
        <v>2406</v>
      </c>
      <c r="B520" s="59" t="s">
        <v>2407</v>
      </c>
      <c r="C520" s="59" t="s">
        <v>1669</v>
      </c>
      <c r="D520" s="59" t="s">
        <v>1458</v>
      </c>
      <c r="E520" s="59" t="s">
        <v>71</v>
      </c>
    </row>
    <row r="521" spans="1:5">
      <c r="A521" s="59" t="s">
        <v>2408</v>
      </c>
      <c r="B521" s="59" t="s">
        <v>2407</v>
      </c>
      <c r="C521" s="59" t="s">
        <v>1669</v>
      </c>
      <c r="D521" s="59" t="s">
        <v>1458</v>
      </c>
      <c r="E521" s="59" t="s">
        <v>71</v>
      </c>
    </row>
    <row r="522" spans="1:5">
      <c r="A522" s="59" t="s">
        <v>2409</v>
      </c>
      <c r="B522" s="59" t="s">
        <v>2410</v>
      </c>
      <c r="C522" s="59" t="s">
        <v>1669</v>
      </c>
      <c r="D522" s="65" t="s">
        <v>598</v>
      </c>
      <c r="E522" s="65" t="s">
        <v>71</v>
      </c>
    </row>
    <row r="523" spans="1:5">
      <c r="A523" s="59" t="s">
        <v>2411</v>
      </c>
      <c r="B523" s="59" t="s">
        <v>2412</v>
      </c>
      <c r="C523" s="59" t="s">
        <v>1669</v>
      </c>
      <c r="D523" s="59" t="s">
        <v>1477</v>
      </c>
      <c r="E523" s="59" t="s">
        <v>71</v>
      </c>
    </row>
    <row r="524" spans="1:5">
      <c r="A524" s="59" t="s">
        <v>2413</v>
      </c>
      <c r="B524" s="59" t="s">
        <v>2414</v>
      </c>
      <c r="C524" s="59" t="s">
        <v>1669</v>
      </c>
      <c r="D524" s="65" t="s">
        <v>1477</v>
      </c>
      <c r="E524" s="65" t="s">
        <v>71</v>
      </c>
    </row>
    <row r="525" spans="1:5">
      <c r="A525" s="59" t="s">
        <v>2415</v>
      </c>
      <c r="B525" s="59" t="s">
        <v>2416</v>
      </c>
      <c r="C525" s="59" t="s">
        <v>1669</v>
      </c>
      <c r="D525" s="65" t="s">
        <v>1477</v>
      </c>
      <c r="E525" s="65" t="s">
        <v>71</v>
      </c>
    </row>
    <row r="526" spans="1:5">
      <c r="A526" s="59" t="s">
        <v>2417</v>
      </c>
      <c r="B526" s="59" t="s">
        <v>2418</v>
      </c>
      <c r="C526" s="59" t="s">
        <v>1669</v>
      </c>
      <c r="D526" s="59" t="s">
        <v>1395</v>
      </c>
      <c r="E526" s="59" t="s">
        <v>1456</v>
      </c>
    </row>
    <row r="527" spans="1:5">
      <c r="A527" s="59" t="s">
        <v>2419</v>
      </c>
      <c r="B527" s="59" t="s">
        <v>2420</v>
      </c>
      <c r="C527" s="59" t="s">
        <v>1669</v>
      </c>
      <c r="D527" s="59" t="s">
        <v>89</v>
      </c>
      <c r="E527" s="59" t="s">
        <v>1456</v>
      </c>
    </row>
    <row r="528" spans="1:5">
      <c r="A528" s="59" t="s">
        <v>2421</v>
      </c>
      <c r="B528" s="59" t="s">
        <v>2422</v>
      </c>
      <c r="C528" s="59" t="s">
        <v>1669</v>
      </c>
      <c r="D528" s="65" t="s">
        <v>1477</v>
      </c>
      <c r="E528" s="65" t="s">
        <v>71</v>
      </c>
    </row>
    <row r="529" spans="1:5">
      <c r="A529" s="59" t="s">
        <v>2423</v>
      </c>
      <c r="B529" s="59" t="s">
        <v>2424</v>
      </c>
      <c r="C529" s="59" t="s">
        <v>1669</v>
      </c>
      <c r="D529" s="59" t="s">
        <v>1477</v>
      </c>
      <c r="E529" s="59" t="s">
        <v>1456</v>
      </c>
    </row>
    <row r="530" spans="1:5">
      <c r="A530" s="59" t="s">
        <v>2425</v>
      </c>
      <c r="B530" s="59" t="s">
        <v>2426</v>
      </c>
      <c r="C530" s="59" t="s">
        <v>1669</v>
      </c>
      <c r="D530" s="59" t="s">
        <v>1455</v>
      </c>
      <c r="E530" s="59" t="s">
        <v>71</v>
      </c>
    </row>
    <row r="531" spans="1:5">
      <c r="A531" s="59" t="s">
        <v>783</v>
      </c>
      <c r="B531" s="59" t="s">
        <v>784</v>
      </c>
      <c r="C531" s="59" t="s">
        <v>1669</v>
      </c>
      <c r="D531" s="59" t="s">
        <v>1455</v>
      </c>
      <c r="E531" s="59" t="s">
        <v>71</v>
      </c>
    </row>
    <row r="532" spans="1:5">
      <c r="A532" s="59" t="s">
        <v>2427</v>
      </c>
      <c r="B532" s="59" t="s">
        <v>2428</v>
      </c>
      <c r="C532" s="59" t="s">
        <v>1669</v>
      </c>
      <c r="D532" s="65" t="s">
        <v>598</v>
      </c>
      <c r="E532" s="65" t="s">
        <v>71</v>
      </c>
    </row>
    <row r="533" spans="1:5">
      <c r="A533" s="59" t="s">
        <v>363</v>
      </c>
      <c r="B533" s="59" t="s">
        <v>364</v>
      </c>
      <c r="C533" s="59" t="s">
        <v>1669</v>
      </c>
      <c r="D533" s="65" t="s">
        <v>598</v>
      </c>
      <c r="E533" s="65" t="s">
        <v>71</v>
      </c>
    </row>
    <row r="534" spans="1:5">
      <c r="A534" s="59" t="s">
        <v>2429</v>
      </c>
      <c r="B534" s="59" t="s">
        <v>2430</v>
      </c>
      <c r="C534" s="59" t="s">
        <v>1669</v>
      </c>
      <c r="D534" s="59" t="s">
        <v>1458</v>
      </c>
      <c r="E534" s="59" t="s">
        <v>71</v>
      </c>
    </row>
    <row r="535" spans="1:5">
      <c r="A535" s="59" t="s">
        <v>2431</v>
      </c>
      <c r="B535" s="59" t="s">
        <v>2432</v>
      </c>
      <c r="C535" s="59" t="s">
        <v>1669</v>
      </c>
      <c r="D535" s="65" t="s">
        <v>1371</v>
      </c>
      <c r="E535" s="65" t="s">
        <v>122</v>
      </c>
    </row>
    <row r="536" spans="1:5">
      <c r="A536" s="59" t="s">
        <v>2433</v>
      </c>
      <c r="B536" s="59" t="s">
        <v>2434</v>
      </c>
      <c r="C536" s="59" t="s">
        <v>1669</v>
      </c>
      <c r="D536" s="59" t="s">
        <v>1455</v>
      </c>
      <c r="E536" s="59" t="s">
        <v>71</v>
      </c>
    </row>
    <row r="537" spans="1:5">
      <c r="A537" s="59" t="s">
        <v>2435</v>
      </c>
      <c r="B537" s="59" t="s">
        <v>2436</v>
      </c>
      <c r="C537" s="59" t="s">
        <v>1669</v>
      </c>
      <c r="D537" s="59" t="s">
        <v>1458</v>
      </c>
      <c r="E537" s="59" t="s">
        <v>71</v>
      </c>
    </row>
    <row r="538" spans="1:5">
      <c r="A538" s="59" t="s">
        <v>2437</v>
      </c>
      <c r="B538" s="59" t="s">
        <v>2438</v>
      </c>
      <c r="C538" s="59" t="s">
        <v>1669</v>
      </c>
      <c r="D538" s="59" t="s">
        <v>1371</v>
      </c>
      <c r="E538" s="59" t="s">
        <v>71</v>
      </c>
    </row>
    <row r="539" spans="1:5">
      <c r="A539" s="59" t="s">
        <v>2439</v>
      </c>
      <c r="B539" s="59" t="s">
        <v>2440</v>
      </c>
      <c r="C539" s="59" t="s">
        <v>1669</v>
      </c>
      <c r="D539" s="65" t="s">
        <v>598</v>
      </c>
      <c r="E539" s="65" t="s">
        <v>71</v>
      </c>
    </row>
    <row r="540" spans="1:5">
      <c r="A540" s="59" t="s">
        <v>2441</v>
      </c>
      <c r="B540" s="59" t="s">
        <v>2442</v>
      </c>
      <c r="C540" s="59" t="s">
        <v>1669</v>
      </c>
      <c r="D540" s="59" t="s">
        <v>1458</v>
      </c>
      <c r="E540" s="59" t="s">
        <v>71</v>
      </c>
    </row>
    <row r="541" spans="1:5">
      <c r="A541" s="59" t="s">
        <v>2443</v>
      </c>
      <c r="B541" s="59" t="s">
        <v>2444</v>
      </c>
      <c r="C541" s="59" t="s">
        <v>1669</v>
      </c>
      <c r="D541" s="59" t="s">
        <v>1458</v>
      </c>
      <c r="E541" s="59" t="s">
        <v>122</v>
      </c>
    </row>
    <row r="542" spans="1:5">
      <c r="A542" s="59" t="s">
        <v>2445</v>
      </c>
      <c r="B542" s="59" t="s">
        <v>2446</v>
      </c>
      <c r="C542" s="59" t="s">
        <v>1669</v>
      </c>
      <c r="D542" s="59" t="s">
        <v>1455</v>
      </c>
      <c r="E542" s="59" t="s">
        <v>71</v>
      </c>
    </row>
    <row r="543" spans="1:5">
      <c r="A543" s="59" t="s">
        <v>2447</v>
      </c>
      <c r="B543" s="59" t="s">
        <v>2448</v>
      </c>
      <c r="C543" s="59" t="s">
        <v>1669</v>
      </c>
      <c r="D543" s="59" t="s">
        <v>1455</v>
      </c>
      <c r="E543" s="59" t="s">
        <v>71</v>
      </c>
    </row>
    <row r="544" spans="1:5">
      <c r="A544" s="59" t="s">
        <v>2449</v>
      </c>
      <c r="B544" s="59" t="s">
        <v>2450</v>
      </c>
      <c r="C544" s="59" t="s">
        <v>1669</v>
      </c>
      <c r="D544" s="59" t="s">
        <v>1477</v>
      </c>
      <c r="E544" s="59" t="s">
        <v>71</v>
      </c>
    </row>
    <row r="545" spans="1:5">
      <c r="A545" s="59" t="s">
        <v>2451</v>
      </c>
      <c r="B545" s="59" t="s">
        <v>2452</v>
      </c>
      <c r="C545" s="59" t="s">
        <v>1669</v>
      </c>
      <c r="D545" s="59" t="s">
        <v>1455</v>
      </c>
      <c r="E545" s="59" t="s">
        <v>71</v>
      </c>
    </row>
    <row r="546" spans="1:5">
      <c r="A546" s="59" t="s">
        <v>2453</v>
      </c>
      <c r="B546" s="59" t="s">
        <v>2454</v>
      </c>
      <c r="C546" s="59" t="s">
        <v>1669</v>
      </c>
      <c r="D546" s="59" t="s">
        <v>1395</v>
      </c>
      <c r="E546" s="59" t="s">
        <v>71</v>
      </c>
    </row>
    <row r="547" spans="1:5">
      <c r="A547" s="59" t="s">
        <v>2455</v>
      </c>
      <c r="B547" s="59" t="s">
        <v>2456</v>
      </c>
      <c r="C547" s="59" t="s">
        <v>1669</v>
      </c>
      <c r="D547" s="59" t="s">
        <v>1477</v>
      </c>
      <c r="E547" s="59" t="s">
        <v>71</v>
      </c>
    </row>
    <row r="548" spans="1:5">
      <c r="A548" s="59" t="s">
        <v>2457</v>
      </c>
      <c r="B548" s="59" t="s">
        <v>2458</v>
      </c>
      <c r="C548" s="59" t="s">
        <v>1669</v>
      </c>
      <c r="D548" s="59" t="s">
        <v>1395</v>
      </c>
      <c r="E548" s="59" t="s">
        <v>71</v>
      </c>
    </row>
    <row r="549" spans="1:5">
      <c r="A549" s="59" t="s">
        <v>2459</v>
      </c>
      <c r="B549" s="59" t="s">
        <v>2460</v>
      </c>
      <c r="C549" s="59" t="s">
        <v>1669</v>
      </c>
      <c r="D549" s="59" t="s">
        <v>1477</v>
      </c>
      <c r="E549" s="59" t="s">
        <v>71</v>
      </c>
    </row>
    <row r="550" spans="1:5">
      <c r="A550" s="59" t="s">
        <v>2461</v>
      </c>
      <c r="B550" s="59" t="s">
        <v>2462</v>
      </c>
      <c r="C550" s="59" t="s">
        <v>1669</v>
      </c>
      <c r="D550" s="59" t="s">
        <v>1477</v>
      </c>
      <c r="E550" s="59" t="s">
        <v>71</v>
      </c>
    </row>
    <row r="551" spans="1:5">
      <c r="A551" s="59" t="s">
        <v>2463</v>
      </c>
      <c r="B551" s="59" t="s">
        <v>2464</v>
      </c>
      <c r="C551" s="59" t="s">
        <v>1669</v>
      </c>
      <c r="D551" s="59" t="s">
        <v>1477</v>
      </c>
      <c r="E551" s="59" t="s">
        <v>71</v>
      </c>
    </row>
    <row r="552" spans="1:5">
      <c r="A552" s="59" t="s">
        <v>2465</v>
      </c>
      <c r="B552" s="59" t="s">
        <v>2466</v>
      </c>
      <c r="C552" s="59" t="s">
        <v>1669</v>
      </c>
      <c r="D552" s="59" t="s">
        <v>1455</v>
      </c>
      <c r="E552" s="59" t="s">
        <v>71</v>
      </c>
    </row>
    <row r="553" spans="1:5">
      <c r="A553" s="59" t="s">
        <v>2467</v>
      </c>
      <c r="B553" s="59" t="s">
        <v>2468</v>
      </c>
      <c r="C553" s="59" t="s">
        <v>1669</v>
      </c>
      <c r="D553" s="59" t="s">
        <v>1458</v>
      </c>
      <c r="E553" s="59" t="s">
        <v>71</v>
      </c>
    </row>
    <row r="554" spans="1:5">
      <c r="A554" s="59" t="s">
        <v>2469</v>
      </c>
      <c r="B554" s="59" t="s">
        <v>2470</v>
      </c>
      <c r="C554" s="59" t="s">
        <v>1669</v>
      </c>
      <c r="D554" s="59" t="s">
        <v>1395</v>
      </c>
      <c r="E554" s="59" t="s">
        <v>71</v>
      </c>
    </row>
    <row r="555" spans="1:5">
      <c r="A555" s="59" t="s">
        <v>2471</v>
      </c>
      <c r="B555" s="59" t="s">
        <v>2472</v>
      </c>
      <c r="C555" s="59" t="s">
        <v>1669</v>
      </c>
      <c r="D555" s="65" t="s">
        <v>0</v>
      </c>
      <c r="E555" s="65" t="s">
        <v>122</v>
      </c>
    </row>
    <row r="556" spans="1:5">
      <c r="A556" s="59" t="s">
        <v>2473</v>
      </c>
      <c r="B556" s="59" t="s">
        <v>2474</v>
      </c>
      <c r="C556" s="59" t="s">
        <v>1669</v>
      </c>
      <c r="D556" s="59" t="s">
        <v>1455</v>
      </c>
      <c r="E556" s="59" t="s">
        <v>71</v>
      </c>
    </row>
    <row r="557" spans="1:5">
      <c r="A557" s="59" t="s">
        <v>2475</v>
      </c>
      <c r="B557" s="59" t="s">
        <v>2476</v>
      </c>
      <c r="C557" s="59" t="s">
        <v>1669</v>
      </c>
      <c r="D557" s="65" t="s">
        <v>1395</v>
      </c>
      <c r="E557" s="65" t="s">
        <v>71</v>
      </c>
    </row>
    <row r="558" spans="1:5">
      <c r="A558" s="59" t="s">
        <v>2477</v>
      </c>
      <c r="B558" s="59" t="s">
        <v>2478</v>
      </c>
      <c r="C558" s="59" t="s">
        <v>1669</v>
      </c>
      <c r="D558" s="65" t="s">
        <v>598</v>
      </c>
      <c r="E558" s="65" t="s">
        <v>71</v>
      </c>
    </row>
    <row r="559" spans="1:5">
      <c r="A559" s="59" t="s">
        <v>1385</v>
      </c>
      <c r="B559" s="59" t="s">
        <v>2479</v>
      </c>
      <c r="C559" s="59" t="s">
        <v>1669</v>
      </c>
      <c r="D559" s="65" t="s">
        <v>0</v>
      </c>
      <c r="E559" s="65" t="s">
        <v>122</v>
      </c>
    </row>
    <row r="560" spans="1:5">
      <c r="A560" s="59" t="s">
        <v>2480</v>
      </c>
      <c r="B560" s="59" t="s">
        <v>2481</v>
      </c>
      <c r="C560" s="59" t="s">
        <v>1669</v>
      </c>
      <c r="D560" s="59" t="s">
        <v>1371</v>
      </c>
      <c r="E560" s="59" t="s">
        <v>1456</v>
      </c>
    </row>
    <row r="561" spans="1:5">
      <c r="A561" s="59" t="s">
        <v>2482</v>
      </c>
      <c r="B561" s="59" t="s">
        <v>2483</v>
      </c>
      <c r="C561" s="59" t="s">
        <v>1669</v>
      </c>
      <c r="D561" s="65" t="s">
        <v>598</v>
      </c>
      <c r="E561" s="65" t="s">
        <v>71</v>
      </c>
    </row>
    <row r="562" spans="1:5">
      <c r="A562" s="59" t="s">
        <v>2484</v>
      </c>
      <c r="B562" s="59" t="s">
        <v>2485</v>
      </c>
      <c r="C562" s="59" t="s">
        <v>1669</v>
      </c>
      <c r="D562" s="59" t="s">
        <v>1455</v>
      </c>
      <c r="E562" s="59" t="s">
        <v>71</v>
      </c>
    </row>
    <row r="563" spans="1:5">
      <c r="A563" s="59" t="s">
        <v>2486</v>
      </c>
      <c r="B563" s="59" t="s">
        <v>2487</v>
      </c>
      <c r="C563" s="59" t="s">
        <v>1669</v>
      </c>
      <c r="D563" s="59" t="s">
        <v>1458</v>
      </c>
      <c r="E563" s="59" t="s">
        <v>71</v>
      </c>
    </row>
    <row r="564" spans="1:5">
      <c r="A564" s="59" t="s">
        <v>2488</v>
      </c>
      <c r="B564" s="59" t="s">
        <v>2489</v>
      </c>
      <c r="C564" s="59" t="s">
        <v>1669</v>
      </c>
      <c r="D564" s="65" t="s">
        <v>1455</v>
      </c>
      <c r="E564" s="65" t="s">
        <v>71</v>
      </c>
    </row>
    <row r="565" spans="1:5">
      <c r="A565" s="59" t="s">
        <v>2490</v>
      </c>
      <c r="B565" s="59" t="s">
        <v>2491</v>
      </c>
      <c r="C565" s="59" t="s">
        <v>1669</v>
      </c>
      <c r="D565" s="59" t="s">
        <v>1455</v>
      </c>
      <c r="E565" s="59" t="s">
        <v>71</v>
      </c>
    </row>
    <row r="566" spans="1:5">
      <c r="A566" s="59" t="s">
        <v>2492</v>
      </c>
      <c r="B566" s="59" t="s">
        <v>2493</v>
      </c>
      <c r="C566" s="59" t="s">
        <v>1669</v>
      </c>
      <c r="D566" s="59" t="s">
        <v>1477</v>
      </c>
      <c r="E566" s="59" t="s">
        <v>71</v>
      </c>
    </row>
    <row r="567" spans="1:5">
      <c r="A567" s="59" t="s">
        <v>2494</v>
      </c>
      <c r="B567" s="59" t="s">
        <v>2495</v>
      </c>
      <c r="C567" s="59" t="s">
        <v>1669</v>
      </c>
      <c r="D567" s="59" t="s">
        <v>1455</v>
      </c>
      <c r="E567" s="59" t="s">
        <v>71</v>
      </c>
    </row>
    <row r="568" spans="1:5">
      <c r="A568" s="59" t="s">
        <v>2496</v>
      </c>
      <c r="B568" s="59" t="s">
        <v>2497</v>
      </c>
      <c r="C568" s="59" t="s">
        <v>1669</v>
      </c>
      <c r="D568" s="59" t="s">
        <v>1395</v>
      </c>
      <c r="E568" s="59" t="s">
        <v>1456</v>
      </c>
    </row>
    <row r="569" spans="1:5">
      <c r="A569" s="59" t="s">
        <v>2498</v>
      </c>
      <c r="B569" s="59" t="s">
        <v>2499</v>
      </c>
      <c r="C569" s="59" t="s">
        <v>1669</v>
      </c>
      <c r="D569" s="59" t="s">
        <v>1395</v>
      </c>
      <c r="E569" s="59" t="s">
        <v>71</v>
      </c>
    </row>
    <row r="570" spans="1:5">
      <c r="A570" s="59" t="s">
        <v>2500</v>
      </c>
      <c r="B570" s="59" t="s">
        <v>2501</v>
      </c>
      <c r="C570" s="59" t="s">
        <v>1669</v>
      </c>
      <c r="D570" s="59" t="s">
        <v>1455</v>
      </c>
      <c r="E570" s="59" t="s">
        <v>71</v>
      </c>
    </row>
    <row r="571" spans="1:5">
      <c r="A571" s="59" t="s">
        <v>2502</v>
      </c>
      <c r="B571" s="59" t="s">
        <v>2503</v>
      </c>
      <c r="C571" s="59" t="s">
        <v>1669</v>
      </c>
      <c r="D571" s="59" t="s">
        <v>1407</v>
      </c>
      <c r="E571" s="59" t="s">
        <v>31</v>
      </c>
    </row>
    <row r="572" spans="1:5">
      <c r="A572" s="59" t="s">
        <v>2504</v>
      </c>
      <c r="B572" s="59" t="s">
        <v>2505</v>
      </c>
      <c r="C572" s="59" t="s">
        <v>1669</v>
      </c>
      <c r="D572" s="65" t="s">
        <v>1371</v>
      </c>
      <c r="E572" s="65" t="s">
        <v>71</v>
      </c>
    </row>
    <row r="573" spans="1:5">
      <c r="A573" s="59" t="s">
        <v>2506</v>
      </c>
      <c r="B573" s="59" t="s">
        <v>2507</v>
      </c>
      <c r="C573" s="59" t="s">
        <v>1669</v>
      </c>
      <c r="D573" s="59" t="s">
        <v>1455</v>
      </c>
      <c r="E573" s="59" t="s">
        <v>1456</v>
      </c>
    </row>
    <row r="574" spans="1:5">
      <c r="A574" s="59" t="s">
        <v>980</v>
      </c>
      <c r="B574" s="59" t="s">
        <v>2508</v>
      </c>
      <c r="C574" s="59" t="s">
        <v>1669</v>
      </c>
      <c r="D574" s="59" t="s">
        <v>1477</v>
      </c>
      <c r="E574" s="59" t="s">
        <v>1456</v>
      </c>
    </row>
    <row r="575" spans="1:5">
      <c r="A575" s="59" t="s">
        <v>2509</v>
      </c>
      <c r="B575" s="59" t="s">
        <v>2510</v>
      </c>
      <c r="C575" s="59" t="s">
        <v>1669</v>
      </c>
      <c r="D575" s="59" t="s">
        <v>89</v>
      </c>
      <c r="E575" s="59" t="s">
        <v>71</v>
      </c>
    </row>
    <row r="576" spans="1:5">
      <c r="A576" s="59" t="s">
        <v>2511</v>
      </c>
      <c r="B576" s="59" t="s">
        <v>2512</v>
      </c>
      <c r="C576" s="59" t="s">
        <v>1669</v>
      </c>
      <c r="D576" s="59" t="s">
        <v>1371</v>
      </c>
      <c r="E576" s="59" t="s">
        <v>71</v>
      </c>
    </row>
    <row r="577" spans="1:5">
      <c r="A577" s="59" t="s">
        <v>2513</v>
      </c>
      <c r="B577" s="59" t="s">
        <v>2514</v>
      </c>
      <c r="C577" s="59" t="s">
        <v>1669</v>
      </c>
      <c r="D577" s="65" t="s">
        <v>1371</v>
      </c>
      <c r="E577" s="65" t="s">
        <v>71</v>
      </c>
    </row>
    <row r="578" spans="1:5">
      <c r="A578" s="59" t="s">
        <v>2515</v>
      </c>
      <c r="B578" s="59" t="s">
        <v>2516</v>
      </c>
      <c r="C578" s="59" t="s">
        <v>1669</v>
      </c>
      <c r="D578" s="59" t="s">
        <v>1395</v>
      </c>
      <c r="E578" s="59" t="s">
        <v>71</v>
      </c>
    </row>
    <row r="579" spans="1:5">
      <c r="A579" s="59" t="s">
        <v>2517</v>
      </c>
      <c r="B579" s="59" t="s">
        <v>2518</v>
      </c>
      <c r="C579" s="59" t="s">
        <v>1669</v>
      </c>
      <c r="D579" s="59" t="s">
        <v>1395</v>
      </c>
      <c r="E579" s="59" t="s">
        <v>71</v>
      </c>
    </row>
    <row r="580" spans="1:5">
      <c r="A580" s="59" t="s">
        <v>2519</v>
      </c>
      <c r="B580" s="59" t="s">
        <v>2520</v>
      </c>
      <c r="C580" s="59" t="s">
        <v>1669</v>
      </c>
      <c r="D580" s="59" t="s">
        <v>1371</v>
      </c>
      <c r="E580" s="59" t="s">
        <v>71</v>
      </c>
    </row>
    <row r="581" spans="1:5">
      <c r="A581" s="59" t="s">
        <v>2521</v>
      </c>
      <c r="B581" s="59" t="s">
        <v>2522</v>
      </c>
      <c r="C581" s="59" t="s">
        <v>1669</v>
      </c>
      <c r="D581" s="65" t="s">
        <v>598</v>
      </c>
      <c r="E581" s="65" t="s">
        <v>71</v>
      </c>
    </row>
    <row r="582" spans="1:5">
      <c r="A582" s="59" t="s">
        <v>2523</v>
      </c>
      <c r="B582" s="59" t="s">
        <v>2524</v>
      </c>
      <c r="C582" s="59" t="s">
        <v>1669</v>
      </c>
      <c r="D582" s="59" t="s">
        <v>1371</v>
      </c>
      <c r="E582" s="59" t="s">
        <v>71</v>
      </c>
    </row>
    <row r="583" spans="1:5">
      <c r="A583" s="59" t="s">
        <v>2525</v>
      </c>
      <c r="B583" s="59" t="s">
        <v>2526</v>
      </c>
      <c r="C583" s="59" t="s">
        <v>1669</v>
      </c>
      <c r="D583" s="65" t="s">
        <v>0</v>
      </c>
      <c r="E583" s="65" t="s">
        <v>122</v>
      </c>
    </row>
    <row r="584" spans="1:5">
      <c r="A584" s="59" t="s">
        <v>943</v>
      </c>
      <c r="B584" s="59" t="s">
        <v>2527</v>
      </c>
      <c r="C584" s="59" t="s">
        <v>1669</v>
      </c>
      <c r="D584" s="59" t="s">
        <v>1458</v>
      </c>
      <c r="E584" s="59" t="s">
        <v>71</v>
      </c>
    </row>
    <row r="585" spans="1:5">
      <c r="A585" s="59" t="s">
        <v>2528</v>
      </c>
      <c r="B585" s="59" t="s">
        <v>2529</v>
      </c>
      <c r="C585" s="59" t="s">
        <v>1669</v>
      </c>
      <c r="D585" s="59" t="s">
        <v>1455</v>
      </c>
      <c r="E585" s="59" t="s">
        <v>1456</v>
      </c>
    </row>
    <row r="586" spans="1:5">
      <c r="A586" s="59" t="s">
        <v>2530</v>
      </c>
      <c r="B586" s="59" t="s">
        <v>2531</v>
      </c>
      <c r="C586" s="59" t="s">
        <v>1669</v>
      </c>
      <c r="D586" s="59" t="s">
        <v>1477</v>
      </c>
      <c r="E586" s="59" t="s">
        <v>71</v>
      </c>
    </row>
    <row r="587" spans="1:5">
      <c r="A587" s="59" t="s">
        <v>2532</v>
      </c>
      <c r="B587" s="59" t="s">
        <v>2533</v>
      </c>
      <c r="C587" s="59" t="s">
        <v>1669</v>
      </c>
      <c r="D587" s="59" t="s">
        <v>1477</v>
      </c>
      <c r="E587" s="59" t="s">
        <v>71</v>
      </c>
    </row>
    <row r="588" spans="1:5">
      <c r="A588" s="59" t="s">
        <v>2534</v>
      </c>
      <c r="B588" s="59" t="s">
        <v>2535</v>
      </c>
      <c r="C588" s="59" t="s">
        <v>1669</v>
      </c>
      <c r="D588" s="59" t="s">
        <v>1395</v>
      </c>
      <c r="E588" s="59" t="s">
        <v>71</v>
      </c>
    </row>
    <row r="589" spans="1:5">
      <c r="A589" s="59" t="s">
        <v>2536</v>
      </c>
      <c r="B589" s="59" t="s">
        <v>2537</v>
      </c>
      <c r="C589" s="59" t="s">
        <v>1669</v>
      </c>
      <c r="D589" s="59" t="s">
        <v>1395</v>
      </c>
      <c r="E589" s="59" t="s">
        <v>71</v>
      </c>
    </row>
    <row r="590" spans="1:5">
      <c r="A590" s="59" t="s">
        <v>2538</v>
      </c>
      <c r="B590" s="59" t="s">
        <v>2539</v>
      </c>
      <c r="C590" s="59" t="s">
        <v>1669</v>
      </c>
      <c r="D590" s="65" t="s">
        <v>1477</v>
      </c>
      <c r="E590" s="65" t="s">
        <v>71</v>
      </c>
    </row>
    <row r="591" spans="1:5">
      <c r="A591" s="59" t="s">
        <v>2540</v>
      </c>
      <c r="B591" s="59" t="s">
        <v>2541</v>
      </c>
      <c r="C591" s="59" t="s">
        <v>1669</v>
      </c>
      <c r="D591" s="65" t="s">
        <v>598</v>
      </c>
      <c r="E591" s="65" t="s">
        <v>71</v>
      </c>
    </row>
    <row r="592" spans="1:5">
      <c r="A592" s="59" t="s">
        <v>2542</v>
      </c>
      <c r="B592" s="59" t="s">
        <v>2541</v>
      </c>
      <c r="C592" s="59" t="s">
        <v>1669</v>
      </c>
      <c r="D592" s="65" t="s">
        <v>598</v>
      </c>
      <c r="E592" s="65" t="s">
        <v>71</v>
      </c>
    </row>
    <row r="593" spans="1:5">
      <c r="A593" s="59" t="s">
        <v>2543</v>
      </c>
      <c r="B593" s="59" t="s">
        <v>2544</v>
      </c>
      <c r="C593" s="59" t="s">
        <v>1669</v>
      </c>
      <c r="D593" s="59" t="s">
        <v>1395</v>
      </c>
      <c r="E593" s="59" t="s">
        <v>71</v>
      </c>
    </row>
    <row r="594" spans="1:5">
      <c r="A594" s="59" t="s">
        <v>838</v>
      </c>
      <c r="B594" s="59" t="s">
        <v>839</v>
      </c>
      <c r="C594" s="59" t="s">
        <v>1669</v>
      </c>
      <c r="D594" s="59" t="s">
        <v>1395</v>
      </c>
      <c r="E594" s="59" t="s">
        <v>71</v>
      </c>
    </row>
    <row r="595" spans="1:5">
      <c r="A595" s="59" t="s">
        <v>2545</v>
      </c>
      <c r="B595" s="59" t="s">
        <v>2546</v>
      </c>
      <c r="C595" s="59" t="s">
        <v>1669</v>
      </c>
      <c r="D595" s="59" t="s">
        <v>1395</v>
      </c>
      <c r="E595" s="59" t="s">
        <v>71</v>
      </c>
    </row>
    <row r="596" spans="1:5">
      <c r="A596" s="59" t="s">
        <v>2547</v>
      </c>
      <c r="B596" s="59" t="s">
        <v>2548</v>
      </c>
      <c r="C596" s="59" t="s">
        <v>1669</v>
      </c>
      <c r="D596" s="59" t="s">
        <v>1477</v>
      </c>
      <c r="E596" s="59" t="s">
        <v>71</v>
      </c>
    </row>
    <row r="597" spans="1:5">
      <c r="A597" s="59" t="s">
        <v>2549</v>
      </c>
      <c r="B597" s="59" t="s">
        <v>2550</v>
      </c>
      <c r="C597" s="59" t="s">
        <v>1669</v>
      </c>
      <c r="D597" s="59" t="s">
        <v>1371</v>
      </c>
      <c r="E597" s="59" t="s">
        <v>71</v>
      </c>
    </row>
    <row r="598" spans="1:5">
      <c r="A598" s="59" t="s">
        <v>2551</v>
      </c>
      <c r="B598" s="59" t="s">
        <v>2552</v>
      </c>
      <c r="C598" s="59" t="s">
        <v>1669</v>
      </c>
      <c r="D598" s="59" t="s">
        <v>1395</v>
      </c>
      <c r="E598" s="59" t="s">
        <v>71</v>
      </c>
    </row>
    <row r="599" spans="1:5">
      <c r="A599" s="59" t="s">
        <v>2553</v>
      </c>
      <c r="B599" s="59" t="s">
        <v>2554</v>
      </c>
      <c r="C599" s="59" t="s">
        <v>1669</v>
      </c>
      <c r="D599" s="59" t="s">
        <v>1477</v>
      </c>
      <c r="E599" s="59" t="s">
        <v>71</v>
      </c>
    </row>
    <row r="600" spans="1:5">
      <c r="A600" s="59" t="s">
        <v>2555</v>
      </c>
      <c r="B600" s="59" t="s">
        <v>2556</v>
      </c>
      <c r="C600" s="59" t="s">
        <v>1669</v>
      </c>
      <c r="D600" s="59" t="s">
        <v>1458</v>
      </c>
      <c r="E600" s="59" t="s">
        <v>71</v>
      </c>
    </row>
    <row r="601" spans="1:5">
      <c r="A601" s="59" t="s">
        <v>274</v>
      </c>
      <c r="B601" s="59" t="s">
        <v>275</v>
      </c>
      <c r="C601" s="59" t="s">
        <v>1669</v>
      </c>
      <c r="D601" s="59" t="s">
        <v>1458</v>
      </c>
      <c r="E601" s="59" t="s">
        <v>71</v>
      </c>
    </row>
    <row r="602" spans="1:5">
      <c r="A602" s="59" t="s">
        <v>2557</v>
      </c>
      <c r="B602" s="59" t="s">
        <v>2558</v>
      </c>
      <c r="C602" s="59" t="s">
        <v>1669</v>
      </c>
      <c r="D602" s="59" t="s">
        <v>1371</v>
      </c>
      <c r="E602" s="59" t="s">
        <v>71</v>
      </c>
    </row>
    <row r="603" spans="1:5">
      <c r="A603" s="59" t="s">
        <v>2559</v>
      </c>
      <c r="B603" s="59" t="s">
        <v>2560</v>
      </c>
      <c r="C603" s="59" t="s">
        <v>1669</v>
      </c>
      <c r="D603" s="59" t="s">
        <v>1455</v>
      </c>
      <c r="E603" s="59" t="s">
        <v>71</v>
      </c>
    </row>
    <row r="604" spans="1:5">
      <c r="A604" s="59" t="s">
        <v>2561</v>
      </c>
      <c r="B604" s="59" t="s">
        <v>2562</v>
      </c>
      <c r="C604" s="59" t="s">
        <v>1669</v>
      </c>
      <c r="D604" s="59" t="s">
        <v>1371</v>
      </c>
      <c r="E604" s="59" t="s">
        <v>71</v>
      </c>
    </row>
    <row r="605" spans="1:5">
      <c r="A605" s="59" t="s">
        <v>2563</v>
      </c>
      <c r="B605" s="59" t="s">
        <v>2564</v>
      </c>
      <c r="C605" s="59" t="s">
        <v>1669</v>
      </c>
      <c r="D605" s="59" t="s">
        <v>1477</v>
      </c>
      <c r="E605" s="59" t="s">
        <v>71</v>
      </c>
    </row>
    <row r="606" spans="1:5">
      <c r="A606" s="59" t="s">
        <v>2565</v>
      </c>
      <c r="B606" s="59" t="s">
        <v>2566</v>
      </c>
      <c r="C606" s="59" t="s">
        <v>1669</v>
      </c>
      <c r="D606" s="59" t="s">
        <v>1395</v>
      </c>
      <c r="E606" s="59" t="s">
        <v>71</v>
      </c>
    </row>
    <row r="607" spans="1:5">
      <c r="A607" s="59" t="s">
        <v>613</v>
      </c>
      <c r="B607" s="59" t="s">
        <v>552</v>
      </c>
      <c r="C607" s="59" t="s">
        <v>1669</v>
      </c>
      <c r="D607" s="59" t="s">
        <v>1477</v>
      </c>
      <c r="E607" s="59" t="s">
        <v>71</v>
      </c>
    </row>
    <row r="608" spans="1:5">
      <c r="A608" s="59" t="s">
        <v>2567</v>
      </c>
      <c r="B608" s="59" t="s">
        <v>2568</v>
      </c>
      <c r="C608" s="59" t="s">
        <v>1669</v>
      </c>
      <c r="D608" s="59" t="s">
        <v>1371</v>
      </c>
      <c r="E608" s="59" t="s">
        <v>71</v>
      </c>
    </row>
    <row r="609" spans="1:5">
      <c r="A609" s="59" t="s">
        <v>2569</v>
      </c>
      <c r="B609" s="59" t="s">
        <v>2570</v>
      </c>
      <c r="C609" s="59" t="s">
        <v>1669</v>
      </c>
      <c r="D609" s="59" t="s">
        <v>1395</v>
      </c>
      <c r="E609" s="59" t="s">
        <v>71</v>
      </c>
    </row>
    <row r="610" spans="1:5">
      <c r="A610" s="59" t="s">
        <v>2571</v>
      </c>
      <c r="B610" s="59" t="s">
        <v>2572</v>
      </c>
      <c r="C610" s="59" t="s">
        <v>1669</v>
      </c>
      <c r="D610" s="59" t="s">
        <v>1371</v>
      </c>
      <c r="E610" s="59" t="s">
        <v>71</v>
      </c>
    </row>
    <row r="611" spans="1:5">
      <c r="A611" s="59" t="s">
        <v>2573</v>
      </c>
      <c r="B611" s="59" t="s">
        <v>2574</v>
      </c>
      <c r="C611" s="59" t="s">
        <v>1669</v>
      </c>
      <c r="D611" s="59" t="s">
        <v>1477</v>
      </c>
      <c r="E611" s="59" t="s">
        <v>71</v>
      </c>
    </row>
    <row r="612" spans="1:5">
      <c r="A612" s="59" t="s">
        <v>2575</v>
      </c>
      <c r="B612" s="59" t="s">
        <v>2576</v>
      </c>
      <c r="C612" s="59" t="s">
        <v>1669</v>
      </c>
      <c r="D612" s="65" t="s">
        <v>598</v>
      </c>
      <c r="E612" s="65" t="s">
        <v>71</v>
      </c>
    </row>
    <row r="613" spans="1:5">
      <c r="A613" s="59" t="s">
        <v>2577</v>
      </c>
      <c r="B613" s="59" t="s">
        <v>2578</v>
      </c>
      <c r="C613" s="59" t="s">
        <v>1669</v>
      </c>
      <c r="D613" s="59" t="s">
        <v>1458</v>
      </c>
      <c r="E613" s="59" t="s">
        <v>71</v>
      </c>
    </row>
    <row r="614" spans="1:5">
      <c r="A614" s="59" t="s">
        <v>2579</v>
      </c>
      <c r="B614" s="59" t="s">
        <v>2580</v>
      </c>
      <c r="C614" s="59" t="s">
        <v>1669</v>
      </c>
      <c r="D614" s="59" t="s">
        <v>1371</v>
      </c>
      <c r="E614" s="59" t="s">
        <v>1456</v>
      </c>
    </row>
    <row r="615" spans="1:5">
      <c r="A615" s="59" t="s">
        <v>2581</v>
      </c>
      <c r="B615" s="59" t="s">
        <v>2582</v>
      </c>
      <c r="C615" s="59" t="s">
        <v>1669</v>
      </c>
      <c r="D615" s="59" t="s">
        <v>1455</v>
      </c>
      <c r="E615" s="59" t="s">
        <v>71</v>
      </c>
    </row>
    <row r="616" spans="1:5">
      <c r="A616" s="59" t="s">
        <v>2583</v>
      </c>
      <c r="B616" s="59" t="s">
        <v>2584</v>
      </c>
      <c r="C616" s="59" t="s">
        <v>1669</v>
      </c>
      <c r="D616" s="59" t="s">
        <v>1477</v>
      </c>
      <c r="E616" s="59" t="s">
        <v>71</v>
      </c>
    </row>
    <row r="617" spans="1:5">
      <c r="A617" s="59" t="s">
        <v>2585</v>
      </c>
      <c r="B617" s="59" t="s">
        <v>2586</v>
      </c>
      <c r="C617" s="59" t="s">
        <v>1669</v>
      </c>
      <c r="D617" s="59" t="s">
        <v>1395</v>
      </c>
      <c r="E617" s="59" t="s">
        <v>71</v>
      </c>
    </row>
    <row r="618" spans="1:5">
      <c r="A618" s="59" t="s">
        <v>2587</v>
      </c>
      <c r="B618" s="59" t="s">
        <v>2588</v>
      </c>
      <c r="C618" s="59" t="s">
        <v>1669</v>
      </c>
      <c r="D618" s="59" t="s">
        <v>1458</v>
      </c>
      <c r="E618" s="59" t="s">
        <v>71</v>
      </c>
    </row>
    <row r="619" spans="1:5">
      <c r="A619" s="59" t="s">
        <v>2589</v>
      </c>
      <c r="B619" s="59" t="s">
        <v>2590</v>
      </c>
      <c r="C619" s="59" t="s">
        <v>1669</v>
      </c>
      <c r="D619" s="59" t="s">
        <v>1455</v>
      </c>
      <c r="E619" s="59" t="s">
        <v>71</v>
      </c>
    </row>
    <row r="620" spans="1:5">
      <c r="A620" s="59" t="s">
        <v>2591</v>
      </c>
      <c r="B620" s="59" t="s">
        <v>2592</v>
      </c>
      <c r="C620" s="59" t="s">
        <v>1669</v>
      </c>
      <c r="D620" s="59" t="s">
        <v>1395</v>
      </c>
      <c r="E620" s="59" t="s">
        <v>71</v>
      </c>
    </row>
    <row r="621" spans="1:5">
      <c r="A621" s="59" t="s">
        <v>2593</v>
      </c>
      <c r="B621" s="59" t="s">
        <v>2594</v>
      </c>
      <c r="C621" s="59" t="s">
        <v>1669</v>
      </c>
      <c r="D621" s="59" t="s">
        <v>1395</v>
      </c>
      <c r="E621" s="59" t="s">
        <v>71</v>
      </c>
    </row>
    <row r="622" spans="1:5">
      <c r="A622" s="59" t="s">
        <v>2595</v>
      </c>
      <c r="B622" s="59" t="s">
        <v>2596</v>
      </c>
      <c r="C622" s="59" t="s">
        <v>1669</v>
      </c>
      <c r="D622" s="59" t="s">
        <v>1371</v>
      </c>
      <c r="E622" s="59" t="s">
        <v>71</v>
      </c>
    </row>
    <row r="623" spans="1:5">
      <c r="A623" s="59" t="s">
        <v>2597</v>
      </c>
      <c r="B623" s="59" t="s">
        <v>2598</v>
      </c>
      <c r="C623" s="59" t="s">
        <v>1669</v>
      </c>
      <c r="D623" s="59" t="s">
        <v>89</v>
      </c>
      <c r="E623" s="59" t="s">
        <v>71</v>
      </c>
    </row>
    <row r="624" spans="1:5">
      <c r="A624" s="59" t="s">
        <v>2599</v>
      </c>
      <c r="B624" s="59" t="s">
        <v>2600</v>
      </c>
      <c r="C624" s="59" t="s">
        <v>1669</v>
      </c>
      <c r="D624" s="65" t="s">
        <v>89</v>
      </c>
      <c r="E624" s="65" t="s">
        <v>71</v>
      </c>
    </row>
    <row r="625" spans="1:5">
      <c r="A625" s="59" t="s">
        <v>2601</v>
      </c>
      <c r="B625" s="59" t="s">
        <v>2602</v>
      </c>
      <c r="C625" s="59" t="s">
        <v>1669</v>
      </c>
      <c r="D625" s="59" t="s">
        <v>1458</v>
      </c>
      <c r="E625" s="59" t="s">
        <v>71</v>
      </c>
    </row>
    <row r="626" spans="1:5">
      <c r="A626" s="59" t="s">
        <v>2603</v>
      </c>
      <c r="B626" s="59" t="s">
        <v>2604</v>
      </c>
      <c r="C626" s="59" t="s">
        <v>1669</v>
      </c>
      <c r="D626" s="59" t="s">
        <v>1458</v>
      </c>
      <c r="E626" s="59" t="s">
        <v>71</v>
      </c>
    </row>
    <row r="627" spans="1:5">
      <c r="A627" s="59" t="s">
        <v>2605</v>
      </c>
      <c r="B627" s="59" t="s">
        <v>2606</v>
      </c>
      <c r="C627" s="59" t="s">
        <v>1669</v>
      </c>
      <c r="D627" s="59" t="s">
        <v>1458</v>
      </c>
      <c r="E627" s="59" t="s">
        <v>71</v>
      </c>
    </row>
    <row r="628" spans="1:5">
      <c r="A628" s="59" t="s">
        <v>2607</v>
      </c>
      <c r="B628" s="59" t="s">
        <v>2608</v>
      </c>
      <c r="C628" s="59" t="s">
        <v>1669</v>
      </c>
      <c r="D628" s="59" t="s">
        <v>1458</v>
      </c>
      <c r="E628" s="59" t="s">
        <v>71</v>
      </c>
    </row>
    <row r="629" spans="1:5">
      <c r="A629" s="59" t="s">
        <v>2609</v>
      </c>
      <c r="B629" s="59" t="s">
        <v>2610</v>
      </c>
      <c r="C629" s="59" t="s">
        <v>1669</v>
      </c>
      <c r="D629" s="59" t="s">
        <v>1477</v>
      </c>
      <c r="E629" s="59" t="s">
        <v>71</v>
      </c>
    </row>
    <row r="630" spans="1:5">
      <c r="A630" s="59" t="s">
        <v>2611</v>
      </c>
      <c r="B630" s="59" t="s">
        <v>2612</v>
      </c>
      <c r="C630" s="59" t="s">
        <v>1669</v>
      </c>
      <c r="D630" s="59" t="s">
        <v>89</v>
      </c>
      <c r="E630" s="59" t="s">
        <v>71</v>
      </c>
    </row>
    <row r="631" spans="1:5">
      <c r="A631" s="59" t="s">
        <v>2613</v>
      </c>
      <c r="B631" s="59" t="s">
        <v>2614</v>
      </c>
      <c r="C631" s="59" t="s">
        <v>1669</v>
      </c>
      <c r="D631" s="59" t="s">
        <v>1395</v>
      </c>
      <c r="E631" s="59" t="s">
        <v>71</v>
      </c>
    </row>
    <row r="632" spans="1:5">
      <c r="A632" s="59" t="s">
        <v>2615</v>
      </c>
      <c r="B632" s="59" t="s">
        <v>2616</v>
      </c>
      <c r="C632" s="59" t="s">
        <v>1669</v>
      </c>
      <c r="D632" s="59" t="s">
        <v>89</v>
      </c>
      <c r="E632" s="59" t="s">
        <v>71</v>
      </c>
    </row>
    <row r="633" spans="1:5">
      <c r="A633" s="59" t="s">
        <v>2617</v>
      </c>
      <c r="B633" s="59" t="s">
        <v>2618</v>
      </c>
      <c r="C633" s="59" t="s">
        <v>1669</v>
      </c>
      <c r="D633" s="59" t="s">
        <v>1407</v>
      </c>
      <c r="E633" s="59" t="s">
        <v>31</v>
      </c>
    </row>
    <row r="634" spans="1:5">
      <c r="A634" s="59" t="s">
        <v>2619</v>
      </c>
      <c r="B634" s="59" t="s">
        <v>2620</v>
      </c>
      <c r="C634" s="59" t="s">
        <v>1669</v>
      </c>
      <c r="D634" s="59" t="s">
        <v>1477</v>
      </c>
      <c r="E634" s="59" t="s">
        <v>71</v>
      </c>
    </row>
    <row r="635" spans="1:5">
      <c r="A635" s="59" t="s">
        <v>2621</v>
      </c>
      <c r="B635" s="59" t="s">
        <v>2622</v>
      </c>
      <c r="C635" s="59" t="s">
        <v>1669</v>
      </c>
      <c r="D635" s="59" t="s">
        <v>1477</v>
      </c>
      <c r="E635" s="59" t="s">
        <v>71</v>
      </c>
    </row>
    <row r="636" spans="1:5">
      <c r="A636" s="59" t="s">
        <v>2623</v>
      </c>
      <c r="B636" s="59" t="s">
        <v>2624</v>
      </c>
      <c r="C636" s="59" t="s">
        <v>1669</v>
      </c>
      <c r="D636" s="59" t="s">
        <v>1395</v>
      </c>
      <c r="E636" s="59" t="s">
        <v>71</v>
      </c>
    </row>
    <row r="637" spans="1:5">
      <c r="A637" s="59" t="s">
        <v>2625</v>
      </c>
      <c r="B637" s="59" t="s">
        <v>2626</v>
      </c>
      <c r="C637" s="59" t="s">
        <v>1669</v>
      </c>
      <c r="D637" s="59" t="s">
        <v>89</v>
      </c>
      <c r="E637" s="59" t="s">
        <v>71</v>
      </c>
    </row>
    <row r="638" spans="1:5">
      <c r="A638" s="59" t="s">
        <v>2627</v>
      </c>
      <c r="B638" s="59" t="s">
        <v>2628</v>
      </c>
      <c r="C638" s="59" t="s">
        <v>1669</v>
      </c>
      <c r="D638" s="59" t="s">
        <v>1455</v>
      </c>
      <c r="E638" s="59" t="s">
        <v>71</v>
      </c>
    </row>
    <row r="639" spans="1:5">
      <c r="A639" s="59" t="s">
        <v>2629</v>
      </c>
      <c r="B639" s="59" t="s">
        <v>2630</v>
      </c>
      <c r="C639" s="59" t="s">
        <v>1669</v>
      </c>
      <c r="D639" s="59" t="s">
        <v>1395</v>
      </c>
      <c r="E639" s="59" t="s">
        <v>71</v>
      </c>
    </row>
    <row r="640" spans="1:5">
      <c r="A640" s="59" t="s">
        <v>2631</v>
      </c>
      <c r="B640" s="59" t="s">
        <v>2632</v>
      </c>
      <c r="C640" s="59" t="s">
        <v>1669</v>
      </c>
      <c r="D640" s="59" t="s">
        <v>598</v>
      </c>
      <c r="E640" s="59" t="s">
        <v>71</v>
      </c>
    </row>
    <row r="641" spans="1:5">
      <c r="A641" s="59" t="s">
        <v>2633</v>
      </c>
      <c r="B641" s="59" t="s">
        <v>2634</v>
      </c>
      <c r="C641" s="59" t="s">
        <v>1669</v>
      </c>
      <c r="D641" s="59" t="s">
        <v>1395</v>
      </c>
      <c r="E641" s="59" t="s">
        <v>71</v>
      </c>
    </row>
    <row r="642" spans="1:5">
      <c r="A642" s="59" t="s">
        <v>2635</v>
      </c>
      <c r="B642" s="59" t="s">
        <v>2636</v>
      </c>
      <c r="C642" s="59" t="s">
        <v>1669</v>
      </c>
      <c r="D642" s="65" t="s">
        <v>598</v>
      </c>
      <c r="E642" s="65" t="s">
        <v>71</v>
      </c>
    </row>
    <row r="643" spans="1:5">
      <c r="A643" s="59" t="s">
        <v>2637</v>
      </c>
      <c r="B643" s="59" t="s">
        <v>2638</v>
      </c>
      <c r="C643" s="59" t="s">
        <v>1669</v>
      </c>
      <c r="D643" s="65" t="s">
        <v>598</v>
      </c>
      <c r="E643" s="65" t="s">
        <v>71</v>
      </c>
    </row>
    <row r="644" spans="1:5">
      <c r="A644" s="59" t="s">
        <v>2639</v>
      </c>
      <c r="B644" s="59" t="s">
        <v>2640</v>
      </c>
      <c r="C644" s="59" t="s">
        <v>1669</v>
      </c>
      <c r="D644" s="59" t="s">
        <v>1407</v>
      </c>
      <c r="E644" s="59" t="s">
        <v>31</v>
      </c>
    </row>
    <row r="645" spans="1:5">
      <c r="A645" s="59" t="s">
        <v>2641</v>
      </c>
      <c r="B645" s="59" t="s">
        <v>2642</v>
      </c>
      <c r="C645" s="59" t="s">
        <v>1669</v>
      </c>
      <c r="D645" s="65" t="s">
        <v>1395</v>
      </c>
      <c r="E645" s="65" t="s">
        <v>71</v>
      </c>
    </row>
    <row r="646" spans="1:5">
      <c r="A646" s="59" t="s">
        <v>2643</v>
      </c>
      <c r="B646" s="59" t="s">
        <v>2644</v>
      </c>
      <c r="C646" s="59" t="s">
        <v>1669</v>
      </c>
      <c r="D646" s="59" t="s">
        <v>1458</v>
      </c>
      <c r="E646" s="59" t="s">
        <v>1456</v>
      </c>
    </row>
    <row r="647" spans="1:5">
      <c r="A647" s="59" t="s">
        <v>2645</v>
      </c>
      <c r="B647" s="59" t="s">
        <v>2646</v>
      </c>
      <c r="C647" s="59" t="s">
        <v>1669</v>
      </c>
      <c r="D647" s="59" t="s">
        <v>1458</v>
      </c>
      <c r="E647" s="59" t="s">
        <v>1456</v>
      </c>
    </row>
    <row r="648" spans="1:5">
      <c r="A648" s="59" t="s">
        <v>2647</v>
      </c>
      <c r="B648" s="59" t="s">
        <v>2648</v>
      </c>
      <c r="C648" s="59" t="s">
        <v>1669</v>
      </c>
      <c r="D648" s="59" t="s">
        <v>1395</v>
      </c>
      <c r="E648" s="59" t="s">
        <v>71</v>
      </c>
    </row>
    <row r="649" spans="1:5">
      <c r="A649" s="59" t="s">
        <v>2649</v>
      </c>
      <c r="B649" s="59" t="s">
        <v>2650</v>
      </c>
      <c r="C649" s="59" t="s">
        <v>1669</v>
      </c>
      <c r="D649" s="65" t="s">
        <v>1407</v>
      </c>
      <c r="E649" s="65" t="s">
        <v>71</v>
      </c>
    </row>
    <row r="650" spans="1:5">
      <c r="A650" s="59" t="s">
        <v>2651</v>
      </c>
      <c r="B650" s="59" t="s">
        <v>2652</v>
      </c>
      <c r="C650" s="59" t="s">
        <v>1669</v>
      </c>
      <c r="D650" s="59" t="s">
        <v>1477</v>
      </c>
      <c r="E650" s="59" t="s">
        <v>71</v>
      </c>
    </row>
    <row r="651" spans="1:5">
      <c r="A651" s="59" t="s">
        <v>2653</v>
      </c>
      <c r="B651" s="59" t="s">
        <v>2654</v>
      </c>
      <c r="C651" s="59" t="s">
        <v>1669</v>
      </c>
      <c r="D651" s="59" t="s">
        <v>1395</v>
      </c>
      <c r="E651" s="59" t="s">
        <v>71</v>
      </c>
    </row>
    <row r="652" spans="1:5">
      <c r="A652" s="59" t="s">
        <v>2655</v>
      </c>
      <c r="B652" s="59" t="s">
        <v>2656</v>
      </c>
      <c r="C652" s="59" t="s">
        <v>1669</v>
      </c>
      <c r="D652" s="59" t="s">
        <v>1395</v>
      </c>
      <c r="E652" s="59" t="s">
        <v>71</v>
      </c>
    </row>
    <row r="653" spans="1:5">
      <c r="A653" s="59" t="s">
        <v>2657</v>
      </c>
      <c r="B653" s="59" t="s">
        <v>2658</v>
      </c>
      <c r="C653" s="59" t="s">
        <v>1669</v>
      </c>
      <c r="D653" s="59" t="s">
        <v>1477</v>
      </c>
      <c r="E653" s="59" t="s">
        <v>71</v>
      </c>
    </row>
    <row r="654" spans="1:5">
      <c r="A654" s="59" t="s">
        <v>2659</v>
      </c>
      <c r="B654" s="59" t="s">
        <v>2660</v>
      </c>
      <c r="C654" s="59" t="s">
        <v>1669</v>
      </c>
      <c r="D654" s="65" t="s">
        <v>1458</v>
      </c>
      <c r="E654" s="65" t="s">
        <v>71</v>
      </c>
    </row>
    <row r="655" spans="1:5">
      <c r="A655" s="59" t="s">
        <v>2661</v>
      </c>
      <c r="B655" s="59" t="s">
        <v>2662</v>
      </c>
      <c r="C655" s="59" t="s">
        <v>1669</v>
      </c>
      <c r="D655" s="59" t="s">
        <v>89</v>
      </c>
      <c r="E655" s="59" t="s">
        <v>1456</v>
      </c>
    </row>
    <row r="656" spans="1:5">
      <c r="A656" s="59" t="s">
        <v>2663</v>
      </c>
      <c r="B656" s="59" t="s">
        <v>2664</v>
      </c>
      <c r="C656" s="59" t="s">
        <v>1669</v>
      </c>
      <c r="D656" s="59" t="s">
        <v>1458</v>
      </c>
      <c r="E656" s="59" t="s">
        <v>71</v>
      </c>
    </row>
    <row r="657" spans="1:5">
      <c r="A657" s="59" t="s">
        <v>2665</v>
      </c>
      <c r="B657" s="59" t="s">
        <v>2666</v>
      </c>
      <c r="C657" s="59" t="s">
        <v>1669</v>
      </c>
      <c r="D657" s="59" t="s">
        <v>1477</v>
      </c>
      <c r="E657" s="59" t="s">
        <v>71</v>
      </c>
    </row>
    <row r="658" spans="1:5">
      <c r="A658" s="59" t="s">
        <v>2667</v>
      </c>
      <c r="B658" s="59" t="s">
        <v>2668</v>
      </c>
      <c r="C658" s="59" t="s">
        <v>1669</v>
      </c>
      <c r="D658" s="59" t="s">
        <v>1395</v>
      </c>
      <c r="E658" s="59" t="s">
        <v>71</v>
      </c>
    </row>
    <row r="659" spans="1:5">
      <c r="A659" s="59" t="s">
        <v>2669</v>
      </c>
      <c r="B659" s="59" t="s">
        <v>2670</v>
      </c>
      <c r="C659" s="59" t="s">
        <v>1669</v>
      </c>
      <c r="D659" s="59" t="s">
        <v>1477</v>
      </c>
      <c r="E659" s="59" t="s">
        <v>71</v>
      </c>
    </row>
    <row r="660" spans="1:5">
      <c r="A660" s="59" t="s">
        <v>918</v>
      </c>
      <c r="B660" s="59" t="s">
        <v>2671</v>
      </c>
      <c r="C660" s="59" t="s">
        <v>1669</v>
      </c>
      <c r="D660" s="59" t="s">
        <v>1455</v>
      </c>
      <c r="E660" s="59" t="s">
        <v>1456</v>
      </c>
    </row>
    <row r="661" spans="1:5">
      <c r="A661" s="59" t="s">
        <v>2672</v>
      </c>
      <c r="B661" s="59" t="s">
        <v>2673</v>
      </c>
      <c r="C661" s="59" t="s">
        <v>1669</v>
      </c>
      <c r="D661" s="65" t="s">
        <v>1458</v>
      </c>
      <c r="E661" s="65" t="s">
        <v>71</v>
      </c>
    </row>
    <row r="662" spans="1:5">
      <c r="A662" s="59" t="s">
        <v>2674</v>
      </c>
      <c r="B662" s="59" t="s">
        <v>2675</v>
      </c>
      <c r="C662" s="59" t="s">
        <v>1669</v>
      </c>
      <c r="D662" s="59" t="s">
        <v>1455</v>
      </c>
      <c r="E662" s="59" t="s">
        <v>71</v>
      </c>
    </row>
    <row r="663" spans="1:5">
      <c r="A663" s="59" t="s">
        <v>2676</v>
      </c>
      <c r="B663" s="59" t="s">
        <v>2677</v>
      </c>
      <c r="C663" s="59" t="s">
        <v>1669</v>
      </c>
      <c r="D663" s="59" t="s">
        <v>1477</v>
      </c>
      <c r="E663" s="59" t="s">
        <v>71</v>
      </c>
    </row>
    <row r="664" spans="1:5">
      <c r="A664" s="59" t="s">
        <v>2678</v>
      </c>
      <c r="B664" s="59" t="s">
        <v>2679</v>
      </c>
      <c r="C664" s="59" t="s">
        <v>1669</v>
      </c>
      <c r="D664" s="59" t="s">
        <v>1455</v>
      </c>
      <c r="E664" s="59" t="s">
        <v>71</v>
      </c>
    </row>
    <row r="665" spans="1:5">
      <c r="A665" s="59" t="s">
        <v>2680</v>
      </c>
      <c r="B665" s="59" t="s">
        <v>2681</v>
      </c>
      <c r="C665" s="59" t="s">
        <v>1669</v>
      </c>
      <c r="D665" s="59" t="s">
        <v>1458</v>
      </c>
      <c r="E665" s="59" t="s">
        <v>71</v>
      </c>
    </row>
    <row r="666" spans="1:5">
      <c r="A666" s="59" t="s">
        <v>2682</v>
      </c>
      <c r="B666" s="59" t="s">
        <v>2683</v>
      </c>
      <c r="C666" s="59" t="s">
        <v>1669</v>
      </c>
      <c r="D666" s="59" t="s">
        <v>1458</v>
      </c>
      <c r="E666" s="59" t="s">
        <v>71</v>
      </c>
    </row>
    <row r="667" spans="1:5">
      <c r="A667" s="59" t="s">
        <v>2684</v>
      </c>
      <c r="B667" s="59" t="s">
        <v>2685</v>
      </c>
      <c r="C667" s="59" t="s">
        <v>1669</v>
      </c>
      <c r="D667" s="59" t="s">
        <v>1395</v>
      </c>
      <c r="E667" s="59" t="s">
        <v>71</v>
      </c>
    </row>
    <row r="668" spans="1:5">
      <c r="A668" s="59" t="s">
        <v>771</v>
      </c>
      <c r="B668" s="59" t="s">
        <v>772</v>
      </c>
      <c r="C668" s="59" t="s">
        <v>1669</v>
      </c>
      <c r="D668" s="59" t="s">
        <v>1455</v>
      </c>
      <c r="E668" s="59" t="s">
        <v>71</v>
      </c>
    </row>
    <row r="669" spans="1:5">
      <c r="A669" s="59" t="s">
        <v>2686</v>
      </c>
      <c r="B669" s="59" t="s">
        <v>2687</v>
      </c>
      <c r="C669" s="59" t="s">
        <v>1669</v>
      </c>
      <c r="D669" s="59" t="s">
        <v>1458</v>
      </c>
      <c r="E669" s="59" t="s">
        <v>71</v>
      </c>
    </row>
    <row r="670" spans="1:5">
      <c r="A670" s="59" t="s">
        <v>2688</v>
      </c>
      <c r="B670" s="59" t="s">
        <v>2689</v>
      </c>
      <c r="C670" s="59" t="s">
        <v>1669</v>
      </c>
      <c r="D670" s="65" t="s">
        <v>1371</v>
      </c>
      <c r="E670" s="65" t="s">
        <v>71</v>
      </c>
    </row>
    <row r="671" spans="1:5">
      <c r="A671" s="59" t="s">
        <v>70</v>
      </c>
      <c r="B671" s="59" t="s">
        <v>72</v>
      </c>
      <c r="C671" s="59" t="s">
        <v>1669</v>
      </c>
      <c r="D671" s="59" t="s">
        <v>1395</v>
      </c>
      <c r="E671" s="59" t="s">
        <v>71</v>
      </c>
    </row>
    <row r="672" spans="1:5">
      <c r="A672" s="59" t="s">
        <v>909</v>
      </c>
      <c r="B672" s="59" t="s">
        <v>2690</v>
      </c>
      <c r="C672" s="59" t="s">
        <v>1669</v>
      </c>
      <c r="D672" s="59" t="s">
        <v>1458</v>
      </c>
      <c r="E672" s="59" t="s">
        <v>71</v>
      </c>
    </row>
    <row r="673" spans="1:5">
      <c r="A673" s="59" t="s">
        <v>2691</v>
      </c>
      <c r="B673" s="59" t="s">
        <v>2692</v>
      </c>
      <c r="C673" s="59" t="s">
        <v>1669</v>
      </c>
      <c r="D673" s="59" t="s">
        <v>1395</v>
      </c>
      <c r="E673" s="59" t="s">
        <v>71</v>
      </c>
    </row>
    <row r="674" spans="1:5">
      <c r="A674" s="59" t="s">
        <v>2693</v>
      </c>
      <c r="B674" s="59" t="s">
        <v>2694</v>
      </c>
      <c r="C674" s="59" t="s">
        <v>1669</v>
      </c>
      <c r="D674" s="59" t="s">
        <v>1395</v>
      </c>
      <c r="E674" s="59" t="s">
        <v>71</v>
      </c>
    </row>
    <row r="675" spans="1:5">
      <c r="A675" s="59" t="s">
        <v>2695</v>
      </c>
      <c r="B675" s="59" t="s">
        <v>2696</v>
      </c>
      <c r="C675" s="59" t="s">
        <v>1669</v>
      </c>
      <c r="D675" s="59" t="s">
        <v>1455</v>
      </c>
      <c r="E675" s="59" t="s">
        <v>71</v>
      </c>
    </row>
    <row r="676" spans="1:5">
      <c r="A676" s="59" t="s">
        <v>2697</v>
      </c>
      <c r="B676" s="59" t="s">
        <v>2698</v>
      </c>
      <c r="C676" s="59" t="s">
        <v>1669</v>
      </c>
      <c r="D676" s="59" t="s">
        <v>1477</v>
      </c>
      <c r="E676" s="59" t="s">
        <v>71</v>
      </c>
    </row>
    <row r="677" spans="1:5">
      <c r="A677" s="59" t="s">
        <v>994</v>
      </c>
      <c r="B677" s="59" t="s">
        <v>2699</v>
      </c>
      <c r="C677" s="59" t="s">
        <v>1669</v>
      </c>
      <c r="D677" s="65" t="s">
        <v>1455</v>
      </c>
      <c r="E677" s="65" t="s">
        <v>1456</v>
      </c>
    </row>
    <row r="678" spans="1:5">
      <c r="A678" s="59" t="s">
        <v>2700</v>
      </c>
      <c r="B678" s="59" t="s">
        <v>2701</v>
      </c>
      <c r="C678" s="59" t="s">
        <v>1669</v>
      </c>
      <c r="D678" s="59" t="s">
        <v>1455</v>
      </c>
      <c r="E678" s="59" t="s">
        <v>71</v>
      </c>
    </row>
    <row r="679" spans="1:5">
      <c r="A679" s="59" t="s">
        <v>2702</v>
      </c>
      <c r="B679" s="59" t="s">
        <v>2703</v>
      </c>
      <c r="C679" s="59" t="s">
        <v>1669</v>
      </c>
      <c r="D679" s="65" t="s">
        <v>0</v>
      </c>
      <c r="E679" s="65" t="s">
        <v>122</v>
      </c>
    </row>
    <row r="680" spans="1:5">
      <c r="A680" s="59" t="s">
        <v>327</v>
      </c>
      <c r="B680" s="59" t="s">
        <v>328</v>
      </c>
      <c r="C680" s="59" t="s">
        <v>1669</v>
      </c>
      <c r="D680" s="59" t="s">
        <v>1477</v>
      </c>
      <c r="E680" s="59" t="s">
        <v>71</v>
      </c>
    </row>
    <row r="681" spans="1:5">
      <c r="A681" s="59" t="s">
        <v>2704</v>
      </c>
      <c r="B681" s="59" t="s">
        <v>2705</v>
      </c>
      <c r="C681" s="59" t="s">
        <v>1669</v>
      </c>
      <c r="D681" s="59" t="s">
        <v>1395</v>
      </c>
      <c r="E681" s="59" t="s">
        <v>71</v>
      </c>
    </row>
    <row r="682" spans="1:5">
      <c r="A682" s="59" t="s">
        <v>2706</v>
      </c>
      <c r="B682" s="59" t="s">
        <v>2707</v>
      </c>
      <c r="C682" s="59" t="s">
        <v>1669</v>
      </c>
      <c r="D682" s="59" t="s">
        <v>1455</v>
      </c>
      <c r="E682" s="59" t="s">
        <v>71</v>
      </c>
    </row>
    <row r="683" spans="1:5">
      <c r="A683" s="59" t="s">
        <v>2708</v>
      </c>
      <c r="B683" s="59" t="s">
        <v>2709</v>
      </c>
      <c r="C683" s="59" t="s">
        <v>1669</v>
      </c>
      <c r="D683" s="59" t="s">
        <v>1458</v>
      </c>
      <c r="E683" s="59" t="s">
        <v>71</v>
      </c>
    </row>
    <row r="684" spans="1:5">
      <c r="A684" s="59" t="s">
        <v>2710</v>
      </c>
      <c r="B684" s="59" t="s">
        <v>2711</v>
      </c>
      <c r="C684" s="59" t="s">
        <v>1669</v>
      </c>
      <c r="D684" s="65" t="s">
        <v>1458</v>
      </c>
      <c r="E684" s="65" t="s">
        <v>71</v>
      </c>
    </row>
    <row r="685" spans="1:5">
      <c r="A685" s="59" t="s">
        <v>2712</v>
      </c>
      <c r="B685" s="59" t="s">
        <v>2713</v>
      </c>
      <c r="C685" s="59" t="s">
        <v>1669</v>
      </c>
      <c r="D685" s="59" t="s">
        <v>1395</v>
      </c>
      <c r="E685" s="59" t="s">
        <v>71</v>
      </c>
    </row>
    <row r="686" spans="1:5">
      <c r="A686" s="59" t="s">
        <v>2714</v>
      </c>
      <c r="B686" s="59" t="s">
        <v>2715</v>
      </c>
      <c r="C686" s="59" t="s">
        <v>1669</v>
      </c>
      <c r="D686" s="59" t="s">
        <v>1458</v>
      </c>
      <c r="E686" s="59" t="s">
        <v>71</v>
      </c>
    </row>
    <row r="687" spans="1:5">
      <c r="A687" s="59" t="s">
        <v>2716</v>
      </c>
      <c r="B687" s="59" t="s">
        <v>2717</v>
      </c>
      <c r="C687" s="59" t="s">
        <v>1669</v>
      </c>
      <c r="D687" s="59" t="s">
        <v>1458</v>
      </c>
      <c r="E687" s="59" t="s">
        <v>71</v>
      </c>
    </row>
    <row r="688" spans="1:5">
      <c r="A688" s="59" t="s">
        <v>2718</v>
      </c>
      <c r="B688" s="59" t="s">
        <v>2719</v>
      </c>
      <c r="C688" s="59" t="s">
        <v>1669</v>
      </c>
      <c r="D688" s="65" t="s">
        <v>598</v>
      </c>
      <c r="E688" s="65" t="s">
        <v>71</v>
      </c>
    </row>
    <row r="689" spans="1:5">
      <c r="A689" s="59" t="s">
        <v>2720</v>
      </c>
      <c r="B689" s="59" t="s">
        <v>2721</v>
      </c>
      <c r="C689" s="59" t="s">
        <v>1669</v>
      </c>
      <c r="D689" s="59" t="s">
        <v>1477</v>
      </c>
      <c r="E689" s="59" t="s">
        <v>71</v>
      </c>
    </row>
    <row r="690" spans="1:5">
      <c r="A690" s="59" t="s">
        <v>2722</v>
      </c>
      <c r="B690" s="59" t="s">
        <v>2723</v>
      </c>
      <c r="C690" s="59" t="s">
        <v>1669</v>
      </c>
      <c r="D690" s="65" t="s">
        <v>1455</v>
      </c>
      <c r="E690" s="65" t="s">
        <v>71</v>
      </c>
    </row>
    <row r="691" spans="1:5">
      <c r="A691" s="59" t="s">
        <v>2724</v>
      </c>
      <c r="B691" s="59" t="s">
        <v>2725</v>
      </c>
      <c r="C691" s="59" t="s">
        <v>1669</v>
      </c>
      <c r="D691" s="59" t="s">
        <v>1458</v>
      </c>
      <c r="E691" s="59" t="s">
        <v>1456</v>
      </c>
    </row>
    <row r="692" spans="1:5">
      <c r="A692" s="59" t="s">
        <v>2726</v>
      </c>
      <c r="B692" s="59" t="s">
        <v>2727</v>
      </c>
      <c r="C692" s="59" t="s">
        <v>1669</v>
      </c>
      <c r="D692" s="65" t="s">
        <v>0</v>
      </c>
      <c r="E692" s="65" t="s">
        <v>122</v>
      </c>
    </row>
    <row r="693" spans="1:5">
      <c r="A693" s="59" t="s">
        <v>2728</v>
      </c>
      <c r="B693" s="59" t="s">
        <v>2729</v>
      </c>
      <c r="C693" s="59" t="s">
        <v>1669</v>
      </c>
      <c r="D693" s="65" t="s">
        <v>0</v>
      </c>
      <c r="E693" s="65" t="s">
        <v>122</v>
      </c>
    </row>
    <row r="694" spans="1:5">
      <c r="A694" s="59" t="s">
        <v>2730</v>
      </c>
      <c r="B694" s="59" t="s">
        <v>2731</v>
      </c>
      <c r="C694" s="59" t="s">
        <v>1669</v>
      </c>
      <c r="D694" s="59" t="s">
        <v>1458</v>
      </c>
      <c r="E694" s="59" t="s">
        <v>71</v>
      </c>
    </row>
    <row r="695" spans="1:5">
      <c r="A695" s="59" t="s">
        <v>2732</v>
      </c>
      <c r="B695" s="59" t="s">
        <v>2733</v>
      </c>
      <c r="C695" s="59" t="s">
        <v>1669</v>
      </c>
      <c r="D695" s="59" t="s">
        <v>1458</v>
      </c>
      <c r="E695" s="59" t="s">
        <v>71</v>
      </c>
    </row>
    <row r="696" spans="1:5">
      <c r="A696" s="59" t="s">
        <v>2734</v>
      </c>
      <c r="B696" s="59" t="s">
        <v>2735</v>
      </c>
      <c r="C696" s="59" t="s">
        <v>1669</v>
      </c>
      <c r="D696" s="59" t="s">
        <v>1395</v>
      </c>
      <c r="E696" s="59" t="s">
        <v>71</v>
      </c>
    </row>
    <row r="697" spans="1:5">
      <c r="A697" s="59" t="s">
        <v>2736</v>
      </c>
      <c r="B697" s="59" t="s">
        <v>2737</v>
      </c>
      <c r="C697" s="59" t="s">
        <v>1669</v>
      </c>
      <c r="D697" s="59" t="s">
        <v>1395</v>
      </c>
      <c r="E697" s="59" t="s">
        <v>71</v>
      </c>
    </row>
    <row r="698" spans="1:5">
      <c r="A698" s="59" t="s">
        <v>2738</v>
      </c>
      <c r="B698" s="59" t="s">
        <v>2739</v>
      </c>
      <c r="C698" s="59" t="s">
        <v>1669</v>
      </c>
      <c r="D698" s="59" t="s">
        <v>1395</v>
      </c>
      <c r="E698" s="59" t="s">
        <v>71</v>
      </c>
    </row>
    <row r="699" spans="1:5">
      <c r="A699" s="59" t="s">
        <v>2740</v>
      </c>
      <c r="B699" s="59" t="s">
        <v>2741</v>
      </c>
      <c r="C699" s="59" t="s">
        <v>1669</v>
      </c>
      <c r="D699" s="59" t="s">
        <v>1458</v>
      </c>
      <c r="E699" s="59" t="s">
        <v>71</v>
      </c>
    </row>
    <row r="700" spans="1:5">
      <c r="A700" s="59" t="s">
        <v>2742</v>
      </c>
      <c r="B700" s="59" t="s">
        <v>2743</v>
      </c>
      <c r="C700" s="59" t="s">
        <v>1669</v>
      </c>
      <c r="D700" s="59" t="s">
        <v>1455</v>
      </c>
      <c r="E700" s="59" t="s">
        <v>1456</v>
      </c>
    </row>
    <row r="701" spans="1:5">
      <c r="A701" s="59" t="s">
        <v>2744</v>
      </c>
      <c r="B701" s="59" t="s">
        <v>2745</v>
      </c>
      <c r="C701" s="59" t="s">
        <v>1669</v>
      </c>
      <c r="D701" s="59" t="s">
        <v>1395</v>
      </c>
      <c r="E701" s="59" t="s">
        <v>71</v>
      </c>
    </row>
    <row r="702" spans="1:5">
      <c r="A702" s="59" t="s">
        <v>2746</v>
      </c>
      <c r="B702" s="59" t="s">
        <v>2747</v>
      </c>
      <c r="C702" s="59" t="s">
        <v>1669</v>
      </c>
      <c r="D702" s="65" t="s">
        <v>1458</v>
      </c>
      <c r="E702" s="65" t="s">
        <v>122</v>
      </c>
    </row>
    <row r="703" spans="1:5">
      <c r="A703" s="59" t="s">
        <v>188</v>
      </c>
      <c r="B703" s="59" t="s">
        <v>189</v>
      </c>
      <c r="C703" s="59" t="s">
        <v>1669</v>
      </c>
      <c r="D703" s="59" t="s">
        <v>89</v>
      </c>
      <c r="E703" s="59" t="s">
        <v>71</v>
      </c>
    </row>
    <row r="704" spans="1:5">
      <c r="A704" s="59" t="s">
        <v>2748</v>
      </c>
      <c r="B704" s="59" t="s">
        <v>2749</v>
      </c>
      <c r="C704" s="59" t="s">
        <v>1669</v>
      </c>
      <c r="D704" s="65" t="s">
        <v>598</v>
      </c>
      <c r="E704" s="65" t="s">
        <v>71</v>
      </c>
    </row>
    <row r="705" spans="1:5">
      <c r="A705" s="59" t="s">
        <v>673</v>
      </c>
      <c r="B705" s="59" t="s">
        <v>674</v>
      </c>
      <c r="C705" s="59" t="s">
        <v>1669</v>
      </c>
      <c r="D705" s="65" t="s">
        <v>1477</v>
      </c>
      <c r="E705" s="65" t="s">
        <v>71</v>
      </c>
    </row>
    <row r="706" spans="1:5">
      <c r="A706" s="59" t="s">
        <v>2750</v>
      </c>
      <c r="B706" s="59" t="s">
        <v>2751</v>
      </c>
      <c r="C706" s="59" t="s">
        <v>1669</v>
      </c>
      <c r="D706" s="65" t="s">
        <v>0</v>
      </c>
      <c r="E706" s="65" t="s">
        <v>122</v>
      </c>
    </row>
    <row r="707" spans="1:5">
      <c r="A707" s="59" t="s">
        <v>2752</v>
      </c>
      <c r="B707" s="59" t="s">
        <v>2753</v>
      </c>
      <c r="C707" s="59" t="s">
        <v>1669</v>
      </c>
      <c r="D707" s="65" t="s">
        <v>598</v>
      </c>
      <c r="E707" s="65" t="s">
        <v>71</v>
      </c>
    </row>
    <row r="708" spans="1:5">
      <c r="A708" s="59" t="s">
        <v>2754</v>
      </c>
      <c r="B708" s="59" t="s">
        <v>2755</v>
      </c>
      <c r="C708" s="59" t="s">
        <v>1669</v>
      </c>
      <c r="D708" s="59" t="s">
        <v>1477</v>
      </c>
      <c r="E708" s="59" t="s">
        <v>71</v>
      </c>
    </row>
    <row r="709" spans="1:5">
      <c r="A709" s="59" t="s">
        <v>2756</v>
      </c>
      <c r="B709" s="59" t="s">
        <v>2755</v>
      </c>
      <c r="C709" s="59" t="s">
        <v>1669</v>
      </c>
      <c r="D709" s="65" t="s">
        <v>1477</v>
      </c>
      <c r="E709" s="65" t="s">
        <v>71</v>
      </c>
    </row>
    <row r="710" spans="1:5">
      <c r="A710" s="59" t="s">
        <v>2757</v>
      </c>
      <c r="B710" s="59" t="s">
        <v>2758</v>
      </c>
      <c r="C710" s="59" t="s">
        <v>1669</v>
      </c>
      <c r="D710" s="59" t="s">
        <v>1477</v>
      </c>
      <c r="E710" s="59" t="s">
        <v>71</v>
      </c>
    </row>
    <row r="711" spans="1:5">
      <c r="A711" s="59" t="s">
        <v>2759</v>
      </c>
      <c r="B711" s="59" t="s">
        <v>2760</v>
      </c>
      <c r="C711" s="59" t="s">
        <v>1669</v>
      </c>
      <c r="D711" s="59" t="s">
        <v>598</v>
      </c>
      <c r="E711" s="59" t="s">
        <v>71</v>
      </c>
    </row>
    <row r="712" spans="1:5">
      <c r="A712" s="59" t="s">
        <v>2761</v>
      </c>
      <c r="B712" s="59" t="s">
        <v>2762</v>
      </c>
      <c r="C712" s="59" t="s">
        <v>1669</v>
      </c>
      <c r="D712" s="59" t="s">
        <v>1477</v>
      </c>
      <c r="E712" s="59" t="s">
        <v>71</v>
      </c>
    </row>
    <row r="713" spans="1:5">
      <c r="A713" s="59" t="s">
        <v>2763</v>
      </c>
      <c r="B713" s="59" t="s">
        <v>2764</v>
      </c>
      <c r="C713" s="59" t="s">
        <v>1669</v>
      </c>
      <c r="D713" s="59" t="s">
        <v>89</v>
      </c>
      <c r="E713" s="59" t="s">
        <v>71</v>
      </c>
    </row>
    <row r="714" spans="1:5">
      <c r="A714" s="59" t="s">
        <v>2765</v>
      </c>
      <c r="B714" s="59" t="s">
        <v>2766</v>
      </c>
      <c r="C714" s="59" t="s">
        <v>1669</v>
      </c>
      <c r="D714" s="65" t="s">
        <v>0</v>
      </c>
      <c r="E714" s="65" t="s">
        <v>122</v>
      </c>
    </row>
    <row r="715" spans="1:5">
      <c r="A715" s="59" t="s">
        <v>2767</v>
      </c>
      <c r="B715" s="59" t="s">
        <v>2768</v>
      </c>
      <c r="C715" s="59" t="s">
        <v>1669</v>
      </c>
      <c r="D715" s="59" t="s">
        <v>1477</v>
      </c>
      <c r="E715" s="59" t="s">
        <v>71</v>
      </c>
    </row>
    <row r="716" spans="1:5">
      <c r="A716" s="59" t="s">
        <v>2769</v>
      </c>
      <c r="B716" s="59" t="s">
        <v>2770</v>
      </c>
      <c r="C716" s="59" t="s">
        <v>1669</v>
      </c>
      <c r="D716" s="59" t="s">
        <v>1407</v>
      </c>
      <c r="E716" s="59" t="s">
        <v>31</v>
      </c>
    </row>
    <row r="717" spans="1:5">
      <c r="A717" s="59" t="s">
        <v>2771</v>
      </c>
      <c r="B717" s="59" t="s">
        <v>2772</v>
      </c>
      <c r="C717" s="59" t="s">
        <v>1669</v>
      </c>
      <c r="D717" s="59" t="s">
        <v>1477</v>
      </c>
      <c r="E717" s="59" t="s">
        <v>71</v>
      </c>
    </row>
    <row r="718" spans="1:5">
      <c r="A718" s="59" t="s">
        <v>2773</v>
      </c>
      <c r="B718" s="59" t="s">
        <v>2774</v>
      </c>
      <c r="C718" s="59" t="s">
        <v>1669</v>
      </c>
      <c r="D718" s="65" t="s">
        <v>1455</v>
      </c>
      <c r="E718" s="65" t="s">
        <v>71</v>
      </c>
    </row>
    <row r="719" spans="1:5">
      <c r="A719" s="59" t="s">
        <v>1390</v>
      </c>
      <c r="B719" s="59" t="s">
        <v>2775</v>
      </c>
      <c r="C719" s="59" t="s">
        <v>1669</v>
      </c>
      <c r="D719" s="65" t="s">
        <v>0</v>
      </c>
      <c r="E719" s="65" t="s">
        <v>122</v>
      </c>
    </row>
    <row r="720" spans="1:5">
      <c r="A720" s="59" t="s">
        <v>2776</v>
      </c>
      <c r="B720" s="59" t="s">
        <v>2777</v>
      </c>
      <c r="C720" s="59" t="s">
        <v>1669</v>
      </c>
      <c r="D720" s="59" t="s">
        <v>1458</v>
      </c>
      <c r="E720" s="59" t="s">
        <v>71</v>
      </c>
    </row>
    <row r="721" spans="1:5">
      <c r="A721" s="59" t="s">
        <v>2778</v>
      </c>
      <c r="B721" s="59" t="s">
        <v>2779</v>
      </c>
      <c r="C721" s="59" t="s">
        <v>1669</v>
      </c>
      <c r="D721" s="59" t="s">
        <v>1395</v>
      </c>
      <c r="E721" s="59" t="s">
        <v>71</v>
      </c>
    </row>
    <row r="722" spans="1:5">
      <c r="A722" s="59" t="s">
        <v>2780</v>
      </c>
      <c r="B722" s="59" t="s">
        <v>2781</v>
      </c>
      <c r="C722" s="59" t="s">
        <v>1669</v>
      </c>
      <c r="D722" s="65" t="s">
        <v>598</v>
      </c>
      <c r="E722" s="65" t="s">
        <v>71</v>
      </c>
    </row>
    <row r="723" spans="1:5">
      <c r="A723" s="59" t="s">
        <v>379</v>
      </c>
      <c r="B723" s="59" t="s">
        <v>380</v>
      </c>
      <c r="C723" s="59" t="s">
        <v>1669</v>
      </c>
      <c r="D723" s="65" t="s">
        <v>598</v>
      </c>
      <c r="E723" s="65" t="s">
        <v>71</v>
      </c>
    </row>
    <row r="724" spans="1:5">
      <c r="A724" s="59" t="s">
        <v>2782</v>
      </c>
      <c r="B724" s="59" t="s">
        <v>2783</v>
      </c>
      <c r="C724" s="59" t="s">
        <v>1669</v>
      </c>
      <c r="D724" s="65" t="s">
        <v>1371</v>
      </c>
      <c r="E724" s="65" t="s">
        <v>71</v>
      </c>
    </row>
    <row r="725" spans="1:5">
      <c r="A725" s="59" t="s">
        <v>2784</v>
      </c>
      <c r="B725" s="59" t="s">
        <v>2785</v>
      </c>
      <c r="C725" s="59" t="s">
        <v>1669</v>
      </c>
      <c r="D725" s="59" t="s">
        <v>1477</v>
      </c>
      <c r="E725" s="59" t="s">
        <v>71</v>
      </c>
    </row>
    <row r="726" spans="1:5">
      <c r="A726" s="59" t="s">
        <v>2786</v>
      </c>
      <c r="B726" s="59" t="s">
        <v>2787</v>
      </c>
      <c r="C726" s="59" t="s">
        <v>1669</v>
      </c>
      <c r="D726" s="59" t="s">
        <v>1455</v>
      </c>
      <c r="E726" s="59" t="s">
        <v>71</v>
      </c>
    </row>
    <row r="727" spans="1:5">
      <c r="A727" s="59" t="s">
        <v>2788</v>
      </c>
      <c r="B727" s="59" t="s">
        <v>2789</v>
      </c>
      <c r="C727" s="59" t="s">
        <v>1669</v>
      </c>
      <c r="D727" s="59" t="s">
        <v>1477</v>
      </c>
      <c r="E727" s="59" t="s">
        <v>71</v>
      </c>
    </row>
    <row r="728" spans="1:5">
      <c r="A728" s="59" t="s">
        <v>2790</v>
      </c>
      <c r="B728" s="59" t="s">
        <v>2791</v>
      </c>
      <c r="C728" s="59" t="s">
        <v>1669</v>
      </c>
      <c r="D728" s="59" t="s">
        <v>1455</v>
      </c>
      <c r="E728" s="59" t="s">
        <v>71</v>
      </c>
    </row>
    <row r="729" spans="1:5">
      <c r="A729" s="59" t="s">
        <v>779</v>
      </c>
      <c r="B729" s="59" t="s">
        <v>780</v>
      </c>
      <c r="C729" s="59" t="s">
        <v>1669</v>
      </c>
      <c r="D729" s="59" t="s">
        <v>1395</v>
      </c>
      <c r="E729" s="59" t="s">
        <v>71</v>
      </c>
    </row>
    <row r="730" spans="1:5">
      <c r="A730" s="59" t="s">
        <v>2792</v>
      </c>
      <c r="B730" s="59" t="s">
        <v>2793</v>
      </c>
      <c r="C730" s="59" t="s">
        <v>1669</v>
      </c>
      <c r="D730" s="59" t="s">
        <v>1395</v>
      </c>
      <c r="E730" s="59" t="s">
        <v>71</v>
      </c>
    </row>
    <row r="731" spans="1:5">
      <c r="A731" s="59" t="s">
        <v>2794</v>
      </c>
      <c r="B731" s="59" t="s">
        <v>2795</v>
      </c>
      <c r="C731" s="59" t="s">
        <v>1669</v>
      </c>
      <c r="D731" s="59" t="s">
        <v>1458</v>
      </c>
      <c r="E731" s="59" t="s">
        <v>71</v>
      </c>
    </row>
    <row r="732" spans="1:5">
      <c r="A732" s="59" t="s">
        <v>2796</v>
      </c>
      <c r="B732" s="59" t="s">
        <v>2797</v>
      </c>
      <c r="C732" s="59" t="s">
        <v>1669</v>
      </c>
      <c r="D732" s="59" t="s">
        <v>1458</v>
      </c>
      <c r="E732" s="59" t="s">
        <v>71</v>
      </c>
    </row>
    <row r="733" spans="1:5">
      <c r="A733" s="59" t="s">
        <v>2798</v>
      </c>
      <c r="B733" s="59" t="s">
        <v>2799</v>
      </c>
      <c r="C733" s="59" t="s">
        <v>1669</v>
      </c>
      <c r="D733" s="59" t="s">
        <v>1407</v>
      </c>
      <c r="E733" s="59" t="s">
        <v>31</v>
      </c>
    </row>
    <row r="734" spans="1:5">
      <c r="A734" s="59" t="s">
        <v>2800</v>
      </c>
      <c r="B734" s="59" t="s">
        <v>2801</v>
      </c>
      <c r="C734" s="59" t="s">
        <v>1669</v>
      </c>
      <c r="D734" s="59" t="s">
        <v>1455</v>
      </c>
      <c r="E734" s="59" t="s">
        <v>71</v>
      </c>
    </row>
    <row r="735" spans="1:5">
      <c r="A735" s="59" t="s">
        <v>2802</v>
      </c>
      <c r="B735" s="59" t="s">
        <v>2803</v>
      </c>
      <c r="C735" s="59" t="s">
        <v>1669</v>
      </c>
      <c r="D735" s="59" t="s">
        <v>1477</v>
      </c>
      <c r="E735" s="59" t="s">
        <v>71</v>
      </c>
    </row>
    <row r="736" spans="1:5">
      <c r="A736" s="59" t="s">
        <v>2804</v>
      </c>
      <c r="B736" s="59" t="s">
        <v>2805</v>
      </c>
      <c r="C736" s="59" t="s">
        <v>1669</v>
      </c>
      <c r="D736" s="59" t="s">
        <v>1395</v>
      </c>
      <c r="E736" s="59" t="s">
        <v>1456</v>
      </c>
    </row>
    <row r="737" spans="1:5">
      <c r="A737" s="59" t="s">
        <v>2806</v>
      </c>
      <c r="B737" s="59" t="s">
        <v>2807</v>
      </c>
      <c r="C737" s="59" t="s">
        <v>1669</v>
      </c>
      <c r="D737" s="59" t="s">
        <v>1458</v>
      </c>
      <c r="E737" s="59" t="s">
        <v>71</v>
      </c>
    </row>
    <row r="738" spans="1:5">
      <c r="A738" s="59" t="s">
        <v>2808</v>
      </c>
      <c r="B738" s="59" t="s">
        <v>2809</v>
      </c>
      <c r="C738" s="59" t="s">
        <v>1669</v>
      </c>
      <c r="D738" s="59" t="s">
        <v>1458</v>
      </c>
      <c r="E738" s="59" t="s">
        <v>71</v>
      </c>
    </row>
    <row r="739" spans="1:5">
      <c r="A739" s="59" t="s">
        <v>995</v>
      </c>
      <c r="B739" s="59" t="s">
        <v>2810</v>
      </c>
      <c r="C739" s="59" t="s">
        <v>1669</v>
      </c>
      <c r="D739" s="59" t="s">
        <v>1477</v>
      </c>
      <c r="E739" s="59" t="s">
        <v>1456</v>
      </c>
    </row>
    <row r="740" spans="1:5">
      <c r="A740" s="59" t="s">
        <v>2811</v>
      </c>
      <c r="B740" s="59" t="s">
        <v>2812</v>
      </c>
      <c r="C740" s="59" t="s">
        <v>1669</v>
      </c>
      <c r="D740" s="59" t="s">
        <v>1395</v>
      </c>
      <c r="E740" s="59" t="s">
        <v>71</v>
      </c>
    </row>
    <row r="741" spans="1:5">
      <c r="A741" s="59" t="s">
        <v>2813</v>
      </c>
      <c r="B741" s="59" t="s">
        <v>2814</v>
      </c>
      <c r="C741" s="59" t="s">
        <v>1669</v>
      </c>
      <c r="D741" s="59" t="s">
        <v>1455</v>
      </c>
      <c r="E741" s="59" t="s">
        <v>71</v>
      </c>
    </row>
    <row r="742" spans="1:5">
      <c r="A742" s="59" t="s">
        <v>2815</v>
      </c>
      <c r="B742" s="59" t="s">
        <v>2816</v>
      </c>
      <c r="C742" s="59" t="s">
        <v>1669</v>
      </c>
      <c r="D742" s="59" t="s">
        <v>1455</v>
      </c>
      <c r="E742" s="59" t="s">
        <v>71</v>
      </c>
    </row>
    <row r="743" spans="1:5">
      <c r="A743" s="59" t="s">
        <v>2817</v>
      </c>
      <c r="B743" s="59" t="s">
        <v>2818</v>
      </c>
      <c r="C743" s="59" t="s">
        <v>1669</v>
      </c>
      <c r="D743" s="59" t="s">
        <v>1455</v>
      </c>
      <c r="E743" s="59" t="s">
        <v>71</v>
      </c>
    </row>
    <row r="744" spans="1:5">
      <c r="A744" s="59" t="s">
        <v>2819</v>
      </c>
      <c r="B744" s="59" t="s">
        <v>2820</v>
      </c>
      <c r="C744" s="59" t="s">
        <v>1669</v>
      </c>
      <c r="D744" s="59" t="s">
        <v>1458</v>
      </c>
      <c r="E744" s="59" t="s">
        <v>71</v>
      </c>
    </row>
    <row r="745" spans="1:5">
      <c r="A745" s="59" t="s">
        <v>2821</v>
      </c>
      <c r="B745" s="59" t="s">
        <v>2822</v>
      </c>
      <c r="C745" s="59" t="s">
        <v>1669</v>
      </c>
      <c r="D745" s="65" t="s">
        <v>1395</v>
      </c>
      <c r="E745" s="65" t="s">
        <v>71</v>
      </c>
    </row>
    <row r="746" spans="1:5">
      <c r="A746" s="59" t="s">
        <v>2823</v>
      </c>
      <c r="B746" s="59" t="s">
        <v>2824</v>
      </c>
      <c r="C746" s="59" t="s">
        <v>1669</v>
      </c>
      <c r="D746" s="59" t="s">
        <v>1477</v>
      </c>
      <c r="E746" s="59" t="s">
        <v>71</v>
      </c>
    </row>
    <row r="747" spans="1:5">
      <c r="A747" s="59" t="s">
        <v>2825</v>
      </c>
      <c r="B747" s="59" t="s">
        <v>2826</v>
      </c>
      <c r="C747" s="59" t="s">
        <v>1669</v>
      </c>
      <c r="D747" s="59" t="s">
        <v>1395</v>
      </c>
      <c r="E747" s="59" t="s">
        <v>71</v>
      </c>
    </row>
    <row r="748" spans="1:5">
      <c r="A748" s="59" t="s">
        <v>2827</v>
      </c>
      <c r="B748" s="59" t="s">
        <v>2828</v>
      </c>
      <c r="C748" s="59" t="s">
        <v>1669</v>
      </c>
      <c r="D748" s="65" t="s">
        <v>1395</v>
      </c>
      <c r="E748" s="65" t="s">
        <v>122</v>
      </c>
    </row>
    <row r="749" spans="1:5">
      <c r="A749" s="59" t="s">
        <v>2829</v>
      </c>
      <c r="B749" s="59" t="s">
        <v>2830</v>
      </c>
      <c r="C749" s="59" t="s">
        <v>1669</v>
      </c>
      <c r="D749" s="59" t="s">
        <v>1477</v>
      </c>
      <c r="E749" s="59" t="s">
        <v>71</v>
      </c>
    </row>
    <row r="750" spans="1:5">
      <c r="A750" s="59" t="s">
        <v>2831</v>
      </c>
      <c r="B750" s="59" t="s">
        <v>2832</v>
      </c>
      <c r="C750" s="59" t="s">
        <v>1669</v>
      </c>
      <c r="D750" s="65" t="s">
        <v>598</v>
      </c>
      <c r="E750" s="65" t="s">
        <v>71</v>
      </c>
    </row>
    <row r="751" spans="1:5">
      <c r="A751" s="59" t="s">
        <v>905</v>
      </c>
      <c r="B751" s="59" t="s">
        <v>2833</v>
      </c>
      <c r="C751" s="59" t="s">
        <v>1669</v>
      </c>
      <c r="D751" s="59" t="s">
        <v>1477</v>
      </c>
      <c r="E751" s="59" t="s">
        <v>71</v>
      </c>
    </row>
    <row r="752" spans="1:5">
      <c r="A752" s="59" t="s">
        <v>2834</v>
      </c>
      <c r="B752" s="59" t="s">
        <v>2835</v>
      </c>
      <c r="C752" s="59" t="s">
        <v>1669</v>
      </c>
      <c r="D752" s="59" t="s">
        <v>1477</v>
      </c>
      <c r="E752" s="59" t="s">
        <v>71</v>
      </c>
    </row>
    <row r="753" spans="1:5">
      <c r="A753" s="59" t="s">
        <v>2836</v>
      </c>
      <c r="B753" s="59" t="s">
        <v>2837</v>
      </c>
      <c r="C753" s="59" t="s">
        <v>1669</v>
      </c>
      <c r="D753" s="59" t="s">
        <v>1395</v>
      </c>
      <c r="E753" s="59" t="s">
        <v>71</v>
      </c>
    </row>
    <row r="754" spans="1:5">
      <c r="A754" s="59" t="s">
        <v>2838</v>
      </c>
      <c r="B754" s="59" t="s">
        <v>2839</v>
      </c>
      <c r="C754" s="59" t="s">
        <v>1669</v>
      </c>
      <c r="D754" s="59" t="s">
        <v>1455</v>
      </c>
      <c r="E754" s="59" t="s">
        <v>1456</v>
      </c>
    </row>
    <row r="755" spans="1:5">
      <c r="A755" s="59" t="s">
        <v>2840</v>
      </c>
      <c r="B755" s="59" t="s">
        <v>1362</v>
      </c>
      <c r="C755" s="59" t="s">
        <v>1669</v>
      </c>
      <c r="D755" s="59" t="s">
        <v>1407</v>
      </c>
      <c r="E755" s="59" t="s">
        <v>122</v>
      </c>
    </row>
    <row r="756" spans="1:5">
      <c r="A756" s="59" t="s">
        <v>2841</v>
      </c>
      <c r="B756" s="59" t="s">
        <v>2842</v>
      </c>
      <c r="C756" s="59" t="s">
        <v>1669</v>
      </c>
      <c r="D756" s="59" t="s">
        <v>1477</v>
      </c>
      <c r="E756" s="59" t="s">
        <v>1456</v>
      </c>
    </row>
    <row r="757" spans="1:5">
      <c r="A757" s="59" t="s">
        <v>2843</v>
      </c>
      <c r="B757" s="59" t="s">
        <v>2844</v>
      </c>
      <c r="C757" s="59" t="s">
        <v>1669</v>
      </c>
      <c r="D757" s="65" t="s">
        <v>598</v>
      </c>
      <c r="E757" s="65" t="s">
        <v>71</v>
      </c>
    </row>
    <row r="758" spans="1:5">
      <c r="A758" s="59" t="s">
        <v>2845</v>
      </c>
      <c r="B758" s="59" t="s">
        <v>2846</v>
      </c>
      <c r="C758" s="59" t="s">
        <v>1669</v>
      </c>
      <c r="D758" s="65" t="s">
        <v>598</v>
      </c>
      <c r="E758" s="65" t="s">
        <v>71</v>
      </c>
    </row>
    <row r="759" spans="1:5">
      <c r="A759" s="59" t="s">
        <v>2847</v>
      </c>
      <c r="B759" s="59" t="s">
        <v>2848</v>
      </c>
      <c r="C759" s="59" t="s">
        <v>1669</v>
      </c>
      <c r="D759" s="59" t="s">
        <v>1477</v>
      </c>
      <c r="E759" s="59" t="s">
        <v>71</v>
      </c>
    </row>
    <row r="760" spans="1:5">
      <c r="A760" s="59" t="s">
        <v>2849</v>
      </c>
      <c r="B760" s="59" t="s">
        <v>2850</v>
      </c>
      <c r="C760" s="59" t="s">
        <v>1669</v>
      </c>
      <c r="D760" s="59" t="s">
        <v>1477</v>
      </c>
      <c r="E760" s="59" t="s">
        <v>1456</v>
      </c>
    </row>
    <row r="761" spans="1:5">
      <c r="A761" s="59" t="s">
        <v>2851</v>
      </c>
      <c r="B761" s="59" t="s">
        <v>2852</v>
      </c>
      <c r="C761" s="59" t="s">
        <v>1669</v>
      </c>
      <c r="D761" s="59" t="s">
        <v>1395</v>
      </c>
      <c r="E761" s="59" t="s">
        <v>71</v>
      </c>
    </row>
    <row r="762" spans="1:5">
      <c r="A762" s="59" t="s">
        <v>2853</v>
      </c>
      <c r="B762" s="59" t="s">
        <v>2854</v>
      </c>
      <c r="C762" s="59" t="s">
        <v>1669</v>
      </c>
      <c r="D762" s="65" t="s">
        <v>598</v>
      </c>
      <c r="E762" s="65" t="s">
        <v>71</v>
      </c>
    </row>
    <row r="763" spans="1:5">
      <c r="A763" s="59" t="s">
        <v>1383</v>
      </c>
      <c r="B763" s="59" t="s">
        <v>1743</v>
      </c>
      <c r="C763" s="59" t="s">
        <v>1669</v>
      </c>
      <c r="D763" s="65" t="s">
        <v>0</v>
      </c>
      <c r="E763" s="65" t="s">
        <v>122</v>
      </c>
    </row>
    <row r="764" spans="1:5">
      <c r="A764" s="59" t="s">
        <v>2855</v>
      </c>
      <c r="B764" s="59" t="s">
        <v>2856</v>
      </c>
      <c r="C764" s="59" t="s">
        <v>1669</v>
      </c>
      <c r="D764" s="59" t="s">
        <v>1477</v>
      </c>
      <c r="E764" s="59" t="s">
        <v>71</v>
      </c>
    </row>
    <row r="765" spans="1:5">
      <c r="A765" s="59" t="s">
        <v>2857</v>
      </c>
      <c r="B765" s="59" t="s">
        <v>2858</v>
      </c>
      <c r="C765" s="59" t="s">
        <v>1669</v>
      </c>
      <c r="D765" s="65" t="s">
        <v>1458</v>
      </c>
      <c r="E765" s="65" t="s">
        <v>71</v>
      </c>
    </row>
    <row r="766" spans="1:5">
      <c r="A766" s="59" t="s">
        <v>2859</v>
      </c>
      <c r="B766" s="59" t="s">
        <v>2860</v>
      </c>
      <c r="C766" s="59" t="s">
        <v>1669</v>
      </c>
      <c r="D766" s="65" t="s">
        <v>598</v>
      </c>
      <c r="E766" s="65" t="s">
        <v>71</v>
      </c>
    </row>
    <row r="767" spans="1:5">
      <c r="A767" s="59" t="s">
        <v>2861</v>
      </c>
      <c r="B767" s="59" t="s">
        <v>2862</v>
      </c>
      <c r="C767" s="59" t="s">
        <v>1669</v>
      </c>
      <c r="D767" s="65" t="s">
        <v>0</v>
      </c>
      <c r="E767" s="65" t="s">
        <v>122</v>
      </c>
    </row>
    <row r="768" spans="1:5">
      <c r="A768" s="59" t="s">
        <v>2863</v>
      </c>
      <c r="B768" s="59" t="s">
        <v>2864</v>
      </c>
      <c r="C768" s="59" t="s">
        <v>1669</v>
      </c>
      <c r="D768" s="59" t="s">
        <v>1477</v>
      </c>
      <c r="E768" s="59" t="s">
        <v>71</v>
      </c>
    </row>
    <row r="769" spans="1:5">
      <c r="A769" s="59" t="s">
        <v>2865</v>
      </c>
      <c r="B769" s="59" t="s">
        <v>2866</v>
      </c>
      <c r="C769" s="59" t="s">
        <v>1669</v>
      </c>
      <c r="D769" s="59" t="s">
        <v>1458</v>
      </c>
      <c r="E769" s="59" t="s">
        <v>71</v>
      </c>
    </row>
    <row r="770" spans="1:5">
      <c r="A770" s="59" t="s">
        <v>2867</v>
      </c>
      <c r="B770" s="59" t="s">
        <v>2868</v>
      </c>
      <c r="C770" s="59" t="s">
        <v>1669</v>
      </c>
      <c r="D770" s="59" t="s">
        <v>1458</v>
      </c>
      <c r="E770" s="59" t="s">
        <v>71</v>
      </c>
    </row>
    <row r="771" spans="1:5">
      <c r="A771" s="59" t="s">
        <v>930</v>
      </c>
      <c r="B771" s="59" t="s">
        <v>2869</v>
      </c>
      <c r="C771" s="59" t="s">
        <v>1669</v>
      </c>
      <c r="D771" s="65" t="s">
        <v>1458</v>
      </c>
      <c r="E771" s="65" t="s">
        <v>71</v>
      </c>
    </row>
    <row r="772" spans="1:5">
      <c r="A772" s="59" t="s">
        <v>2870</v>
      </c>
      <c r="B772" s="59" t="s">
        <v>2871</v>
      </c>
      <c r="C772" s="59" t="s">
        <v>1669</v>
      </c>
      <c r="D772" s="59" t="s">
        <v>1395</v>
      </c>
      <c r="E772" s="59" t="s">
        <v>1456</v>
      </c>
    </row>
    <row r="773" spans="1:5">
      <c r="A773" s="59" t="s">
        <v>2872</v>
      </c>
      <c r="B773" s="59" t="s">
        <v>2873</v>
      </c>
      <c r="C773" s="59" t="s">
        <v>1669</v>
      </c>
      <c r="D773" s="59" t="s">
        <v>1477</v>
      </c>
      <c r="E773" s="59" t="s">
        <v>71</v>
      </c>
    </row>
    <row r="774" spans="1:5">
      <c r="A774" s="59" t="s">
        <v>2874</v>
      </c>
      <c r="B774" s="59" t="s">
        <v>2875</v>
      </c>
      <c r="C774" s="59" t="s">
        <v>1669</v>
      </c>
      <c r="D774" s="59" t="s">
        <v>1458</v>
      </c>
      <c r="E774" s="59" t="s">
        <v>71</v>
      </c>
    </row>
    <row r="775" spans="1:5">
      <c r="A775" s="59" t="s">
        <v>2876</v>
      </c>
      <c r="B775" s="59" t="s">
        <v>2877</v>
      </c>
      <c r="C775" s="59" t="s">
        <v>1669</v>
      </c>
      <c r="D775" s="59" t="s">
        <v>1395</v>
      </c>
      <c r="E775" s="59" t="s">
        <v>71</v>
      </c>
    </row>
    <row r="776" spans="1:5">
      <c r="A776" s="59" t="s">
        <v>2878</v>
      </c>
      <c r="B776" s="59" t="s">
        <v>2879</v>
      </c>
      <c r="C776" s="59" t="s">
        <v>1669</v>
      </c>
      <c r="D776" s="59" t="s">
        <v>1395</v>
      </c>
      <c r="E776" s="59" t="s">
        <v>71</v>
      </c>
    </row>
    <row r="777" spans="1:5">
      <c r="A777" s="59" t="s">
        <v>2880</v>
      </c>
      <c r="B777" s="59" t="s">
        <v>2881</v>
      </c>
      <c r="C777" s="59" t="s">
        <v>1669</v>
      </c>
      <c r="D777" s="65" t="s">
        <v>0</v>
      </c>
      <c r="E777" s="65" t="s">
        <v>122</v>
      </c>
    </row>
    <row r="778" spans="1:5">
      <c r="A778" s="59" t="s">
        <v>2882</v>
      </c>
      <c r="B778" s="59" t="s">
        <v>2883</v>
      </c>
      <c r="C778" s="59" t="s">
        <v>1669</v>
      </c>
      <c r="D778" s="59" t="s">
        <v>1395</v>
      </c>
      <c r="E778" s="59" t="s">
        <v>71</v>
      </c>
    </row>
    <row r="779" spans="1:5">
      <c r="A779" s="59" t="s">
        <v>2884</v>
      </c>
      <c r="B779" s="59" t="s">
        <v>2885</v>
      </c>
      <c r="C779" s="59" t="s">
        <v>1669</v>
      </c>
      <c r="D779" s="59" t="s">
        <v>1455</v>
      </c>
      <c r="E779" s="59" t="s">
        <v>1456</v>
      </c>
    </row>
    <row r="780" spans="1:5">
      <c r="A780" s="59" t="s">
        <v>2886</v>
      </c>
      <c r="B780" s="59" t="s">
        <v>2887</v>
      </c>
      <c r="C780" s="59" t="s">
        <v>1669</v>
      </c>
      <c r="D780" s="59" t="s">
        <v>1455</v>
      </c>
      <c r="E780" s="59" t="s">
        <v>71</v>
      </c>
    </row>
    <row r="781" spans="1:5">
      <c r="A781" s="59" t="s">
        <v>2888</v>
      </c>
      <c r="B781" s="59" t="s">
        <v>2889</v>
      </c>
      <c r="C781" s="59" t="s">
        <v>1669</v>
      </c>
      <c r="D781" s="59" t="s">
        <v>1458</v>
      </c>
      <c r="E781" s="59" t="s">
        <v>1456</v>
      </c>
    </row>
    <row r="782" spans="1:5">
      <c r="A782" s="59" t="s">
        <v>742</v>
      </c>
      <c r="B782" s="59" t="s">
        <v>743</v>
      </c>
      <c r="C782" s="59" t="s">
        <v>1669</v>
      </c>
      <c r="D782" s="65" t="s">
        <v>0</v>
      </c>
      <c r="E782" s="65" t="s">
        <v>122</v>
      </c>
    </row>
    <row r="783" spans="1:5">
      <c r="A783" s="59" t="s">
        <v>951</v>
      </c>
      <c r="B783" s="59" t="s">
        <v>2890</v>
      </c>
      <c r="C783" s="59" t="s">
        <v>1669</v>
      </c>
      <c r="D783" s="59" t="s">
        <v>1477</v>
      </c>
      <c r="E783" s="59" t="s">
        <v>71</v>
      </c>
    </row>
    <row r="784" spans="1:5">
      <c r="A784" s="59" t="s">
        <v>2891</v>
      </c>
      <c r="B784" s="59" t="s">
        <v>2892</v>
      </c>
      <c r="C784" s="59" t="s">
        <v>1669</v>
      </c>
      <c r="D784" s="65" t="s">
        <v>1395</v>
      </c>
      <c r="E784" s="65" t="s">
        <v>71</v>
      </c>
    </row>
    <row r="785" spans="1:5">
      <c r="A785" s="59" t="s">
        <v>2893</v>
      </c>
      <c r="B785" s="59" t="s">
        <v>2894</v>
      </c>
      <c r="C785" s="59" t="s">
        <v>1669</v>
      </c>
      <c r="D785" s="65" t="s">
        <v>1458</v>
      </c>
      <c r="E785" s="65" t="s">
        <v>71</v>
      </c>
    </row>
    <row r="786" spans="1:5">
      <c r="A786" s="59" t="s">
        <v>2895</v>
      </c>
      <c r="B786" s="59" t="s">
        <v>2896</v>
      </c>
      <c r="C786" s="59" t="s">
        <v>1669</v>
      </c>
      <c r="D786" s="59" t="s">
        <v>1458</v>
      </c>
      <c r="E786" s="59" t="s">
        <v>71</v>
      </c>
    </row>
    <row r="787" spans="1:5">
      <c r="A787" s="59" t="s">
        <v>2897</v>
      </c>
      <c r="B787" s="59" t="s">
        <v>2898</v>
      </c>
      <c r="C787" s="59" t="s">
        <v>1669</v>
      </c>
      <c r="D787" s="59" t="s">
        <v>1395</v>
      </c>
      <c r="E787" s="59" t="s">
        <v>1456</v>
      </c>
    </row>
    <row r="788" spans="1:5">
      <c r="A788" s="59" t="s">
        <v>2899</v>
      </c>
      <c r="B788" s="59" t="s">
        <v>2900</v>
      </c>
      <c r="C788" s="59" t="s">
        <v>1669</v>
      </c>
      <c r="D788" s="59" t="s">
        <v>1477</v>
      </c>
      <c r="E788" s="59" t="s">
        <v>71</v>
      </c>
    </row>
    <row r="789" spans="1:5">
      <c r="A789" s="59" t="s">
        <v>2901</v>
      </c>
      <c r="B789" s="59" t="s">
        <v>2902</v>
      </c>
      <c r="C789" s="59" t="s">
        <v>1669</v>
      </c>
      <c r="D789" s="65" t="s">
        <v>1455</v>
      </c>
      <c r="E789" s="65" t="s">
        <v>1456</v>
      </c>
    </row>
    <row r="790" spans="1:5">
      <c r="A790" s="59" t="s">
        <v>2903</v>
      </c>
      <c r="B790" s="59" t="s">
        <v>2904</v>
      </c>
      <c r="C790" s="59" t="s">
        <v>1669</v>
      </c>
      <c r="D790" s="59" t="s">
        <v>1477</v>
      </c>
      <c r="E790" s="59" t="s">
        <v>71</v>
      </c>
    </row>
    <row r="791" spans="1:5">
      <c r="A791" s="59" t="s">
        <v>2905</v>
      </c>
      <c r="B791" s="59" t="s">
        <v>2906</v>
      </c>
      <c r="C791" s="59" t="s">
        <v>1669</v>
      </c>
      <c r="D791" s="65" t="s">
        <v>0</v>
      </c>
      <c r="E791" s="65" t="s">
        <v>122</v>
      </c>
    </row>
    <row r="792" spans="1:5">
      <c r="A792" s="59" t="s">
        <v>2907</v>
      </c>
      <c r="B792" s="59" t="s">
        <v>2908</v>
      </c>
      <c r="C792" s="59" t="s">
        <v>1669</v>
      </c>
      <c r="D792" s="59" t="s">
        <v>1458</v>
      </c>
      <c r="E792" s="59" t="s">
        <v>71</v>
      </c>
    </row>
    <row r="793" spans="1:5">
      <c r="A793" s="59" t="s">
        <v>2909</v>
      </c>
      <c r="B793" s="59" t="s">
        <v>2910</v>
      </c>
      <c r="C793" s="59" t="s">
        <v>1669</v>
      </c>
      <c r="D793" s="65" t="s">
        <v>1371</v>
      </c>
      <c r="E793" s="65" t="s">
        <v>71</v>
      </c>
    </row>
    <row r="794" spans="1:5">
      <c r="A794" s="59" t="s">
        <v>2911</v>
      </c>
      <c r="B794" s="59" t="s">
        <v>2912</v>
      </c>
      <c r="C794" s="59" t="s">
        <v>1669</v>
      </c>
      <c r="D794" s="59" t="s">
        <v>1477</v>
      </c>
      <c r="E794" s="59" t="s">
        <v>71</v>
      </c>
    </row>
    <row r="795" spans="1:5">
      <c r="A795" s="59" t="s">
        <v>2913</v>
      </c>
      <c r="B795" s="59" t="s">
        <v>2914</v>
      </c>
      <c r="C795" s="59" t="s">
        <v>1669</v>
      </c>
      <c r="D795" s="65" t="s">
        <v>1458</v>
      </c>
      <c r="E795" s="65" t="s">
        <v>1456</v>
      </c>
    </row>
    <row r="796" spans="1:5">
      <c r="A796" s="59" t="s">
        <v>2915</v>
      </c>
      <c r="B796" s="59" t="s">
        <v>2916</v>
      </c>
      <c r="C796" s="59" t="s">
        <v>1669</v>
      </c>
      <c r="D796" s="59" t="s">
        <v>1477</v>
      </c>
      <c r="E796" s="59" t="s">
        <v>71</v>
      </c>
    </row>
    <row r="797" spans="1:5">
      <c r="A797" s="59" t="s">
        <v>2917</v>
      </c>
      <c r="B797" s="59" t="s">
        <v>2916</v>
      </c>
      <c r="C797" s="59" t="s">
        <v>1669</v>
      </c>
      <c r="D797" s="59" t="s">
        <v>1477</v>
      </c>
      <c r="E797" s="59" t="s">
        <v>71</v>
      </c>
    </row>
    <row r="798" spans="1:5">
      <c r="A798" s="59" t="s">
        <v>2918</v>
      </c>
      <c r="B798" s="59" t="s">
        <v>2919</v>
      </c>
      <c r="C798" s="59" t="s">
        <v>1669</v>
      </c>
      <c r="D798" s="65" t="s">
        <v>89</v>
      </c>
      <c r="E798" s="59" t="s">
        <v>1456</v>
      </c>
    </row>
    <row r="799" spans="1:5">
      <c r="A799" s="59" t="s">
        <v>2920</v>
      </c>
      <c r="B799" s="59" t="s">
        <v>2921</v>
      </c>
      <c r="C799" s="59" t="s">
        <v>1669</v>
      </c>
      <c r="D799" s="59" t="s">
        <v>1458</v>
      </c>
      <c r="E799" s="59" t="s">
        <v>71</v>
      </c>
    </row>
    <row r="800" spans="1:5">
      <c r="A800" s="59" t="s">
        <v>2922</v>
      </c>
      <c r="B800" s="59" t="s">
        <v>2923</v>
      </c>
      <c r="C800" s="59" t="s">
        <v>1669</v>
      </c>
      <c r="D800" s="59" t="s">
        <v>1455</v>
      </c>
      <c r="E800" s="59" t="s">
        <v>71</v>
      </c>
    </row>
    <row r="801" spans="1:5">
      <c r="A801" s="59" t="s">
        <v>2924</v>
      </c>
      <c r="B801" s="59" t="s">
        <v>2925</v>
      </c>
      <c r="C801" s="59" t="s">
        <v>1669</v>
      </c>
      <c r="D801" s="65" t="s">
        <v>598</v>
      </c>
      <c r="E801" s="65" t="s">
        <v>71</v>
      </c>
    </row>
    <row r="802" spans="1:5">
      <c r="A802" s="59" t="s">
        <v>2926</v>
      </c>
      <c r="B802" s="59" t="s">
        <v>2927</v>
      </c>
      <c r="C802" s="59" t="s">
        <v>1669</v>
      </c>
      <c r="D802" s="59" t="s">
        <v>1455</v>
      </c>
      <c r="E802" s="59" t="s">
        <v>71</v>
      </c>
    </row>
    <row r="803" spans="1:5">
      <c r="A803" s="59" t="s">
        <v>2928</v>
      </c>
      <c r="B803" s="59" t="s">
        <v>2929</v>
      </c>
      <c r="C803" s="59" t="s">
        <v>1669</v>
      </c>
      <c r="D803" s="59" t="s">
        <v>1458</v>
      </c>
      <c r="E803" s="59" t="s">
        <v>71</v>
      </c>
    </row>
    <row r="804" spans="1:5">
      <c r="A804" s="59" t="s">
        <v>2930</v>
      </c>
      <c r="B804" s="59" t="s">
        <v>2931</v>
      </c>
      <c r="C804" s="59" t="s">
        <v>1669</v>
      </c>
      <c r="D804" s="65" t="s">
        <v>598</v>
      </c>
      <c r="E804" s="65" t="s">
        <v>71</v>
      </c>
    </row>
    <row r="805" spans="1:5">
      <c r="A805" s="59" t="s">
        <v>2932</v>
      </c>
      <c r="B805" s="59" t="s">
        <v>2933</v>
      </c>
      <c r="C805" s="59" t="s">
        <v>1669</v>
      </c>
      <c r="D805" s="59" t="s">
        <v>1371</v>
      </c>
      <c r="E805" s="59" t="s">
        <v>1456</v>
      </c>
    </row>
    <row r="806" spans="1:5">
      <c r="A806" s="59" t="s">
        <v>2934</v>
      </c>
      <c r="B806" s="59" t="s">
        <v>2935</v>
      </c>
      <c r="C806" s="59" t="s">
        <v>1669</v>
      </c>
      <c r="D806" s="59" t="s">
        <v>1477</v>
      </c>
      <c r="E806" s="59" t="s">
        <v>71</v>
      </c>
    </row>
    <row r="807" spans="1:5">
      <c r="A807" s="59" t="s">
        <v>2936</v>
      </c>
      <c r="B807" s="59" t="s">
        <v>2937</v>
      </c>
      <c r="C807" s="59" t="s">
        <v>1669</v>
      </c>
      <c r="D807" s="59" t="s">
        <v>1395</v>
      </c>
      <c r="E807" s="59" t="s">
        <v>71</v>
      </c>
    </row>
    <row r="808" spans="1:5">
      <c r="A808" s="59" t="s">
        <v>2938</v>
      </c>
      <c r="B808" s="59" t="s">
        <v>2939</v>
      </c>
      <c r="C808" s="59" t="s">
        <v>1669</v>
      </c>
      <c r="D808" s="59" t="s">
        <v>1458</v>
      </c>
      <c r="E808" s="59" t="s">
        <v>71</v>
      </c>
    </row>
    <row r="809" spans="1:5">
      <c r="A809" s="59" t="s">
        <v>2940</v>
      </c>
      <c r="B809" s="59" t="s">
        <v>2941</v>
      </c>
      <c r="C809" s="59" t="s">
        <v>1669</v>
      </c>
      <c r="D809" s="59" t="s">
        <v>1407</v>
      </c>
      <c r="E809" s="59" t="s">
        <v>31</v>
      </c>
    </row>
    <row r="810" spans="1:5">
      <c r="A810" s="59" t="s">
        <v>2942</v>
      </c>
      <c r="B810" s="59" t="s">
        <v>2943</v>
      </c>
      <c r="C810" s="59" t="s">
        <v>1669</v>
      </c>
      <c r="D810" s="59" t="s">
        <v>1395</v>
      </c>
      <c r="E810" s="59" t="s">
        <v>1456</v>
      </c>
    </row>
    <row r="811" spans="1:5">
      <c r="A811" s="59" t="s">
        <v>2944</v>
      </c>
      <c r="B811" s="59" t="s">
        <v>2945</v>
      </c>
      <c r="C811" s="59" t="s">
        <v>1669</v>
      </c>
      <c r="D811" s="59" t="s">
        <v>1395</v>
      </c>
      <c r="E811" s="59" t="s">
        <v>71</v>
      </c>
    </row>
    <row r="812" spans="1:5">
      <c r="A812" s="59" t="s">
        <v>2946</v>
      </c>
      <c r="B812" s="59" t="s">
        <v>2947</v>
      </c>
      <c r="C812" s="59" t="s">
        <v>1669</v>
      </c>
      <c r="D812" s="59" t="s">
        <v>1477</v>
      </c>
      <c r="E812" s="59" t="s">
        <v>71</v>
      </c>
    </row>
    <row r="813" spans="1:5">
      <c r="A813" s="59" t="s">
        <v>937</v>
      </c>
      <c r="B813" s="59" t="s">
        <v>2948</v>
      </c>
      <c r="C813" s="59" t="s">
        <v>1669</v>
      </c>
      <c r="D813" s="59" t="s">
        <v>1477</v>
      </c>
      <c r="E813" s="59" t="s">
        <v>71</v>
      </c>
    </row>
    <row r="814" spans="1:5">
      <c r="A814" s="59" t="s">
        <v>2949</v>
      </c>
      <c r="B814" s="59" t="s">
        <v>2950</v>
      </c>
      <c r="C814" s="59" t="s">
        <v>1669</v>
      </c>
      <c r="D814" s="59" t="s">
        <v>1395</v>
      </c>
      <c r="E814" s="59" t="s">
        <v>71</v>
      </c>
    </row>
    <row r="815" spans="1:5">
      <c r="A815" s="59" t="s">
        <v>2951</v>
      </c>
      <c r="B815" s="59" t="s">
        <v>2952</v>
      </c>
      <c r="C815" s="59" t="s">
        <v>1669</v>
      </c>
      <c r="D815" s="59" t="s">
        <v>1371</v>
      </c>
      <c r="E815" s="59" t="s">
        <v>71</v>
      </c>
    </row>
    <row r="816" spans="1:5">
      <c r="A816" s="59" t="s">
        <v>2953</v>
      </c>
      <c r="B816" s="59" t="s">
        <v>2954</v>
      </c>
      <c r="C816" s="59" t="s">
        <v>1669</v>
      </c>
      <c r="D816" s="59" t="s">
        <v>1455</v>
      </c>
      <c r="E816" s="59" t="s">
        <v>1456</v>
      </c>
    </row>
    <row r="817" spans="1:5">
      <c r="A817" s="59" t="s">
        <v>2955</v>
      </c>
      <c r="B817" s="59" t="s">
        <v>2956</v>
      </c>
      <c r="C817" s="59" t="s">
        <v>1669</v>
      </c>
      <c r="D817" s="59" t="s">
        <v>1477</v>
      </c>
      <c r="E817" s="59" t="s">
        <v>71</v>
      </c>
    </row>
    <row r="818" spans="1:5">
      <c r="A818" s="59" t="s">
        <v>2957</v>
      </c>
      <c r="B818" s="59" t="s">
        <v>2958</v>
      </c>
      <c r="C818" s="59" t="s">
        <v>1669</v>
      </c>
      <c r="D818" s="59" t="s">
        <v>1395</v>
      </c>
      <c r="E818" s="59" t="s">
        <v>71</v>
      </c>
    </row>
    <row r="819" spans="1:5">
      <c r="A819" s="59" t="s">
        <v>2959</v>
      </c>
      <c r="B819" s="59" t="s">
        <v>2960</v>
      </c>
      <c r="C819" s="59" t="s">
        <v>1669</v>
      </c>
      <c r="D819" s="59" t="s">
        <v>1477</v>
      </c>
      <c r="E819" s="59" t="s">
        <v>71</v>
      </c>
    </row>
    <row r="820" spans="1:5">
      <c r="A820" s="59" t="s">
        <v>2961</v>
      </c>
      <c r="B820" s="59" t="s">
        <v>2962</v>
      </c>
      <c r="C820" s="59" t="s">
        <v>1669</v>
      </c>
      <c r="D820" s="65" t="s">
        <v>0</v>
      </c>
      <c r="E820" s="65" t="s">
        <v>122</v>
      </c>
    </row>
    <row r="821" spans="1:5">
      <c r="A821" s="59" t="s">
        <v>2963</v>
      </c>
      <c r="B821" s="59" t="s">
        <v>2962</v>
      </c>
      <c r="C821" s="59" t="s">
        <v>1669</v>
      </c>
      <c r="D821" s="65" t="s">
        <v>0</v>
      </c>
      <c r="E821" s="65" t="s">
        <v>122</v>
      </c>
    </row>
    <row r="822" spans="1:5">
      <c r="A822" s="59" t="s">
        <v>2963</v>
      </c>
      <c r="B822" s="59" t="s">
        <v>1365</v>
      </c>
      <c r="C822" s="59" t="s">
        <v>1669</v>
      </c>
      <c r="D822" s="59" t="s">
        <v>0</v>
      </c>
      <c r="E822" s="59" t="s">
        <v>122</v>
      </c>
    </row>
    <row r="823" spans="1:5">
      <c r="A823" s="59" t="s">
        <v>2964</v>
      </c>
      <c r="B823" s="59" t="s">
        <v>2965</v>
      </c>
      <c r="C823" s="59" t="s">
        <v>1669</v>
      </c>
      <c r="D823" s="59" t="s">
        <v>1395</v>
      </c>
      <c r="E823" s="59" t="s">
        <v>71</v>
      </c>
    </row>
    <row r="824" spans="1:5">
      <c r="A824" s="59" t="s">
        <v>2966</v>
      </c>
      <c r="B824" s="59" t="s">
        <v>2967</v>
      </c>
      <c r="C824" s="59" t="s">
        <v>1669</v>
      </c>
      <c r="D824" s="59" t="s">
        <v>1395</v>
      </c>
      <c r="E824" s="59" t="s">
        <v>71</v>
      </c>
    </row>
    <row r="825" spans="1:5">
      <c r="A825" s="59" t="s">
        <v>2968</v>
      </c>
      <c r="B825" s="59" t="s">
        <v>2969</v>
      </c>
      <c r="C825" s="59" t="s">
        <v>1669</v>
      </c>
      <c r="D825" s="59" t="s">
        <v>1395</v>
      </c>
      <c r="E825" s="59" t="s">
        <v>71</v>
      </c>
    </row>
    <row r="826" spans="1:5">
      <c r="A826" s="59" t="s">
        <v>2970</v>
      </c>
      <c r="B826" s="59" t="s">
        <v>2971</v>
      </c>
      <c r="C826" s="59" t="s">
        <v>1669</v>
      </c>
      <c r="D826" s="59" t="s">
        <v>1371</v>
      </c>
      <c r="E826" s="59" t="s">
        <v>71</v>
      </c>
    </row>
    <row r="827" spans="1:5">
      <c r="A827" s="59" t="s">
        <v>2972</v>
      </c>
      <c r="B827" s="59" t="s">
        <v>2973</v>
      </c>
      <c r="C827" s="59" t="s">
        <v>1669</v>
      </c>
      <c r="D827" s="59" t="s">
        <v>1477</v>
      </c>
      <c r="E827" s="59" t="s">
        <v>71</v>
      </c>
    </row>
    <row r="828" spans="1:5">
      <c r="A828" s="59" t="s">
        <v>223</v>
      </c>
      <c r="B828" s="59" t="s">
        <v>224</v>
      </c>
      <c r="C828" s="59" t="s">
        <v>1669</v>
      </c>
      <c r="D828" s="59" t="s">
        <v>1477</v>
      </c>
      <c r="E828" s="59" t="s">
        <v>71</v>
      </c>
    </row>
    <row r="829" spans="1:5">
      <c r="A829" s="59" t="s">
        <v>2974</v>
      </c>
      <c r="B829" s="59" t="s">
        <v>2975</v>
      </c>
      <c r="C829" s="59" t="s">
        <v>1669</v>
      </c>
      <c r="D829" s="59" t="s">
        <v>1477</v>
      </c>
      <c r="E829" s="59" t="s">
        <v>71</v>
      </c>
    </row>
    <row r="830" spans="1:5">
      <c r="A830" s="59" t="s">
        <v>2976</v>
      </c>
      <c r="B830" s="59" t="s">
        <v>2977</v>
      </c>
      <c r="C830" s="59" t="s">
        <v>1669</v>
      </c>
      <c r="D830" s="59" t="s">
        <v>1458</v>
      </c>
      <c r="E830" s="59" t="s">
        <v>1456</v>
      </c>
    </row>
    <row r="831" spans="1:5">
      <c r="A831" s="59" t="s">
        <v>1382</v>
      </c>
      <c r="B831" s="59" t="s">
        <v>2978</v>
      </c>
      <c r="C831" s="59" t="s">
        <v>1669</v>
      </c>
      <c r="D831" s="65" t="s">
        <v>0</v>
      </c>
      <c r="E831" s="65" t="s">
        <v>122</v>
      </c>
    </row>
    <row r="832" spans="1:5">
      <c r="A832" s="59" t="s">
        <v>2979</v>
      </c>
      <c r="B832" s="59" t="s">
        <v>2980</v>
      </c>
      <c r="C832" s="59" t="s">
        <v>1669</v>
      </c>
      <c r="D832" s="65" t="s">
        <v>1455</v>
      </c>
      <c r="E832" s="65" t="s">
        <v>31</v>
      </c>
    </row>
    <row r="833" spans="1:5">
      <c r="A833" s="59" t="s">
        <v>2981</v>
      </c>
      <c r="B833" s="59" t="s">
        <v>2982</v>
      </c>
      <c r="C833" s="59" t="s">
        <v>1669</v>
      </c>
      <c r="D833" s="59" t="s">
        <v>1477</v>
      </c>
      <c r="E833" s="59" t="s">
        <v>1456</v>
      </c>
    </row>
    <row r="834" spans="1:5">
      <c r="A834" s="59" t="s">
        <v>2983</v>
      </c>
      <c r="B834" s="59" t="s">
        <v>2984</v>
      </c>
      <c r="C834" s="59" t="s">
        <v>1669</v>
      </c>
      <c r="D834" s="65" t="s">
        <v>1371</v>
      </c>
      <c r="E834" s="65" t="s">
        <v>71</v>
      </c>
    </row>
    <row r="835" spans="1:5">
      <c r="A835" s="59" t="s">
        <v>2985</v>
      </c>
      <c r="B835" s="59" t="s">
        <v>2986</v>
      </c>
      <c r="C835" s="59" t="s">
        <v>1669</v>
      </c>
      <c r="D835" s="59" t="s">
        <v>1455</v>
      </c>
      <c r="E835" s="59" t="s">
        <v>71</v>
      </c>
    </row>
    <row r="836" spans="1:5">
      <c r="A836" s="59" t="s">
        <v>2987</v>
      </c>
      <c r="B836" s="59" t="s">
        <v>2988</v>
      </c>
      <c r="C836" s="59" t="s">
        <v>1669</v>
      </c>
      <c r="D836" s="59" t="s">
        <v>1455</v>
      </c>
      <c r="E836" s="59" t="s">
        <v>1456</v>
      </c>
    </row>
    <row r="837" spans="1:5">
      <c r="A837" s="59" t="s">
        <v>2989</v>
      </c>
      <c r="B837" s="59" t="s">
        <v>2990</v>
      </c>
      <c r="C837" s="59" t="s">
        <v>1669</v>
      </c>
      <c r="D837" s="59" t="s">
        <v>1395</v>
      </c>
      <c r="E837" s="59" t="s">
        <v>71</v>
      </c>
    </row>
    <row r="838" spans="1:5">
      <c r="A838" s="59" t="s">
        <v>2991</v>
      </c>
      <c r="B838" s="59" t="s">
        <v>2992</v>
      </c>
      <c r="C838" s="59" t="s">
        <v>1669</v>
      </c>
      <c r="D838" s="65" t="s">
        <v>598</v>
      </c>
      <c r="E838" s="65" t="s">
        <v>71</v>
      </c>
    </row>
    <row r="839" spans="1:5">
      <c r="A839" s="59" t="s">
        <v>2993</v>
      </c>
      <c r="B839" s="59" t="s">
        <v>2994</v>
      </c>
      <c r="C839" s="59" t="s">
        <v>1669</v>
      </c>
      <c r="D839" s="59" t="s">
        <v>1477</v>
      </c>
      <c r="E839" s="59" t="s">
        <v>71</v>
      </c>
    </row>
    <row r="840" spans="1:5">
      <c r="A840" s="59" t="s">
        <v>2995</v>
      </c>
      <c r="B840" s="59" t="s">
        <v>2996</v>
      </c>
      <c r="C840" s="59" t="s">
        <v>1669</v>
      </c>
      <c r="D840" s="59" t="s">
        <v>1477</v>
      </c>
      <c r="E840" s="59" t="s">
        <v>71</v>
      </c>
    </row>
    <row r="841" spans="1:5">
      <c r="A841" s="59" t="s">
        <v>2997</v>
      </c>
      <c r="B841" s="59" t="s">
        <v>2998</v>
      </c>
      <c r="C841" s="59" t="s">
        <v>1669</v>
      </c>
      <c r="D841" s="59" t="s">
        <v>1395</v>
      </c>
      <c r="E841" s="59" t="s">
        <v>71</v>
      </c>
    </row>
    <row r="842" spans="1:5">
      <c r="A842" s="59" t="s">
        <v>391</v>
      </c>
      <c r="B842" s="59" t="s">
        <v>392</v>
      </c>
      <c r="C842" s="59" t="s">
        <v>1669</v>
      </c>
      <c r="D842" s="65" t="s">
        <v>598</v>
      </c>
      <c r="E842" s="65" t="s">
        <v>71</v>
      </c>
    </row>
    <row r="843" spans="1:5">
      <c r="A843" s="59" t="s">
        <v>2999</v>
      </c>
      <c r="B843" s="59" t="s">
        <v>3000</v>
      </c>
      <c r="C843" s="59" t="s">
        <v>1669</v>
      </c>
      <c r="D843" s="59" t="s">
        <v>1458</v>
      </c>
      <c r="E843" s="59" t="s">
        <v>71</v>
      </c>
    </row>
    <row r="844" spans="1:5">
      <c r="A844" s="59" t="s">
        <v>3001</v>
      </c>
      <c r="B844" s="59" t="s">
        <v>3002</v>
      </c>
      <c r="C844" s="59" t="s">
        <v>1669</v>
      </c>
      <c r="D844" s="59" t="s">
        <v>1371</v>
      </c>
      <c r="E844" s="59" t="s">
        <v>71</v>
      </c>
    </row>
    <row r="845" spans="1:5">
      <c r="A845" s="59" t="s">
        <v>3003</v>
      </c>
      <c r="B845" s="59" t="s">
        <v>3004</v>
      </c>
      <c r="C845" s="59" t="s">
        <v>1669</v>
      </c>
      <c r="D845" s="59" t="s">
        <v>1395</v>
      </c>
      <c r="E845" s="59" t="s">
        <v>1456</v>
      </c>
    </row>
    <row r="846" spans="1:5">
      <c r="A846" s="59" t="s">
        <v>3005</v>
      </c>
      <c r="B846" s="59" t="s">
        <v>3006</v>
      </c>
      <c r="C846" s="59" t="s">
        <v>1669</v>
      </c>
      <c r="D846" s="59" t="s">
        <v>1395</v>
      </c>
      <c r="E846" s="59" t="s">
        <v>71</v>
      </c>
    </row>
    <row r="847" spans="1:5">
      <c r="A847" s="59" t="s">
        <v>3007</v>
      </c>
      <c r="B847" s="59" t="s">
        <v>3008</v>
      </c>
      <c r="C847" s="59" t="s">
        <v>1669</v>
      </c>
      <c r="D847" s="59" t="s">
        <v>1407</v>
      </c>
      <c r="E847" s="59" t="s">
        <v>31</v>
      </c>
    </row>
    <row r="848" spans="1:5">
      <c r="A848" s="59" t="s">
        <v>807</v>
      </c>
      <c r="B848" s="59" t="s">
        <v>808</v>
      </c>
      <c r="C848" s="59" t="s">
        <v>1669</v>
      </c>
      <c r="D848" s="59" t="s">
        <v>1455</v>
      </c>
      <c r="E848" s="59" t="s">
        <v>71</v>
      </c>
    </row>
    <row r="849" spans="1:5">
      <c r="A849" s="59" t="s">
        <v>3009</v>
      </c>
      <c r="B849" s="59" t="s">
        <v>3010</v>
      </c>
      <c r="C849" s="59" t="s">
        <v>1669</v>
      </c>
      <c r="D849" s="59" t="s">
        <v>1407</v>
      </c>
      <c r="E849" s="59" t="s">
        <v>31</v>
      </c>
    </row>
    <row r="850" spans="1:5">
      <c r="A850" s="59" t="s">
        <v>3011</v>
      </c>
      <c r="B850" s="59" t="s">
        <v>3012</v>
      </c>
      <c r="C850" s="59" t="s">
        <v>1669</v>
      </c>
      <c r="D850" s="59" t="s">
        <v>1395</v>
      </c>
      <c r="E850" s="59" t="s">
        <v>71</v>
      </c>
    </row>
    <row r="851" spans="1:5">
      <c r="A851" s="59" t="s">
        <v>819</v>
      </c>
      <c r="B851" s="59" t="s">
        <v>820</v>
      </c>
      <c r="C851" s="59" t="s">
        <v>1669</v>
      </c>
      <c r="D851" s="59" t="s">
        <v>1371</v>
      </c>
      <c r="E851" s="59" t="s">
        <v>71</v>
      </c>
    </row>
    <row r="852" spans="1:5">
      <c r="A852" s="59" t="s">
        <v>3013</v>
      </c>
      <c r="B852" s="59" t="s">
        <v>3014</v>
      </c>
      <c r="C852" s="59" t="s">
        <v>1669</v>
      </c>
      <c r="D852" s="59" t="s">
        <v>1395</v>
      </c>
      <c r="E852" s="59" t="s">
        <v>71</v>
      </c>
    </row>
    <row r="853" spans="1:5">
      <c r="A853" s="59" t="s">
        <v>3015</v>
      </c>
      <c r="B853" s="59" t="s">
        <v>3016</v>
      </c>
      <c r="C853" s="59" t="s">
        <v>1669</v>
      </c>
      <c r="D853" s="59" t="s">
        <v>1407</v>
      </c>
      <c r="E853" s="59" t="s">
        <v>31</v>
      </c>
    </row>
    <row r="854" spans="1:5">
      <c r="A854" s="59" t="s">
        <v>3017</v>
      </c>
      <c r="B854" s="59" t="s">
        <v>3018</v>
      </c>
      <c r="C854" s="59" t="s">
        <v>1669</v>
      </c>
      <c r="D854" s="59" t="s">
        <v>1477</v>
      </c>
      <c r="E854" s="59" t="s">
        <v>71</v>
      </c>
    </row>
    <row r="855" spans="1:5">
      <c r="A855" s="59" t="s">
        <v>3019</v>
      </c>
      <c r="B855" s="59" t="s">
        <v>971</v>
      </c>
      <c r="C855" s="59" t="s">
        <v>1669</v>
      </c>
      <c r="D855" s="59" t="s">
        <v>1455</v>
      </c>
      <c r="E855" s="59" t="s">
        <v>1456</v>
      </c>
    </row>
    <row r="856" spans="1:5">
      <c r="A856" s="59" t="s">
        <v>3020</v>
      </c>
      <c r="B856" s="59" t="s">
        <v>3021</v>
      </c>
      <c r="C856" s="59" t="s">
        <v>1669</v>
      </c>
      <c r="D856" s="59" t="s">
        <v>1371</v>
      </c>
      <c r="E856" s="59" t="s">
        <v>71</v>
      </c>
    </row>
    <row r="857" spans="1:5">
      <c r="A857" s="59" t="s">
        <v>618</v>
      </c>
      <c r="B857" s="59" t="s">
        <v>619</v>
      </c>
      <c r="C857" s="59" t="s">
        <v>1669</v>
      </c>
      <c r="D857" s="59" t="s">
        <v>1458</v>
      </c>
      <c r="E857" s="59" t="s">
        <v>71</v>
      </c>
    </row>
    <row r="858" spans="1:5">
      <c r="A858" s="59" t="s">
        <v>3022</v>
      </c>
      <c r="B858" s="59" t="s">
        <v>3023</v>
      </c>
      <c r="C858" s="59" t="s">
        <v>1669</v>
      </c>
      <c r="D858" s="59" t="s">
        <v>1458</v>
      </c>
      <c r="E858" s="59" t="s">
        <v>1456</v>
      </c>
    </row>
    <row r="859" spans="1:5">
      <c r="A859" s="59" t="s">
        <v>986</v>
      </c>
      <c r="B859" s="59" t="s">
        <v>3024</v>
      </c>
      <c r="C859" s="59" t="s">
        <v>1669</v>
      </c>
      <c r="D859" s="59" t="s">
        <v>1458</v>
      </c>
      <c r="E859" s="59" t="s">
        <v>71</v>
      </c>
    </row>
    <row r="860" spans="1:5">
      <c r="A860" s="59" t="s">
        <v>3025</v>
      </c>
      <c r="B860" s="59" t="s">
        <v>3026</v>
      </c>
      <c r="C860" s="59" t="s">
        <v>1669</v>
      </c>
      <c r="D860" s="59" t="s">
        <v>1455</v>
      </c>
      <c r="E860" s="59" t="s">
        <v>71</v>
      </c>
    </row>
    <row r="861" spans="1:5">
      <c r="A861" s="59" t="s">
        <v>3027</v>
      </c>
      <c r="B861" s="59" t="s">
        <v>3028</v>
      </c>
      <c r="C861" s="59" t="s">
        <v>1669</v>
      </c>
      <c r="D861" s="65" t="s">
        <v>598</v>
      </c>
      <c r="E861" s="65" t="s">
        <v>71</v>
      </c>
    </row>
    <row r="862" spans="1:5">
      <c r="A862" s="59" t="s">
        <v>3029</v>
      </c>
      <c r="B862" s="59" t="s">
        <v>3030</v>
      </c>
      <c r="C862" s="59" t="s">
        <v>1669</v>
      </c>
      <c r="D862" s="59" t="s">
        <v>1458</v>
      </c>
      <c r="E862" s="59" t="s">
        <v>71</v>
      </c>
    </row>
    <row r="863" spans="1:5">
      <c r="A863" s="59" t="s">
        <v>3031</v>
      </c>
      <c r="B863" s="59" t="s">
        <v>3032</v>
      </c>
      <c r="C863" s="59" t="s">
        <v>1669</v>
      </c>
      <c r="D863" s="59" t="s">
        <v>89</v>
      </c>
      <c r="E863" s="59" t="s">
        <v>1456</v>
      </c>
    </row>
    <row r="864" spans="1:5">
      <c r="A864" s="59" t="s">
        <v>3033</v>
      </c>
      <c r="B864" s="59" t="s">
        <v>3034</v>
      </c>
      <c r="C864" s="59" t="s">
        <v>1669</v>
      </c>
      <c r="D864" s="59" t="s">
        <v>89</v>
      </c>
      <c r="E864" s="59" t="s">
        <v>1456</v>
      </c>
    </row>
    <row r="865" spans="1:5">
      <c r="A865" s="59" t="s">
        <v>3035</v>
      </c>
      <c r="B865" s="59" t="s">
        <v>3036</v>
      </c>
      <c r="C865" s="59" t="s">
        <v>1669</v>
      </c>
      <c r="D865" s="59" t="s">
        <v>1395</v>
      </c>
      <c r="E865" s="59" t="s">
        <v>71</v>
      </c>
    </row>
    <row r="866" spans="1:5">
      <c r="A866" s="59" t="s">
        <v>3037</v>
      </c>
      <c r="B866" s="59" t="s">
        <v>3038</v>
      </c>
      <c r="C866" s="59" t="s">
        <v>1669</v>
      </c>
      <c r="D866" s="59" t="s">
        <v>1455</v>
      </c>
      <c r="E866" s="59" t="s">
        <v>71</v>
      </c>
    </row>
    <row r="867" spans="1:5">
      <c r="A867" s="59" t="s">
        <v>3039</v>
      </c>
      <c r="B867" s="59" t="s">
        <v>3040</v>
      </c>
      <c r="C867" s="59" t="s">
        <v>1669</v>
      </c>
      <c r="D867" s="65" t="s">
        <v>598</v>
      </c>
      <c r="E867" s="65" t="s">
        <v>71</v>
      </c>
    </row>
    <row r="868" spans="1:5">
      <c r="A868" s="59" t="s">
        <v>3041</v>
      </c>
      <c r="B868" s="59" t="s">
        <v>3042</v>
      </c>
      <c r="C868" s="59" t="s">
        <v>1669</v>
      </c>
      <c r="D868" s="65" t="s">
        <v>1395</v>
      </c>
      <c r="E868" s="65" t="s">
        <v>71</v>
      </c>
    </row>
    <row r="869" spans="1:5">
      <c r="A869" s="59" t="s">
        <v>576</v>
      </c>
      <c r="B869" s="59" t="s">
        <v>577</v>
      </c>
      <c r="C869" s="59" t="s">
        <v>1669</v>
      </c>
      <c r="D869" s="59" t="s">
        <v>1455</v>
      </c>
      <c r="E869" s="59" t="s">
        <v>71</v>
      </c>
    </row>
    <row r="870" spans="1:5">
      <c r="A870" s="59" t="s">
        <v>3043</v>
      </c>
      <c r="B870" s="59" t="s">
        <v>3044</v>
      </c>
      <c r="C870" s="59" t="s">
        <v>1669</v>
      </c>
      <c r="D870" s="59" t="s">
        <v>1458</v>
      </c>
      <c r="E870" s="59" t="s">
        <v>1456</v>
      </c>
    </row>
    <row r="871" spans="1:5">
      <c r="A871" s="59" t="s">
        <v>3045</v>
      </c>
      <c r="B871" s="59" t="s">
        <v>3046</v>
      </c>
      <c r="C871" s="59" t="s">
        <v>1669</v>
      </c>
      <c r="D871" s="59" t="s">
        <v>1395</v>
      </c>
      <c r="E871" s="59" t="s">
        <v>71</v>
      </c>
    </row>
    <row r="872" spans="1:5">
      <c r="A872" s="59" t="s">
        <v>3047</v>
      </c>
      <c r="B872" s="59" t="s">
        <v>3048</v>
      </c>
      <c r="C872" s="59" t="s">
        <v>1669</v>
      </c>
      <c r="D872" s="65" t="s">
        <v>1458</v>
      </c>
      <c r="E872" s="65" t="s">
        <v>71</v>
      </c>
    </row>
    <row r="873" spans="1:5">
      <c r="A873" s="59" t="s">
        <v>3049</v>
      </c>
      <c r="B873" s="59" t="s">
        <v>3050</v>
      </c>
      <c r="C873" s="59" t="s">
        <v>1669</v>
      </c>
      <c r="D873" s="65" t="s">
        <v>1371</v>
      </c>
      <c r="E873" s="65" t="s">
        <v>1456</v>
      </c>
    </row>
    <row r="874" spans="1:5">
      <c r="A874" s="59" t="s">
        <v>3051</v>
      </c>
      <c r="B874" s="59" t="s">
        <v>3052</v>
      </c>
      <c r="C874" s="59" t="s">
        <v>1669</v>
      </c>
      <c r="D874" s="59" t="s">
        <v>89</v>
      </c>
      <c r="E874" s="59" t="s">
        <v>71</v>
      </c>
    </row>
    <row r="875" spans="1:5">
      <c r="A875" s="59" t="s">
        <v>1007</v>
      </c>
      <c r="B875" s="59" t="s">
        <v>3053</v>
      </c>
      <c r="C875" s="59" t="s">
        <v>1669</v>
      </c>
      <c r="D875" s="59" t="s">
        <v>89</v>
      </c>
      <c r="E875" s="59" t="s">
        <v>71</v>
      </c>
    </row>
    <row r="876" spans="1:5">
      <c r="A876" s="59" t="s">
        <v>3054</v>
      </c>
      <c r="B876" s="59" t="s">
        <v>3055</v>
      </c>
      <c r="C876" s="59" t="s">
        <v>1669</v>
      </c>
      <c r="D876" s="59" t="s">
        <v>1458</v>
      </c>
      <c r="E876" s="59" t="s">
        <v>1456</v>
      </c>
    </row>
    <row r="877" spans="1:5">
      <c r="A877" s="59" t="s">
        <v>3056</v>
      </c>
      <c r="B877" s="59" t="s">
        <v>3057</v>
      </c>
      <c r="C877" s="59" t="s">
        <v>1669</v>
      </c>
      <c r="D877" s="59" t="s">
        <v>1477</v>
      </c>
      <c r="E877" s="59" t="s">
        <v>71</v>
      </c>
    </row>
    <row r="878" spans="1:5">
      <c r="A878" s="59" t="s">
        <v>3058</v>
      </c>
      <c r="B878" s="59" t="s">
        <v>3059</v>
      </c>
      <c r="C878" s="59" t="s">
        <v>1669</v>
      </c>
      <c r="D878" s="65" t="s">
        <v>0</v>
      </c>
      <c r="E878" s="65" t="s">
        <v>122</v>
      </c>
    </row>
    <row r="879" spans="1:5">
      <c r="A879" s="59" t="s">
        <v>934</v>
      </c>
      <c r="B879" s="59" t="s">
        <v>3060</v>
      </c>
      <c r="C879" s="59" t="s">
        <v>1669</v>
      </c>
      <c r="D879" s="59" t="s">
        <v>1395</v>
      </c>
      <c r="E879" s="59" t="s">
        <v>1456</v>
      </c>
    </row>
    <row r="880" spans="1:5">
      <c r="A880" s="59" t="s">
        <v>3061</v>
      </c>
      <c r="B880" s="59" t="s">
        <v>3062</v>
      </c>
      <c r="C880" s="59" t="s">
        <v>1669</v>
      </c>
      <c r="D880" s="59" t="s">
        <v>1395</v>
      </c>
      <c r="E880" s="59" t="s">
        <v>1456</v>
      </c>
    </row>
    <row r="881" spans="1:5">
      <c r="A881" s="59" t="s">
        <v>3063</v>
      </c>
      <c r="B881" s="59" t="s">
        <v>3064</v>
      </c>
      <c r="C881" s="59" t="s">
        <v>1669</v>
      </c>
      <c r="D881" s="59" t="s">
        <v>1458</v>
      </c>
      <c r="E881" s="59" t="s">
        <v>71</v>
      </c>
    </row>
    <row r="882" spans="1:5">
      <c r="A882" s="59" t="s">
        <v>3065</v>
      </c>
      <c r="B882" s="59" t="s">
        <v>3066</v>
      </c>
      <c r="C882" s="59" t="s">
        <v>1669</v>
      </c>
      <c r="D882" s="59" t="s">
        <v>1477</v>
      </c>
      <c r="E882" s="59" t="s">
        <v>1456</v>
      </c>
    </row>
    <row r="883" spans="1:5">
      <c r="A883" s="59" t="s">
        <v>3067</v>
      </c>
      <c r="B883" s="59" t="s">
        <v>3068</v>
      </c>
      <c r="C883" s="59" t="s">
        <v>1669</v>
      </c>
      <c r="D883" s="65" t="s">
        <v>1395</v>
      </c>
      <c r="E883" s="65" t="s">
        <v>71</v>
      </c>
    </row>
    <row r="884" spans="1:5">
      <c r="A884" s="59" t="s">
        <v>746</v>
      </c>
      <c r="B884" s="59" t="s">
        <v>747</v>
      </c>
      <c r="C884" s="59" t="s">
        <v>1669</v>
      </c>
      <c r="D884" s="65" t="s">
        <v>0</v>
      </c>
      <c r="E884" s="65" t="s">
        <v>122</v>
      </c>
    </row>
    <row r="885" spans="1:5">
      <c r="A885" s="59" t="s">
        <v>3069</v>
      </c>
      <c r="B885" s="59" t="s">
        <v>3070</v>
      </c>
      <c r="C885" s="59" t="s">
        <v>1669</v>
      </c>
      <c r="D885" s="59" t="s">
        <v>89</v>
      </c>
      <c r="E885" s="59" t="s">
        <v>1456</v>
      </c>
    </row>
    <row r="886" spans="1:5">
      <c r="A886" s="59" t="s">
        <v>3071</v>
      </c>
      <c r="B886" s="59" t="s">
        <v>3072</v>
      </c>
      <c r="C886" s="59" t="s">
        <v>1669</v>
      </c>
      <c r="D886" s="59" t="s">
        <v>1395</v>
      </c>
      <c r="E886" s="59" t="s">
        <v>71</v>
      </c>
    </row>
    <row r="887" spans="1:5">
      <c r="A887" s="59" t="s">
        <v>3073</v>
      </c>
      <c r="B887" s="59" t="s">
        <v>569</v>
      </c>
      <c r="C887" s="59" t="s">
        <v>1669</v>
      </c>
      <c r="D887" s="59" t="s">
        <v>1455</v>
      </c>
      <c r="E887" s="59" t="s">
        <v>71</v>
      </c>
    </row>
    <row r="888" spans="1:5">
      <c r="A888" s="59" t="s">
        <v>568</v>
      </c>
      <c r="B888" s="59" t="s">
        <v>569</v>
      </c>
      <c r="C888" s="59" t="s">
        <v>1669</v>
      </c>
      <c r="D888" s="65" t="s">
        <v>1455</v>
      </c>
      <c r="E888" s="65" t="s">
        <v>1456</v>
      </c>
    </row>
    <row r="889" spans="1:5">
      <c r="A889" s="59" t="s">
        <v>3074</v>
      </c>
      <c r="B889" s="59" t="s">
        <v>3075</v>
      </c>
      <c r="C889" s="59" t="s">
        <v>1669</v>
      </c>
      <c r="D889" s="65" t="s">
        <v>1477</v>
      </c>
      <c r="E889" s="65" t="s">
        <v>71</v>
      </c>
    </row>
    <row r="890" spans="1:5">
      <c r="A890" s="59" t="s">
        <v>3069</v>
      </c>
      <c r="B890" s="59" t="s">
        <v>3076</v>
      </c>
      <c r="C890" s="59" t="s">
        <v>1669</v>
      </c>
      <c r="D890" s="59" t="s">
        <v>1455</v>
      </c>
      <c r="E890" s="59" t="s">
        <v>71</v>
      </c>
    </row>
    <row r="891" spans="1:5">
      <c r="A891" s="59" t="s">
        <v>746</v>
      </c>
      <c r="B891" s="59" t="s">
        <v>3077</v>
      </c>
      <c r="C891" s="59" t="s">
        <v>1669</v>
      </c>
      <c r="D891" s="59" t="s">
        <v>1395</v>
      </c>
      <c r="E891" s="59" t="s">
        <v>71</v>
      </c>
    </row>
    <row r="892" spans="1:5">
      <c r="A892" s="59" t="s">
        <v>3078</v>
      </c>
      <c r="B892" s="59" t="s">
        <v>3079</v>
      </c>
      <c r="C892" s="59" t="s">
        <v>1669</v>
      </c>
      <c r="D892" s="59" t="s">
        <v>1477</v>
      </c>
      <c r="E892" s="59" t="s">
        <v>71</v>
      </c>
    </row>
    <row r="893" spans="1:5">
      <c r="A893" s="59" t="s">
        <v>3080</v>
      </c>
      <c r="B893" s="59" t="s">
        <v>3081</v>
      </c>
      <c r="C893" s="59" t="s">
        <v>1669</v>
      </c>
      <c r="D893" s="59" t="s">
        <v>1458</v>
      </c>
      <c r="E893" s="59" t="s">
        <v>71</v>
      </c>
    </row>
    <row r="894" spans="1:5">
      <c r="A894" s="59" t="s">
        <v>3082</v>
      </c>
      <c r="B894" s="59" t="s">
        <v>3083</v>
      </c>
      <c r="C894" s="59" t="s">
        <v>1669</v>
      </c>
      <c r="D894" s="65" t="s">
        <v>598</v>
      </c>
      <c r="E894" s="65" t="s">
        <v>71</v>
      </c>
    </row>
    <row r="895" spans="1:5">
      <c r="A895" s="59" t="s">
        <v>3084</v>
      </c>
      <c r="B895" s="59" t="s">
        <v>3085</v>
      </c>
      <c r="C895" s="59" t="s">
        <v>1669</v>
      </c>
      <c r="D895" s="59" t="s">
        <v>1458</v>
      </c>
      <c r="E895" s="59" t="s">
        <v>71</v>
      </c>
    </row>
    <row r="896" spans="1:5">
      <c r="A896" s="59" t="s">
        <v>3086</v>
      </c>
      <c r="B896" s="59" t="s">
        <v>3087</v>
      </c>
      <c r="C896" s="59" t="s">
        <v>1669</v>
      </c>
      <c r="D896" s="59" t="s">
        <v>1458</v>
      </c>
      <c r="E896" s="59" t="s">
        <v>71</v>
      </c>
    </row>
    <row r="897" spans="1:5">
      <c r="A897" s="59" t="s">
        <v>3088</v>
      </c>
      <c r="B897" s="59" t="s">
        <v>3089</v>
      </c>
      <c r="C897" s="59" t="s">
        <v>1669</v>
      </c>
      <c r="D897" s="59" t="s">
        <v>1477</v>
      </c>
      <c r="E897" s="59" t="s">
        <v>71</v>
      </c>
    </row>
    <row r="898" spans="1:5">
      <c r="A898" s="59" t="s">
        <v>3090</v>
      </c>
      <c r="B898" s="59" t="s">
        <v>3091</v>
      </c>
      <c r="C898" s="59" t="s">
        <v>1669</v>
      </c>
      <c r="D898" s="59" t="s">
        <v>1458</v>
      </c>
      <c r="E898" s="59" t="s">
        <v>1456</v>
      </c>
    </row>
    <row r="899" spans="1:5">
      <c r="A899" s="59" t="s">
        <v>3092</v>
      </c>
      <c r="B899" s="59" t="s">
        <v>3093</v>
      </c>
      <c r="C899" s="59" t="s">
        <v>1669</v>
      </c>
      <c r="D899" s="65" t="s">
        <v>0</v>
      </c>
      <c r="E899" s="65" t="s">
        <v>122</v>
      </c>
    </row>
    <row r="900" spans="1:5">
      <c r="A900" s="59" t="s">
        <v>3094</v>
      </c>
      <c r="B900" s="59" t="s">
        <v>3095</v>
      </c>
      <c r="C900" s="59" t="s">
        <v>1669</v>
      </c>
      <c r="D900" s="59" t="s">
        <v>1395</v>
      </c>
      <c r="E900" s="59" t="s">
        <v>1456</v>
      </c>
    </row>
    <row r="901" spans="1:5">
      <c r="A901" s="59" t="s">
        <v>3096</v>
      </c>
      <c r="B901" s="59" t="s">
        <v>3097</v>
      </c>
      <c r="C901" s="59" t="s">
        <v>1669</v>
      </c>
      <c r="D901" s="59" t="s">
        <v>1371</v>
      </c>
      <c r="E901" s="59" t="s">
        <v>71</v>
      </c>
    </row>
    <row r="902" spans="1:5">
      <c r="A902" s="59" t="s">
        <v>3098</v>
      </c>
      <c r="B902" s="59" t="s">
        <v>3099</v>
      </c>
      <c r="C902" s="59" t="s">
        <v>1669</v>
      </c>
      <c r="D902" s="59" t="s">
        <v>1395</v>
      </c>
      <c r="E902" s="59" t="s">
        <v>1456</v>
      </c>
    </row>
    <row r="903" spans="1:5">
      <c r="A903" s="59" t="s">
        <v>3100</v>
      </c>
      <c r="B903" s="59" t="s">
        <v>3099</v>
      </c>
      <c r="C903" s="59" t="s">
        <v>1669</v>
      </c>
      <c r="D903" s="59" t="s">
        <v>1395</v>
      </c>
      <c r="E903" s="59" t="s">
        <v>1456</v>
      </c>
    </row>
    <row r="904" spans="1:5">
      <c r="A904" s="59" t="s">
        <v>3101</v>
      </c>
      <c r="B904" s="59" t="s">
        <v>3102</v>
      </c>
      <c r="C904" s="59" t="s">
        <v>1669</v>
      </c>
      <c r="D904" s="59" t="s">
        <v>1458</v>
      </c>
      <c r="E904" s="59" t="s">
        <v>71</v>
      </c>
    </row>
    <row r="905" spans="1:5">
      <c r="A905" s="59" t="s">
        <v>3103</v>
      </c>
      <c r="B905" s="59" t="s">
        <v>3104</v>
      </c>
      <c r="C905" s="59" t="s">
        <v>1669</v>
      </c>
      <c r="D905" s="65" t="s">
        <v>1395</v>
      </c>
      <c r="E905" s="65" t="s">
        <v>71</v>
      </c>
    </row>
    <row r="906" spans="1:5">
      <c r="A906" s="59" t="s">
        <v>3105</v>
      </c>
      <c r="B906" s="59" t="s">
        <v>3106</v>
      </c>
      <c r="C906" s="59" t="s">
        <v>1669</v>
      </c>
      <c r="D906" s="59" t="s">
        <v>1395</v>
      </c>
      <c r="E906" s="59" t="s">
        <v>1456</v>
      </c>
    </row>
    <row r="907" spans="1:5">
      <c r="A907" s="59" t="s">
        <v>3107</v>
      </c>
      <c r="B907" s="59" t="s">
        <v>3108</v>
      </c>
      <c r="C907" s="59" t="s">
        <v>1669</v>
      </c>
      <c r="D907" s="59" t="s">
        <v>1477</v>
      </c>
      <c r="E907" s="59" t="s">
        <v>71</v>
      </c>
    </row>
    <row r="908" spans="1:5">
      <c r="A908" s="59" t="s">
        <v>3109</v>
      </c>
      <c r="B908" s="59" t="s">
        <v>3110</v>
      </c>
      <c r="C908" s="59" t="s">
        <v>1669</v>
      </c>
      <c r="D908" s="65" t="s">
        <v>598</v>
      </c>
      <c r="E908" s="65" t="s">
        <v>71</v>
      </c>
    </row>
    <row r="909" spans="1:5">
      <c r="A909" s="59" t="s">
        <v>3111</v>
      </c>
      <c r="B909" s="59" t="s">
        <v>3112</v>
      </c>
      <c r="C909" s="59" t="s">
        <v>1669</v>
      </c>
      <c r="D909" s="59" t="s">
        <v>1455</v>
      </c>
      <c r="E909" s="59" t="s">
        <v>71</v>
      </c>
    </row>
    <row r="910" spans="1:5">
      <c r="A910" s="59" t="s">
        <v>3113</v>
      </c>
      <c r="B910" s="59" t="s">
        <v>3114</v>
      </c>
      <c r="C910" s="59" t="s">
        <v>1669</v>
      </c>
      <c r="D910" s="59" t="s">
        <v>1477</v>
      </c>
      <c r="E910" s="59" t="s">
        <v>71</v>
      </c>
    </row>
    <row r="911" spans="1:5">
      <c r="A911" s="59">
        <v>12052</v>
      </c>
      <c r="B911" s="59" t="s">
        <v>3115</v>
      </c>
      <c r="C911" s="59" t="s">
        <v>1669</v>
      </c>
      <c r="D911" s="65" t="s">
        <v>1458</v>
      </c>
      <c r="E911" s="65" t="s">
        <v>1456</v>
      </c>
    </row>
    <row r="912" spans="1:5">
      <c r="A912" s="59" t="s">
        <v>3116</v>
      </c>
      <c r="B912" s="59" t="s">
        <v>3117</v>
      </c>
      <c r="C912" s="59" t="s">
        <v>1669</v>
      </c>
      <c r="D912" s="65" t="s">
        <v>598</v>
      </c>
      <c r="E912" s="65" t="s">
        <v>71</v>
      </c>
    </row>
    <row r="913" spans="1:5">
      <c r="A913" s="59" t="s">
        <v>3118</v>
      </c>
      <c r="B913" s="59" t="s">
        <v>3117</v>
      </c>
      <c r="C913" s="59" t="s">
        <v>1669</v>
      </c>
      <c r="D913" s="65" t="s">
        <v>598</v>
      </c>
      <c r="E913" s="65" t="s">
        <v>71</v>
      </c>
    </row>
    <row r="914" spans="1:5">
      <c r="A914" s="59" t="s">
        <v>3119</v>
      </c>
      <c r="B914" s="59" t="s">
        <v>3120</v>
      </c>
      <c r="C914" s="59" t="s">
        <v>1669</v>
      </c>
      <c r="D914" s="59" t="s">
        <v>1458</v>
      </c>
      <c r="E914" s="59" t="s">
        <v>1456</v>
      </c>
    </row>
    <row r="915" spans="1:5">
      <c r="A915" s="59" t="s">
        <v>3121</v>
      </c>
      <c r="B915" s="59" t="s">
        <v>3122</v>
      </c>
      <c r="C915" s="59" t="s">
        <v>1669</v>
      </c>
      <c r="D915" s="65" t="s">
        <v>0</v>
      </c>
      <c r="E915" s="65" t="s">
        <v>122</v>
      </c>
    </row>
    <row r="916" spans="1:5">
      <c r="A916" s="59" t="s">
        <v>202</v>
      </c>
      <c r="B916" s="59" t="s">
        <v>203</v>
      </c>
      <c r="C916" s="59" t="s">
        <v>1669</v>
      </c>
      <c r="D916" s="65" t="s">
        <v>0</v>
      </c>
      <c r="E916" s="65" t="s">
        <v>122</v>
      </c>
    </row>
    <row r="917" spans="1:5">
      <c r="A917" s="59" t="s">
        <v>3123</v>
      </c>
      <c r="B917" s="59" t="s">
        <v>3124</v>
      </c>
      <c r="C917" s="59" t="s">
        <v>1669</v>
      </c>
      <c r="D917" s="65" t="s">
        <v>1455</v>
      </c>
      <c r="E917" s="65" t="s">
        <v>71</v>
      </c>
    </row>
    <row r="918" spans="1:5">
      <c r="A918" s="59" t="s">
        <v>3125</v>
      </c>
      <c r="B918" s="59" t="s">
        <v>3126</v>
      </c>
      <c r="C918" s="59" t="s">
        <v>1669</v>
      </c>
      <c r="D918" s="59" t="s">
        <v>1395</v>
      </c>
      <c r="E918" s="59" t="s">
        <v>71</v>
      </c>
    </row>
    <row r="919" spans="1:5">
      <c r="A919" s="59" t="s">
        <v>3127</v>
      </c>
      <c r="B919" s="59" t="s">
        <v>3128</v>
      </c>
      <c r="C919" s="59" t="s">
        <v>1669</v>
      </c>
      <c r="D919" s="59" t="s">
        <v>1371</v>
      </c>
      <c r="E919" s="59" t="s">
        <v>71</v>
      </c>
    </row>
    <row r="920" spans="1:5">
      <c r="A920" s="59" t="s">
        <v>3129</v>
      </c>
      <c r="B920" s="59" t="s">
        <v>3130</v>
      </c>
      <c r="C920" s="59" t="s">
        <v>1669</v>
      </c>
      <c r="D920" s="59" t="s">
        <v>1395</v>
      </c>
      <c r="E920" s="59" t="s">
        <v>71</v>
      </c>
    </row>
    <row r="921" spans="1:5">
      <c r="A921" s="59" t="s">
        <v>3131</v>
      </c>
      <c r="B921" s="59" t="s">
        <v>3132</v>
      </c>
      <c r="C921" s="59" t="s">
        <v>1669</v>
      </c>
      <c r="D921" s="59" t="s">
        <v>1395</v>
      </c>
      <c r="E921" s="59" t="s">
        <v>71</v>
      </c>
    </row>
    <row r="922" spans="1:5">
      <c r="A922" s="59" t="s">
        <v>3133</v>
      </c>
      <c r="B922" s="59" t="s">
        <v>3134</v>
      </c>
      <c r="C922" s="59" t="s">
        <v>1669</v>
      </c>
      <c r="D922" s="59" t="s">
        <v>89</v>
      </c>
      <c r="E922" s="59" t="s">
        <v>71</v>
      </c>
    </row>
    <row r="923" spans="1:5">
      <c r="A923" s="59" t="s">
        <v>3135</v>
      </c>
      <c r="B923" s="59" t="s">
        <v>3136</v>
      </c>
      <c r="C923" s="59" t="s">
        <v>1669</v>
      </c>
      <c r="D923" s="65" t="s">
        <v>598</v>
      </c>
      <c r="E923" s="65" t="s">
        <v>71</v>
      </c>
    </row>
    <row r="924" spans="1:5">
      <c r="A924" s="59" t="s">
        <v>1015</v>
      </c>
      <c r="B924" s="59" t="s">
        <v>3137</v>
      </c>
      <c r="C924" s="59" t="s">
        <v>1669</v>
      </c>
      <c r="D924" s="59" t="s">
        <v>1458</v>
      </c>
      <c r="E924" s="59" t="s">
        <v>71</v>
      </c>
    </row>
    <row r="925" spans="1:5">
      <c r="A925" s="59" t="s">
        <v>3138</v>
      </c>
      <c r="B925" s="59" t="s">
        <v>3139</v>
      </c>
      <c r="C925" s="59" t="s">
        <v>1669</v>
      </c>
      <c r="D925" s="59" t="s">
        <v>1477</v>
      </c>
      <c r="E925" s="59" t="s">
        <v>71</v>
      </c>
    </row>
    <row r="926" spans="1:5">
      <c r="A926" s="59" t="s">
        <v>3140</v>
      </c>
      <c r="B926" s="59" t="s">
        <v>3141</v>
      </c>
      <c r="C926" s="59" t="s">
        <v>1669</v>
      </c>
      <c r="D926" s="59" t="s">
        <v>1458</v>
      </c>
      <c r="E926" s="59" t="s">
        <v>1456</v>
      </c>
    </row>
    <row r="927" spans="1:5">
      <c r="A927" s="59" t="s">
        <v>3142</v>
      </c>
      <c r="B927" s="59" t="s">
        <v>3143</v>
      </c>
      <c r="C927" s="59" t="s">
        <v>1669</v>
      </c>
      <c r="D927" s="59" t="s">
        <v>1455</v>
      </c>
      <c r="E927" s="59" t="s">
        <v>71</v>
      </c>
    </row>
    <row r="928" spans="1:5">
      <c r="A928" s="59" t="s">
        <v>91</v>
      </c>
      <c r="B928" s="59" t="s">
        <v>92</v>
      </c>
      <c r="C928" s="59" t="s">
        <v>1669</v>
      </c>
      <c r="D928" s="65" t="s">
        <v>89</v>
      </c>
      <c r="E928" s="65" t="s">
        <v>71</v>
      </c>
    </row>
    <row r="929" spans="1:5">
      <c r="A929" s="59" t="s">
        <v>3144</v>
      </c>
      <c r="B929" s="59" t="s">
        <v>3145</v>
      </c>
      <c r="C929" s="59" t="s">
        <v>1669</v>
      </c>
      <c r="D929" s="59" t="s">
        <v>1371</v>
      </c>
      <c r="E929" s="59" t="s">
        <v>71</v>
      </c>
    </row>
    <row r="930" spans="1:5">
      <c r="A930" s="59" t="s">
        <v>3146</v>
      </c>
      <c r="B930" s="59" t="s">
        <v>3147</v>
      </c>
      <c r="C930" s="59" t="s">
        <v>1669</v>
      </c>
      <c r="D930" s="59" t="s">
        <v>89</v>
      </c>
      <c r="E930" s="59" t="s">
        <v>71</v>
      </c>
    </row>
    <row r="931" spans="1:5">
      <c r="A931" s="59" t="s">
        <v>3148</v>
      </c>
      <c r="B931" s="59" t="s">
        <v>3149</v>
      </c>
      <c r="C931" s="59" t="s">
        <v>1669</v>
      </c>
      <c r="D931" s="65" t="s">
        <v>1395</v>
      </c>
      <c r="E931" s="65" t="s">
        <v>71</v>
      </c>
    </row>
    <row r="932" spans="1:5">
      <c r="A932" s="59" t="s">
        <v>3150</v>
      </c>
      <c r="B932" s="59" t="s">
        <v>3151</v>
      </c>
      <c r="C932" s="59" t="s">
        <v>1669</v>
      </c>
      <c r="D932" s="59" t="s">
        <v>1455</v>
      </c>
      <c r="E932" s="59" t="s">
        <v>71</v>
      </c>
    </row>
    <row r="933" spans="1:5">
      <c r="A933" s="59" t="s">
        <v>3152</v>
      </c>
      <c r="B933" s="59" t="s">
        <v>3153</v>
      </c>
      <c r="C933" s="59" t="s">
        <v>1669</v>
      </c>
      <c r="D933" s="59" t="s">
        <v>1455</v>
      </c>
      <c r="E933" s="59" t="s">
        <v>71</v>
      </c>
    </row>
    <row r="934" spans="1:5">
      <c r="A934" s="59" t="s">
        <v>3154</v>
      </c>
      <c r="B934" s="59" t="s">
        <v>3155</v>
      </c>
      <c r="C934" s="59" t="s">
        <v>1669</v>
      </c>
      <c r="D934" s="59" t="s">
        <v>1455</v>
      </c>
      <c r="E934" s="59" t="s">
        <v>71</v>
      </c>
    </row>
    <row r="935" spans="1:5">
      <c r="A935" s="59" t="s">
        <v>3156</v>
      </c>
      <c r="B935" s="59" t="s">
        <v>3157</v>
      </c>
      <c r="C935" s="59" t="s">
        <v>1669</v>
      </c>
      <c r="D935" s="59" t="s">
        <v>1477</v>
      </c>
      <c r="E935" s="59" t="s">
        <v>71</v>
      </c>
    </row>
    <row r="936" spans="1:5">
      <c r="A936" s="59" t="s">
        <v>3158</v>
      </c>
      <c r="B936" s="59" t="s">
        <v>3159</v>
      </c>
      <c r="C936" s="59" t="s">
        <v>1669</v>
      </c>
      <c r="D936" s="65" t="s">
        <v>1477</v>
      </c>
      <c r="E936" s="65" t="s">
        <v>71</v>
      </c>
    </row>
    <row r="937" spans="1:5">
      <c r="A937" s="59" t="s">
        <v>3160</v>
      </c>
      <c r="B937" s="59" t="s">
        <v>3161</v>
      </c>
      <c r="C937" s="59" t="s">
        <v>1669</v>
      </c>
      <c r="D937" s="59" t="s">
        <v>1395</v>
      </c>
      <c r="E937" s="59" t="s">
        <v>71</v>
      </c>
    </row>
    <row r="938" spans="1:5">
      <c r="A938" s="59" t="s">
        <v>3162</v>
      </c>
      <c r="B938" s="59" t="s">
        <v>3163</v>
      </c>
      <c r="C938" s="59" t="s">
        <v>1669</v>
      </c>
      <c r="D938" s="65" t="s">
        <v>1458</v>
      </c>
      <c r="E938" s="65" t="s">
        <v>122</v>
      </c>
    </row>
    <row r="939" spans="1:5">
      <c r="A939" s="59" t="s">
        <v>3164</v>
      </c>
      <c r="B939" s="59" t="s">
        <v>3165</v>
      </c>
      <c r="C939" s="59" t="s">
        <v>1669</v>
      </c>
      <c r="D939" s="59" t="s">
        <v>89</v>
      </c>
      <c r="E939" s="59" t="s">
        <v>1456</v>
      </c>
    </row>
    <row r="940" spans="1:5">
      <c r="A940" s="59" t="s">
        <v>3166</v>
      </c>
      <c r="B940" s="59" t="s">
        <v>3167</v>
      </c>
      <c r="C940" s="59" t="s">
        <v>1669</v>
      </c>
      <c r="D940" s="59" t="s">
        <v>1371</v>
      </c>
      <c r="E940" s="59" t="s">
        <v>1456</v>
      </c>
    </row>
    <row r="941" spans="1:5">
      <c r="A941" s="59" t="s">
        <v>3168</v>
      </c>
      <c r="B941" s="59" t="s">
        <v>3169</v>
      </c>
      <c r="C941" s="59" t="s">
        <v>1669</v>
      </c>
      <c r="D941" s="59" t="s">
        <v>1458</v>
      </c>
      <c r="E941" s="59" t="s">
        <v>71</v>
      </c>
    </row>
    <row r="942" spans="1:5">
      <c r="A942" s="59" t="s">
        <v>3170</v>
      </c>
      <c r="B942" s="59" t="s">
        <v>3171</v>
      </c>
      <c r="C942" s="59" t="s">
        <v>1669</v>
      </c>
      <c r="D942" s="59" t="s">
        <v>1395</v>
      </c>
      <c r="E942" s="59" t="s">
        <v>71</v>
      </c>
    </row>
    <row r="943" spans="1:5">
      <c r="A943" s="59" t="s">
        <v>3172</v>
      </c>
      <c r="B943" s="59" t="s">
        <v>3173</v>
      </c>
      <c r="C943" s="59" t="s">
        <v>1669</v>
      </c>
      <c r="D943" s="59" t="s">
        <v>1458</v>
      </c>
      <c r="E943" s="59" t="s">
        <v>71</v>
      </c>
    </row>
    <row r="944" spans="1:5">
      <c r="A944" s="59" t="s">
        <v>3174</v>
      </c>
      <c r="B944" s="59" t="s">
        <v>3175</v>
      </c>
      <c r="C944" s="59" t="s">
        <v>1669</v>
      </c>
      <c r="D944" s="59" t="s">
        <v>1455</v>
      </c>
      <c r="E944" s="59" t="s">
        <v>71</v>
      </c>
    </row>
    <row r="945" spans="1:5">
      <c r="A945" s="59" t="s">
        <v>3176</v>
      </c>
      <c r="B945" s="59" t="s">
        <v>3177</v>
      </c>
      <c r="C945" s="59" t="s">
        <v>1669</v>
      </c>
      <c r="D945" s="59" t="s">
        <v>1395</v>
      </c>
      <c r="E945" s="59" t="s">
        <v>1456</v>
      </c>
    </row>
    <row r="946" spans="1:5">
      <c r="A946" s="59" t="s">
        <v>3178</v>
      </c>
      <c r="B946" s="59" t="s">
        <v>3179</v>
      </c>
      <c r="C946" s="59" t="s">
        <v>1669</v>
      </c>
      <c r="D946" s="59" t="s">
        <v>1371</v>
      </c>
      <c r="E946" s="59" t="s">
        <v>71</v>
      </c>
    </row>
    <row r="947" spans="1:5">
      <c r="A947" s="59" t="s">
        <v>3180</v>
      </c>
      <c r="B947" s="59" t="s">
        <v>3181</v>
      </c>
      <c r="C947" s="59" t="s">
        <v>1669</v>
      </c>
      <c r="D947" s="59" t="s">
        <v>1455</v>
      </c>
      <c r="E947" s="59" t="s">
        <v>1456</v>
      </c>
    </row>
    <row r="948" spans="1:5">
      <c r="A948" s="59" t="s">
        <v>3182</v>
      </c>
      <c r="B948" s="59" t="s">
        <v>3183</v>
      </c>
      <c r="C948" s="59" t="s">
        <v>1669</v>
      </c>
      <c r="D948" s="59" t="s">
        <v>1458</v>
      </c>
      <c r="E948" s="59" t="s">
        <v>1456</v>
      </c>
    </row>
    <row r="949" spans="1:5">
      <c r="A949" s="59" t="s">
        <v>788</v>
      </c>
      <c r="B949" s="59" t="s">
        <v>789</v>
      </c>
      <c r="C949" s="59" t="s">
        <v>1669</v>
      </c>
      <c r="D949" s="59" t="s">
        <v>1395</v>
      </c>
      <c r="E949" s="59" t="s">
        <v>71</v>
      </c>
    </row>
    <row r="950" spans="1:5">
      <c r="A950" s="59" t="s">
        <v>627</v>
      </c>
      <c r="B950" s="59" t="s">
        <v>628</v>
      </c>
      <c r="C950" s="59" t="s">
        <v>1669</v>
      </c>
      <c r="D950" s="59" t="s">
        <v>1477</v>
      </c>
      <c r="E950" s="59" t="s">
        <v>71</v>
      </c>
    </row>
    <row r="951" spans="1:5">
      <c r="A951" s="59" t="s">
        <v>3184</v>
      </c>
      <c r="B951" s="59" t="s">
        <v>3185</v>
      </c>
      <c r="C951" s="59" t="s">
        <v>1669</v>
      </c>
      <c r="D951" s="59" t="s">
        <v>1371</v>
      </c>
      <c r="E951" s="59" t="s">
        <v>1456</v>
      </c>
    </row>
    <row r="952" spans="1:5">
      <c r="A952" s="59" t="s">
        <v>3186</v>
      </c>
      <c r="B952" s="59" t="s">
        <v>3187</v>
      </c>
      <c r="C952" s="59" t="s">
        <v>1669</v>
      </c>
      <c r="D952" s="59" t="s">
        <v>1458</v>
      </c>
      <c r="E952" s="59" t="s">
        <v>1456</v>
      </c>
    </row>
    <row r="953" spans="1:5">
      <c r="A953" s="59" t="s">
        <v>3188</v>
      </c>
      <c r="B953" s="59" t="s">
        <v>3189</v>
      </c>
      <c r="C953" s="59" t="s">
        <v>1669</v>
      </c>
      <c r="D953" s="59" t="s">
        <v>1458</v>
      </c>
      <c r="E953" s="59" t="s">
        <v>71</v>
      </c>
    </row>
    <row r="954" spans="1:5">
      <c r="A954" s="59" t="s">
        <v>3190</v>
      </c>
      <c r="B954" s="59" t="s">
        <v>3191</v>
      </c>
      <c r="C954" s="59" t="s">
        <v>1669</v>
      </c>
      <c r="D954" s="65" t="s">
        <v>1371</v>
      </c>
      <c r="E954" s="65" t="s">
        <v>122</v>
      </c>
    </row>
    <row r="955" spans="1:5">
      <c r="A955" s="59" t="s">
        <v>3192</v>
      </c>
      <c r="B955" s="59" t="s">
        <v>3193</v>
      </c>
      <c r="C955" s="59" t="s">
        <v>1669</v>
      </c>
      <c r="D955" s="59" t="s">
        <v>1477</v>
      </c>
      <c r="E955" s="59" t="s">
        <v>71</v>
      </c>
    </row>
    <row r="956" spans="1:5">
      <c r="A956" s="59" t="s">
        <v>519</v>
      </c>
      <c r="B956" s="59" t="s">
        <v>520</v>
      </c>
      <c r="C956" s="59" t="s">
        <v>1669</v>
      </c>
      <c r="D956" s="59" t="s">
        <v>1477</v>
      </c>
      <c r="E956" s="59" t="s">
        <v>71</v>
      </c>
    </row>
    <row r="957" spans="1:5">
      <c r="A957" s="59" t="s">
        <v>3194</v>
      </c>
      <c r="B957" s="59" t="s">
        <v>3195</v>
      </c>
      <c r="C957" s="59" t="s">
        <v>1669</v>
      </c>
      <c r="D957" s="59" t="s">
        <v>1395</v>
      </c>
      <c r="E957" s="59" t="s">
        <v>71</v>
      </c>
    </row>
    <row r="958" spans="1:5">
      <c r="A958" s="59" t="s">
        <v>3196</v>
      </c>
      <c r="B958" s="59" t="s">
        <v>3197</v>
      </c>
      <c r="C958" s="59" t="s">
        <v>1669</v>
      </c>
      <c r="D958" s="59" t="s">
        <v>1477</v>
      </c>
      <c r="E958" s="59" t="s">
        <v>71</v>
      </c>
    </row>
    <row r="959" spans="1:5">
      <c r="A959" s="59" t="s">
        <v>3198</v>
      </c>
      <c r="B959" s="59" t="s">
        <v>3199</v>
      </c>
      <c r="C959" s="59" t="s">
        <v>1669</v>
      </c>
      <c r="D959" s="59" t="s">
        <v>1395</v>
      </c>
      <c r="E959" s="59" t="s">
        <v>71</v>
      </c>
    </row>
    <row r="960" spans="1:5">
      <c r="A960" s="59" t="s">
        <v>3200</v>
      </c>
      <c r="B960" s="59" t="s">
        <v>3201</v>
      </c>
      <c r="C960" s="59" t="s">
        <v>1669</v>
      </c>
      <c r="D960" s="65" t="s">
        <v>1455</v>
      </c>
      <c r="E960" s="65" t="s">
        <v>71</v>
      </c>
    </row>
    <row r="961" spans="1:5">
      <c r="A961" s="59" t="s">
        <v>3202</v>
      </c>
      <c r="B961" s="59" t="s">
        <v>3203</v>
      </c>
      <c r="C961" s="59" t="s">
        <v>1669</v>
      </c>
      <c r="D961" s="59" t="s">
        <v>1458</v>
      </c>
      <c r="E961" s="59" t="s">
        <v>71</v>
      </c>
    </row>
    <row r="962" spans="1:5">
      <c r="A962" s="59" t="s">
        <v>3204</v>
      </c>
      <c r="B962" s="59" t="s">
        <v>3205</v>
      </c>
      <c r="C962" s="59" t="s">
        <v>1669</v>
      </c>
      <c r="D962" s="59" t="s">
        <v>89</v>
      </c>
      <c r="E962" s="59" t="s">
        <v>1456</v>
      </c>
    </row>
    <row r="963" spans="1:5">
      <c r="A963" s="59" t="s">
        <v>3206</v>
      </c>
      <c r="B963" s="59" t="s">
        <v>3207</v>
      </c>
      <c r="C963" s="59" t="s">
        <v>1669</v>
      </c>
      <c r="D963" s="59" t="s">
        <v>89</v>
      </c>
      <c r="E963" s="59" t="s">
        <v>71</v>
      </c>
    </row>
    <row r="964" spans="1:5">
      <c r="A964" s="59" t="s">
        <v>3208</v>
      </c>
      <c r="B964" s="59" t="s">
        <v>3209</v>
      </c>
      <c r="C964" s="59" t="s">
        <v>1669</v>
      </c>
      <c r="D964" s="59" t="s">
        <v>1395</v>
      </c>
      <c r="E964" s="59" t="s">
        <v>71</v>
      </c>
    </row>
    <row r="965" spans="1:5">
      <c r="A965" s="59" t="s">
        <v>1750</v>
      </c>
      <c r="B965" s="59" t="s">
        <v>217</v>
      </c>
      <c r="C965" s="59" t="s">
        <v>1669</v>
      </c>
      <c r="D965" s="65" t="s">
        <v>0</v>
      </c>
      <c r="E965" s="65" t="s">
        <v>122</v>
      </c>
    </row>
    <row r="966" spans="1:5">
      <c r="A966" s="59" t="s">
        <v>3210</v>
      </c>
      <c r="B966" s="59" t="s">
        <v>217</v>
      </c>
      <c r="C966" s="59" t="s">
        <v>1669</v>
      </c>
      <c r="D966" s="65" t="s">
        <v>0</v>
      </c>
      <c r="E966" s="65" t="s">
        <v>122</v>
      </c>
    </row>
    <row r="967" spans="1:5">
      <c r="A967" s="59" t="s">
        <v>3211</v>
      </c>
      <c r="B967" s="59" t="s">
        <v>3212</v>
      </c>
      <c r="C967" s="59" t="s">
        <v>1669</v>
      </c>
      <c r="D967" s="59" t="s">
        <v>1455</v>
      </c>
      <c r="E967" s="59" t="s">
        <v>1456</v>
      </c>
    </row>
    <row r="968" spans="1:5">
      <c r="A968" s="59"/>
      <c r="B968" s="59"/>
      <c r="C968" s="59" t="s">
        <v>1669</v>
      </c>
      <c r="D968" s="65" t="s">
        <v>1371</v>
      </c>
      <c r="E968" s="65" t="s">
        <v>122</v>
      </c>
    </row>
    <row r="969" spans="1:5">
      <c r="A969" s="59" t="s">
        <v>3213</v>
      </c>
      <c r="B969" s="59" t="s">
        <v>3214</v>
      </c>
      <c r="C969" s="59" t="s">
        <v>1669</v>
      </c>
      <c r="D969" s="65" t="s">
        <v>598</v>
      </c>
      <c r="E969" s="65" t="s">
        <v>71</v>
      </c>
    </row>
    <row r="970" spans="1:5">
      <c r="A970" s="59" t="s">
        <v>3215</v>
      </c>
      <c r="B970" s="59" t="s">
        <v>3216</v>
      </c>
      <c r="C970" s="59" t="s">
        <v>1669</v>
      </c>
      <c r="D970" s="59" t="s">
        <v>1458</v>
      </c>
      <c r="E970" s="59" t="s">
        <v>71</v>
      </c>
    </row>
    <row r="971" spans="1:5">
      <c r="A971" s="59" t="s">
        <v>3217</v>
      </c>
      <c r="B971" s="59" t="s">
        <v>3218</v>
      </c>
      <c r="C971" s="59" t="s">
        <v>1669</v>
      </c>
      <c r="D971" s="59" t="s">
        <v>1458</v>
      </c>
      <c r="E971" s="59" t="s">
        <v>71</v>
      </c>
    </row>
    <row r="972" spans="1:5">
      <c r="A972" s="59" t="s">
        <v>3219</v>
      </c>
      <c r="B972" s="59" t="s">
        <v>3220</v>
      </c>
      <c r="C972" s="59" t="s">
        <v>1669</v>
      </c>
      <c r="D972" s="65" t="s">
        <v>0</v>
      </c>
      <c r="E972" s="65" t="s">
        <v>122</v>
      </c>
    </row>
    <row r="973" spans="1:5">
      <c r="A973" s="59">
        <v>7157</v>
      </c>
      <c r="B973" s="59" t="s">
        <v>3221</v>
      </c>
      <c r="C973" s="59" t="s">
        <v>1669</v>
      </c>
      <c r="D973" s="65" t="s">
        <v>0</v>
      </c>
      <c r="E973" s="65" t="s">
        <v>122</v>
      </c>
    </row>
    <row r="974" spans="1:5">
      <c r="A974" s="59" t="s">
        <v>3222</v>
      </c>
      <c r="B974" s="59" t="s">
        <v>3223</v>
      </c>
      <c r="C974" s="59" t="s">
        <v>1669</v>
      </c>
      <c r="D974" s="59" t="s">
        <v>1455</v>
      </c>
      <c r="E974" s="59" t="s">
        <v>71</v>
      </c>
    </row>
    <row r="975" spans="1:5">
      <c r="A975" s="59" t="s">
        <v>3224</v>
      </c>
      <c r="B975" s="59" t="s">
        <v>3225</v>
      </c>
      <c r="C975" s="59" t="s">
        <v>1669</v>
      </c>
      <c r="D975" s="59" t="s">
        <v>1455</v>
      </c>
      <c r="E975" s="59" t="s">
        <v>71</v>
      </c>
    </row>
    <row r="976" spans="1:5">
      <c r="A976" s="59" t="s">
        <v>3226</v>
      </c>
      <c r="B976" s="59" t="s">
        <v>3227</v>
      </c>
      <c r="C976" s="59" t="s">
        <v>1669</v>
      </c>
      <c r="D976" s="59" t="s">
        <v>1458</v>
      </c>
      <c r="E976" s="59" t="s">
        <v>1456</v>
      </c>
    </row>
    <row r="977" spans="1:5">
      <c r="A977" s="59" t="s">
        <v>3228</v>
      </c>
      <c r="B977" s="59" t="s">
        <v>3229</v>
      </c>
      <c r="C977" s="59" t="s">
        <v>1669</v>
      </c>
      <c r="D977" s="59" t="s">
        <v>1477</v>
      </c>
      <c r="E977" s="59" t="s">
        <v>71</v>
      </c>
    </row>
    <row r="978" spans="1:5">
      <c r="A978" s="59" t="s">
        <v>3230</v>
      </c>
      <c r="B978" s="59" t="s">
        <v>3231</v>
      </c>
      <c r="C978" s="59" t="s">
        <v>1669</v>
      </c>
      <c r="D978" s="59" t="s">
        <v>1458</v>
      </c>
      <c r="E978" s="59" t="s">
        <v>1456</v>
      </c>
    </row>
    <row r="979" spans="1:5">
      <c r="A979" s="59" t="s">
        <v>3232</v>
      </c>
      <c r="B979" s="59" t="s">
        <v>3233</v>
      </c>
      <c r="C979" s="59" t="s">
        <v>1669</v>
      </c>
      <c r="D979" s="59" t="s">
        <v>1395</v>
      </c>
      <c r="E979" s="59" t="s">
        <v>1456</v>
      </c>
    </row>
    <row r="980" spans="1:5">
      <c r="A980" s="59" t="s">
        <v>3234</v>
      </c>
      <c r="B980" s="59" t="s">
        <v>3235</v>
      </c>
      <c r="C980" s="59" t="s">
        <v>1669</v>
      </c>
      <c r="D980" s="59" t="s">
        <v>1455</v>
      </c>
      <c r="E980" s="59" t="s">
        <v>71</v>
      </c>
    </row>
    <row r="981" spans="1:5">
      <c r="A981" s="59" t="s">
        <v>970</v>
      </c>
      <c r="B981" s="59" t="s">
        <v>3236</v>
      </c>
      <c r="C981" s="59" t="s">
        <v>1669</v>
      </c>
      <c r="D981" s="59" t="s">
        <v>1458</v>
      </c>
      <c r="E981" s="59" t="s">
        <v>1456</v>
      </c>
    </row>
    <row r="982" spans="1:5">
      <c r="A982" s="59" t="s">
        <v>923</v>
      </c>
      <c r="B982" s="59" t="s">
        <v>3237</v>
      </c>
      <c r="C982" s="59" t="s">
        <v>1669</v>
      </c>
      <c r="D982" s="59" t="s">
        <v>1395</v>
      </c>
      <c r="E982" s="59" t="s">
        <v>1456</v>
      </c>
    </row>
    <row r="983" spans="1:5">
      <c r="A983" s="59" t="s">
        <v>3238</v>
      </c>
      <c r="B983" s="59" t="s">
        <v>3239</v>
      </c>
      <c r="C983" s="59" t="s">
        <v>1669</v>
      </c>
      <c r="D983" s="59" t="s">
        <v>1395</v>
      </c>
      <c r="E983" s="59" t="s">
        <v>71</v>
      </c>
    </row>
    <row r="984" spans="1:5">
      <c r="A984" s="59" t="s">
        <v>3240</v>
      </c>
      <c r="B984" s="59" t="s">
        <v>3241</v>
      </c>
      <c r="C984" s="59" t="s">
        <v>1669</v>
      </c>
      <c r="D984" s="59" t="s">
        <v>89</v>
      </c>
      <c r="E984" s="59" t="s">
        <v>71</v>
      </c>
    </row>
    <row r="985" spans="1:5">
      <c r="A985" s="59" t="s">
        <v>3242</v>
      </c>
      <c r="B985" s="59" t="s">
        <v>3243</v>
      </c>
      <c r="C985" s="59" t="s">
        <v>1669</v>
      </c>
      <c r="D985" s="59" t="s">
        <v>1458</v>
      </c>
      <c r="E985" s="59" t="s">
        <v>71</v>
      </c>
    </row>
    <row r="986" spans="1:5">
      <c r="A986" s="59" t="s">
        <v>3244</v>
      </c>
      <c r="B986" s="59" t="s">
        <v>3245</v>
      </c>
      <c r="C986" s="59" t="s">
        <v>1669</v>
      </c>
      <c r="D986" s="59" t="s">
        <v>1458</v>
      </c>
      <c r="E986" s="59" t="s">
        <v>1456</v>
      </c>
    </row>
    <row r="987" spans="1:5">
      <c r="A987" s="59" t="s">
        <v>3246</v>
      </c>
      <c r="B987" s="59" t="s">
        <v>3247</v>
      </c>
      <c r="C987" s="59" t="s">
        <v>1669</v>
      </c>
      <c r="D987" s="59" t="s">
        <v>1371</v>
      </c>
      <c r="E987" s="59" t="s">
        <v>1456</v>
      </c>
    </row>
    <row r="988" spans="1:5">
      <c r="A988" s="59" t="s">
        <v>3248</v>
      </c>
      <c r="B988" s="59" t="s">
        <v>3249</v>
      </c>
      <c r="C988" s="59" t="s">
        <v>1669</v>
      </c>
      <c r="D988" s="59" t="s">
        <v>1477</v>
      </c>
      <c r="E988" s="59" t="s">
        <v>71</v>
      </c>
    </row>
    <row r="989" spans="1:5">
      <c r="A989" s="59" t="s">
        <v>3250</v>
      </c>
      <c r="B989" s="59" t="s">
        <v>3251</v>
      </c>
      <c r="C989" s="59" t="s">
        <v>1669</v>
      </c>
      <c r="D989" s="59" t="s">
        <v>89</v>
      </c>
      <c r="E989" s="59" t="s">
        <v>71</v>
      </c>
    </row>
    <row r="990" spans="1:5">
      <c r="A990" s="59" t="s">
        <v>3252</v>
      </c>
      <c r="B990" s="59" t="s">
        <v>3253</v>
      </c>
      <c r="C990" s="59" t="s">
        <v>1669</v>
      </c>
      <c r="D990" s="65" t="s">
        <v>0</v>
      </c>
      <c r="E990" s="65" t="s">
        <v>122</v>
      </c>
    </row>
    <row r="991" spans="1:5">
      <c r="A991" s="59" t="s">
        <v>3254</v>
      </c>
      <c r="B991" s="59" t="s">
        <v>3255</v>
      </c>
      <c r="C991" s="59" t="s">
        <v>1669</v>
      </c>
      <c r="D991" s="59" t="s">
        <v>1395</v>
      </c>
      <c r="E991" s="59" t="s">
        <v>71</v>
      </c>
    </row>
    <row r="992" spans="1:5">
      <c r="A992" s="59" t="s">
        <v>358</v>
      </c>
      <c r="B992" s="59" t="s">
        <v>359</v>
      </c>
      <c r="C992" s="59" t="s">
        <v>1669</v>
      </c>
      <c r="D992" s="59" t="s">
        <v>1477</v>
      </c>
      <c r="E992" s="59" t="s">
        <v>71</v>
      </c>
    </row>
    <row r="993" spans="1:5">
      <c r="A993" s="59" t="s">
        <v>845</v>
      </c>
      <c r="B993" s="59" t="s">
        <v>846</v>
      </c>
      <c r="C993" s="59" t="s">
        <v>1669</v>
      </c>
      <c r="D993" s="59" t="s">
        <v>1455</v>
      </c>
      <c r="E993" s="59" t="s">
        <v>71</v>
      </c>
    </row>
    <row r="994" spans="1:5">
      <c r="A994" s="59" t="s">
        <v>3256</v>
      </c>
      <c r="B994" s="59" t="s">
        <v>3257</v>
      </c>
      <c r="C994" s="59" t="s">
        <v>1669</v>
      </c>
      <c r="D994" s="65" t="s">
        <v>0</v>
      </c>
      <c r="E994" s="65" t="s">
        <v>122</v>
      </c>
    </row>
    <row r="995" spans="1:5">
      <c r="A995" s="59">
        <v>5215</v>
      </c>
      <c r="B995" s="59" t="s">
        <v>3258</v>
      </c>
      <c r="C995" s="59" t="s">
        <v>1669</v>
      </c>
      <c r="D995" s="65" t="s">
        <v>0</v>
      </c>
      <c r="E995" s="65" t="s">
        <v>122</v>
      </c>
    </row>
    <row r="996" spans="1:5">
      <c r="A996" s="59" t="s">
        <v>3259</v>
      </c>
      <c r="B996" s="59" t="s">
        <v>3260</v>
      </c>
      <c r="C996" s="59" t="s">
        <v>1669</v>
      </c>
      <c r="D996" s="59" t="s">
        <v>1458</v>
      </c>
      <c r="E996" s="59" t="s">
        <v>71</v>
      </c>
    </row>
    <row r="997" spans="1:5">
      <c r="A997" s="59" t="s">
        <v>3261</v>
      </c>
      <c r="B997" s="59" t="s">
        <v>3262</v>
      </c>
      <c r="C997" s="59" t="s">
        <v>1669</v>
      </c>
      <c r="D997" s="59" t="s">
        <v>1455</v>
      </c>
      <c r="E997" s="59" t="s">
        <v>71</v>
      </c>
    </row>
    <row r="998" spans="1:5">
      <c r="A998" s="59" t="s">
        <v>3263</v>
      </c>
      <c r="B998" s="59" t="s">
        <v>3264</v>
      </c>
      <c r="C998" s="59" t="s">
        <v>1669</v>
      </c>
      <c r="D998" s="59" t="s">
        <v>89</v>
      </c>
      <c r="E998" s="59" t="s">
        <v>71</v>
      </c>
    </row>
    <row r="999" spans="1:5">
      <c r="A999" s="59" t="s">
        <v>3265</v>
      </c>
      <c r="B999" s="59" t="s">
        <v>3266</v>
      </c>
      <c r="C999" s="59" t="s">
        <v>1669</v>
      </c>
      <c r="D999" s="59" t="s">
        <v>1455</v>
      </c>
      <c r="E999" s="59" t="s">
        <v>71</v>
      </c>
    </row>
    <row r="1000" spans="1:5">
      <c r="A1000" s="59" t="s">
        <v>3267</v>
      </c>
      <c r="B1000" s="59" t="s">
        <v>3268</v>
      </c>
      <c r="C1000" s="59" t="s">
        <v>1669</v>
      </c>
      <c r="D1000" s="59" t="s">
        <v>1407</v>
      </c>
      <c r="E1000" s="59" t="s">
        <v>31</v>
      </c>
    </row>
    <row r="1001" spans="1:5">
      <c r="A1001" s="59">
        <v>5215</v>
      </c>
      <c r="B1001" s="59" t="s">
        <v>3269</v>
      </c>
      <c r="C1001" s="59" t="s">
        <v>1669</v>
      </c>
      <c r="D1001" s="65" t="s">
        <v>0</v>
      </c>
      <c r="E1001" s="65" t="s">
        <v>122</v>
      </c>
    </row>
    <row r="1002" spans="1:5">
      <c r="A1002" s="59" t="s">
        <v>3270</v>
      </c>
      <c r="B1002" s="59" t="s">
        <v>3271</v>
      </c>
      <c r="C1002" s="59" t="s">
        <v>1669</v>
      </c>
      <c r="D1002" s="59" t="s">
        <v>1395</v>
      </c>
      <c r="E1002" s="59" t="s">
        <v>71</v>
      </c>
    </row>
    <row r="1003" spans="1:5">
      <c r="A1003" s="59" t="s">
        <v>3272</v>
      </c>
      <c r="B1003" s="59" t="s">
        <v>3273</v>
      </c>
      <c r="C1003" s="59" t="s">
        <v>1669</v>
      </c>
      <c r="D1003" s="59" t="s">
        <v>1455</v>
      </c>
      <c r="E1003" s="59" t="s">
        <v>71</v>
      </c>
    </row>
    <row r="1004" spans="1:5">
      <c r="A1004" s="59" t="s">
        <v>3274</v>
      </c>
      <c r="B1004" s="59" t="s">
        <v>3275</v>
      </c>
      <c r="C1004" s="59" t="s">
        <v>1669</v>
      </c>
      <c r="D1004" s="59" t="s">
        <v>1455</v>
      </c>
      <c r="E1004" s="59" t="s">
        <v>71</v>
      </c>
    </row>
    <row r="1005" spans="1:5">
      <c r="A1005" s="59" t="s">
        <v>972</v>
      </c>
      <c r="B1005" s="59" t="s">
        <v>3276</v>
      </c>
      <c r="C1005" s="59" t="s">
        <v>1669</v>
      </c>
      <c r="D1005" s="59" t="s">
        <v>1455</v>
      </c>
      <c r="E1005" s="59" t="s">
        <v>1456</v>
      </c>
    </row>
    <row r="1006" spans="1:5">
      <c r="A1006" s="59" t="s">
        <v>3277</v>
      </c>
      <c r="B1006" s="59" t="s">
        <v>3278</v>
      </c>
      <c r="C1006" s="59" t="s">
        <v>1669</v>
      </c>
      <c r="D1006" s="59" t="s">
        <v>1477</v>
      </c>
      <c r="E1006" s="59" t="s">
        <v>71</v>
      </c>
    </row>
    <row r="1007" spans="1:5">
      <c r="A1007" s="59" t="s">
        <v>3279</v>
      </c>
      <c r="B1007" s="59" t="s">
        <v>3280</v>
      </c>
      <c r="C1007" s="59" t="s">
        <v>1669</v>
      </c>
      <c r="D1007" s="59" t="s">
        <v>1371</v>
      </c>
      <c r="E1007" s="59" t="s">
        <v>71</v>
      </c>
    </row>
    <row r="1008" spans="1:5">
      <c r="A1008" s="59" t="s">
        <v>3281</v>
      </c>
      <c r="B1008" s="59" t="s">
        <v>3282</v>
      </c>
      <c r="C1008" s="59" t="s">
        <v>1669</v>
      </c>
      <c r="D1008" s="59" t="s">
        <v>1395</v>
      </c>
      <c r="E1008" s="59" t="s">
        <v>71</v>
      </c>
    </row>
    <row r="1009" spans="1:5">
      <c r="A1009" s="59" t="s">
        <v>3283</v>
      </c>
      <c r="B1009" s="59" t="s">
        <v>3284</v>
      </c>
      <c r="C1009" s="59" t="s">
        <v>1669</v>
      </c>
      <c r="D1009" s="59" t="s">
        <v>1395</v>
      </c>
      <c r="E1009" s="59" t="s">
        <v>71</v>
      </c>
    </row>
    <row r="1010" spans="1:5">
      <c r="A1010" s="59" t="s">
        <v>3285</v>
      </c>
      <c r="B1010" s="59" t="s">
        <v>3286</v>
      </c>
      <c r="C1010" s="59" t="s">
        <v>1669</v>
      </c>
      <c r="D1010" s="59" t="s">
        <v>1395</v>
      </c>
      <c r="E1010" s="59" t="s">
        <v>71</v>
      </c>
    </row>
    <row r="1011" spans="1:5">
      <c r="A1011" s="59" t="s">
        <v>3287</v>
      </c>
      <c r="B1011" s="59" t="s">
        <v>3288</v>
      </c>
      <c r="C1011" s="59" t="s">
        <v>1669</v>
      </c>
      <c r="D1011" s="59" t="s">
        <v>1455</v>
      </c>
      <c r="E1011" s="59" t="s">
        <v>71</v>
      </c>
    </row>
    <row r="1012" spans="1:5">
      <c r="A1012" s="59" t="s">
        <v>3289</v>
      </c>
      <c r="B1012" s="59" t="s">
        <v>3290</v>
      </c>
      <c r="C1012" s="59" t="s">
        <v>1669</v>
      </c>
      <c r="D1012" s="59" t="s">
        <v>1407</v>
      </c>
      <c r="E1012" s="59" t="s">
        <v>31</v>
      </c>
    </row>
    <row r="1013" spans="1:5">
      <c r="A1013" s="59" t="s">
        <v>3291</v>
      </c>
      <c r="B1013" s="59" t="s">
        <v>3292</v>
      </c>
      <c r="C1013" s="59" t="s">
        <v>1669</v>
      </c>
      <c r="D1013" s="59" t="s">
        <v>1395</v>
      </c>
      <c r="E1013" s="59" t="s">
        <v>71</v>
      </c>
    </row>
    <row r="1014" spans="1:5">
      <c r="A1014" s="59" t="s">
        <v>3293</v>
      </c>
      <c r="B1014" s="59" t="s">
        <v>3294</v>
      </c>
      <c r="C1014" s="59" t="s">
        <v>1669</v>
      </c>
      <c r="D1014" s="59" t="s">
        <v>1395</v>
      </c>
      <c r="E1014" s="59" t="s">
        <v>1456</v>
      </c>
    </row>
    <row r="1015" spans="1:5">
      <c r="A1015" s="59" t="s">
        <v>3295</v>
      </c>
      <c r="B1015" s="59" t="s">
        <v>3296</v>
      </c>
      <c r="C1015" s="59" t="s">
        <v>1669</v>
      </c>
      <c r="D1015" s="59" t="s">
        <v>1458</v>
      </c>
      <c r="E1015" s="59" t="s">
        <v>71</v>
      </c>
    </row>
    <row r="1016" spans="1:5">
      <c r="A1016" s="59" t="s">
        <v>3297</v>
      </c>
      <c r="B1016" s="59" t="s">
        <v>3298</v>
      </c>
      <c r="C1016" s="59" t="s">
        <v>1669</v>
      </c>
      <c r="D1016" s="59" t="s">
        <v>1395</v>
      </c>
      <c r="E1016" s="59" t="s">
        <v>71</v>
      </c>
    </row>
    <row r="1017" spans="1:5">
      <c r="A1017" s="59" t="s">
        <v>3299</v>
      </c>
      <c r="B1017" s="59" t="s">
        <v>3300</v>
      </c>
      <c r="C1017" s="59" t="s">
        <v>1669</v>
      </c>
      <c r="D1017" s="59" t="s">
        <v>1455</v>
      </c>
      <c r="E1017" s="59" t="s">
        <v>71</v>
      </c>
    </row>
    <row r="1018" spans="1:5">
      <c r="A1018" s="59" t="s">
        <v>3301</v>
      </c>
      <c r="B1018" s="59" t="s">
        <v>3302</v>
      </c>
      <c r="C1018" s="59" t="s">
        <v>1669</v>
      </c>
      <c r="D1018" s="59" t="s">
        <v>89</v>
      </c>
      <c r="E1018" s="59" t="s">
        <v>71</v>
      </c>
    </row>
    <row r="1019" spans="1:5">
      <c r="A1019" s="59" t="s">
        <v>3303</v>
      </c>
      <c r="B1019" s="59" t="s">
        <v>3304</v>
      </c>
      <c r="C1019" s="59" t="s">
        <v>1669</v>
      </c>
      <c r="D1019" s="59" t="s">
        <v>1395</v>
      </c>
      <c r="E1019" s="59" t="s">
        <v>71</v>
      </c>
    </row>
    <row r="1020" spans="1:5">
      <c r="A1020" s="59" t="s">
        <v>3305</v>
      </c>
      <c r="B1020" s="59" t="s">
        <v>3306</v>
      </c>
      <c r="C1020" s="59" t="s">
        <v>1669</v>
      </c>
      <c r="D1020" s="65" t="s">
        <v>0</v>
      </c>
      <c r="E1020" s="65" t="s">
        <v>122</v>
      </c>
    </row>
    <row r="1021" spans="1:5">
      <c r="A1021" s="59" t="s">
        <v>3307</v>
      </c>
      <c r="B1021" s="59" t="s">
        <v>3308</v>
      </c>
      <c r="C1021" s="59" t="s">
        <v>1669</v>
      </c>
      <c r="D1021" s="59" t="s">
        <v>1458</v>
      </c>
      <c r="E1021" s="59" t="s">
        <v>71</v>
      </c>
    </row>
    <row r="1022" spans="1:5">
      <c r="A1022" s="59" t="s">
        <v>3309</v>
      </c>
      <c r="B1022" s="59" t="s">
        <v>3310</v>
      </c>
      <c r="C1022" s="59" t="s">
        <v>1669</v>
      </c>
      <c r="D1022" s="59" t="s">
        <v>1455</v>
      </c>
      <c r="E1022" s="59" t="s">
        <v>71</v>
      </c>
    </row>
    <row r="1023" spans="1:5">
      <c r="A1023" s="59" t="s">
        <v>3311</v>
      </c>
      <c r="B1023" s="59" t="s">
        <v>3312</v>
      </c>
      <c r="C1023" s="59" t="s">
        <v>1669</v>
      </c>
      <c r="D1023" s="65" t="s">
        <v>0</v>
      </c>
      <c r="E1023" s="65" t="s">
        <v>122</v>
      </c>
    </row>
    <row r="1024" spans="1:5">
      <c r="A1024" s="59" t="s">
        <v>3313</v>
      </c>
      <c r="B1024" s="59" t="s">
        <v>3314</v>
      </c>
      <c r="C1024" s="59" t="s">
        <v>1669</v>
      </c>
      <c r="D1024" s="65" t="s">
        <v>598</v>
      </c>
      <c r="E1024" s="65" t="s">
        <v>71</v>
      </c>
    </row>
    <row r="1025" spans="1:5">
      <c r="A1025" s="59" t="s">
        <v>3315</v>
      </c>
      <c r="B1025" s="59" t="s">
        <v>3316</v>
      </c>
      <c r="C1025" s="59" t="s">
        <v>1669</v>
      </c>
      <c r="D1025" s="59" t="s">
        <v>1458</v>
      </c>
      <c r="E1025" s="59" t="s">
        <v>71</v>
      </c>
    </row>
    <row r="1026" spans="1:5">
      <c r="A1026" s="59" t="s">
        <v>3317</v>
      </c>
      <c r="B1026" s="59" t="s">
        <v>3318</v>
      </c>
      <c r="C1026" s="59" t="s">
        <v>1669</v>
      </c>
      <c r="D1026" s="59" t="s">
        <v>1477</v>
      </c>
      <c r="E1026" s="59" t="s">
        <v>71</v>
      </c>
    </row>
    <row r="1027" spans="1:5">
      <c r="A1027" s="59" t="s">
        <v>3319</v>
      </c>
      <c r="B1027" s="59" t="s">
        <v>3320</v>
      </c>
      <c r="C1027" s="59" t="s">
        <v>1669</v>
      </c>
      <c r="D1027" s="59" t="s">
        <v>1455</v>
      </c>
      <c r="E1027" s="59" t="s">
        <v>1456</v>
      </c>
    </row>
    <row r="1028" spans="1:5">
      <c r="A1028" s="59" t="s">
        <v>3321</v>
      </c>
      <c r="B1028" s="59" t="s">
        <v>3322</v>
      </c>
      <c r="C1028" s="59" t="s">
        <v>1669</v>
      </c>
      <c r="D1028" s="59" t="s">
        <v>1455</v>
      </c>
      <c r="E1028" s="59" t="s">
        <v>71</v>
      </c>
    </row>
    <row r="1029" spans="1:5">
      <c r="A1029" s="59" t="s">
        <v>3323</v>
      </c>
      <c r="B1029" s="59" t="s">
        <v>3324</v>
      </c>
      <c r="C1029" s="59" t="s">
        <v>1669</v>
      </c>
      <c r="D1029" s="59" t="s">
        <v>1477</v>
      </c>
      <c r="E1029" s="59" t="s">
        <v>1456</v>
      </c>
    </row>
    <row r="1030" spans="1:5">
      <c r="A1030" s="59" t="s">
        <v>3325</v>
      </c>
      <c r="B1030" s="59" t="s">
        <v>3326</v>
      </c>
      <c r="C1030" s="59" t="s">
        <v>1669</v>
      </c>
      <c r="D1030" s="59" t="s">
        <v>1407</v>
      </c>
      <c r="E1030" s="59" t="s">
        <v>31</v>
      </c>
    </row>
    <row r="1031" spans="1:5">
      <c r="A1031" s="59" t="s">
        <v>3327</v>
      </c>
      <c r="B1031" s="59" t="s">
        <v>3328</v>
      </c>
      <c r="C1031" s="59" t="s">
        <v>1669</v>
      </c>
      <c r="D1031" s="59" t="s">
        <v>89</v>
      </c>
      <c r="E1031" s="59" t="s">
        <v>71</v>
      </c>
    </row>
    <row r="1032" spans="1:5">
      <c r="A1032" s="59" t="s">
        <v>3329</v>
      </c>
      <c r="B1032" s="59" t="s">
        <v>3330</v>
      </c>
      <c r="C1032" s="59" t="s">
        <v>1669</v>
      </c>
      <c r="D1032" s="59" t="s">
        <v>1395</v>
      </c>
      <c r="E1032" s="59" t="s">
        <v>1456</v>
      </c>
    </row>
    <row r="1033" spans="1:5">
      <c r="A1033" s="59" t="s">
        <v>3331</v>
      </c>
      <c r="B1033" s="59" t="s">
        <v>3332</v>
      </c>
      <c r="C1033" s="59" t="s">
        <v>1669</v>
      </c>
      <c r="D1033" s="59" t="s">
        <v>1371</v>
      </c>
      <c r="E1033" s="59" t="s">
        <v>1456</v>
      </c>
    </row>
    <row r="1034" spans="1:5">
      <c r="A1034" s="59" t="s">
        <v>3333</v>
      </c>
      <c r="B1034" s="59" t="s">
        <v>3334</v>
      </c>
      <c r="C1034" s="59" t="s">
        <v>1669</v>
      </c>
      <c r="D1034" s="59" t="s">
        <v>1371</v>
      </c>
      <c r="E1034" s="59" t="s">
        <v>71</v>
      </c>
    </row>
    <row r="1035" spans="1:5">
      <c r="A1035" s="59" t="s">
        <v>3335</v>
      </c>
      <c r="B1035" s="59" t="s">
        <v>3336</v>
      </c>
      <c r="C1035" s="59" t="s">
        <v>1669</v>
      </c>
      <c r="D1035" s="59" t="s">
        <v>1371</v>
      </c>
      <c r="E1035" s="59" t="s">
        <v>3337</v>
      </c>
    </row>
    <row r="1036" spans="1:5">
      <c r="A1036" s="59" t="s">
        <v>3338</v>
      </c>
      <c r="B1036" s="59" t="s">
        <v>3339</v>
      </c>
      <c r="C1036" s="59" t="s">
        <v>1669</v>
      </c>
      <c r="D1036" s="59" t="s">
        <v>1458</v>
      </c>
      <c r="E1036" s="59" t="s">
        <v>71</v>
      </c>
    </row>
    <row r="1037" spans="1:5">
      <c r="A1037" s="59" t="s">
        <v>3340</v>
      </c>
      <c r="B1037" s="59" t="s">
        <v>3341</v>
      </c>
      <c r="C1037" s="59" t="s">
        <v>1669</v>
      </c>
      <c r="D1037" s="59" t="s">
        <v>1477</v>
      </c>
      <c r="E1037" s="59" t="s">
        <v>71</v>
      </c>
    </row>
    <row r="1038" spans="1:5">
      <c r="A1038" s="59" t="s">
        <v>3342</v>
      </c>
      <c r="B1038" s="59" t="s">
        <v>3343</v>
      </c>
      <c r="C1038" s="59" t="s">
        <v>1669</v>
      </c>
      <c r="D1038" s="65" t="s">
        <v>598</v>
      </c>
      <c r="E1038" s="65" t="s">
        <v>71</v>
      </c>
    </row>
    <row r="1039" spans="1:5">
      <c r="A1039" s="59" t="s">
        <v>3344</v>
      </c>
      <c r="B1039" s="59" t="s">
        <v>3345</v>
      </c>
      <c r="C1039" s="59" t="s">
        <v>1669</v>
      </c>
      <c r="D1039" s="59" t="s">
        <v>1395</v>
      </c>
      <c r="E1039" s="59" t="s">
        <v>71</v>
      </c>
    </row>
    <row r="1040" spans="1:5">
      <c r="A1040" s="59" t="s">
        <v>3346</v>
      </c>
      <c r="B1040" s="59" t="s">
        <v>3347</v>
      </c>
      <c r="C1040" s="59" t="s">
        <v>1669</v>
      </c>
      <c r="D1040" s="65" t="s">
        <v>598</v>
      </c>
      <c r="E1040" s="65" t="s">
        <v>71</v>
      </c>
    </row>
    <row r="1041" spans="1:5">
      <c r="A1041" s="59" t="s">
        <v>3348</v>
      </c>
      <c r="B1041" s="59" t="s">
        <v>3349</v>
      </c>
      <c r="C1041" s="59" t="s">
        <v>1669</v>
      </c>
      <c r="D1041" s="59" t="s">
        <v>1455</v>
      </c>
      <c r="E1041" s="59" t="s">
        <v>71</v>
      </c>
    </row>
    <row r="1042" spans="1:5">
      <c r="A1042" s="59" t="s">
        <v>3350</v>
      </c>
      <c r="B1042" s="59" t="s">
        <v>3351</v>
      </c>
      <c r="C1042" s="59" t="s">
        <v>1669</v>
      </c>
      <c r="D1042" s="59" t="s">
        <v>1455</v>
      </c>
      <c r="E1042" s="59" t="s">
        <v>71</v>
      </c>
    </row>
    <row r="1043" spans="1:5">
      <c r="A1043" s="59" t="s">
        <v>546</v>
      </c>
      <c r="B1043" s="59" t="s">
        <v>547</v>
      </c>
      <c r="C1043" s="59" t="s">
        <v>1669</v>
      </c>
      <c r="D1043" s="59" t="s">
        <v>1458</v>
      </c>
      <c r="E1043" s="59" t="s">
        <v>71</v>
      </c>
    </row>
    <row r="1044" spans="1:5">
      <c r="A1044" s="59" t="s">
        <v>3352</v>
      </c>
      <c r="B1044" s="59" t="s">
        <v>3353</v>
      </c>
      <c r="C1044" s="59" t="s">
        <v>1669</v>
      </c>
      <c r="D1044" s="65" t="s">
        <v>0</v>
      </c>
      <c r="E1044" s="65" t="s">
        <v>122</v>
      </c>
    </row>
    <row r="1045" spans="1:5">
      <c r="A1045" s="59" t="s">
        <v>3354</v>
      </c>
      <c r="B1045" s="59" t="s">
        <v>3355</v>
      </c>
      <c r="C1045" s="59" t="s">
        <v>1669</v>
      </c>
      <c r="D1045" s="59" t="s">
        <v>1458</v>
      </c>
      <c r="E1045" s="59" t="s">
        <v>71</v>
      </c>
    </row>
    <row r="1046" spans="1:5">
      <c r="A1046" s="59" t="s">
        <v>3356</v>
      </c>
      <c r="B1046" s="59" t="s">
        <v>3357</v>
      </c>
      <c r="C1046" s="59" t="s">
        <v>1669</v>
      </c>
      <c r="D1046" s="59" t="s">
        <v>1477</v>
      </c>
      <c r="E1046" s="59" t="s">
        <v>1456</v>
      </c>
    </row>
    <row r="1047" spans="1:5">
      <c r="A1047" s="59" t="s">
        <v>3358</v>
      </c>
      <c r="B1047" s="59" t="s">
        <v>3359</v>
      </c>
      <c r="C1047" s="59" t="s">
        <v>1669</v>
      </c>
      <c r="D1047" s="59" t="s">
        <v>1477</v>
      </c>
      <c r="E1047" s="59" t="s">
        <v>1456</v>
      </c>
    </row>
    <row r="1048" spans="1:5">
      <c r="A1048" s="59" t="s">
        <v>3360</v>
      </c>
      <c r="B1048" s="59" t="s">
        <v>3361</v>
      </c>
      <c r="C1048" s="59" t="s">
        <v>1669</v>
      </c>
      <c r="D1048" s="59" t="s">
        <v>1477</v>
      </c>
      <c r="E1048" s="59" t="s">
        <v>1456</v>
      </c>
    </row>
    <row r="1049" spans="1:5">
      <c r="A1049" s="59" t="s">
        <v>3362</v>
      </c>
      <c r="B1049" s="59" t="s">
        <v>3363</v>
      </c>
      <c r="C1049" s="59" t="s">
        <v>1669</v>
      </c>
      <c r="D1049" s="59" t="s">
        <v>1455</v>
      </c>
      <c r="E1049" s="59" t="s">
        <v>71</v>
      </c>
    </row>
    <row r="1050" spans="1:5">
      <c r="A1050" s="59" t="s">
        <v>3364</v>
      </c>
      <c r="B1050" s="59" t="s">
        <v>3365</v>
      </c>
      <c r="C1050" s="59" t="s">
        <v>1669</v>
      </c>
      <c r="D1050" s="59" t="s">
        <v>1371</v>
      </c>
      <c r="E1050" s="59" t="s">
        <v>71</v>
      </c>
    </row>
    <row r="1051" spans="1:5">
      <c r="A1051" s="59" t="s">
        <v>449</v>
      </c>
      <c r="B1051" s="59" t="s">
        <v>450</v>
      </c>
      <c r="C1051" s="59" t="s">
        <v>1669</v>
      </c>
      <c r="D1051" s="65" t="s">
        <v>1477</v>
      </c>
      <c r="E1051" s="65" t="s">
        <v>71</v>
      </c>
    </row>
    <row r="1052" spans="1:5">
      <c r="A1052" s="59" t="s">
        <v>3366</v>
      </c>
      <c r="B1052" s="59" t="s">
        <v>3367</v>
      </c>
      <c r="C1052" s="59" t="s">
        <v>1669</v>
      </c>
      <c r="D1052" s="65" t="s">
        <v>1477</v>
      </c>
      <c r="E1052" s="65" t="s">
        <v>71</v>
      </c>
    </row>
    <row r="1053" spans="1:5">
      <c r="A1053" s="59" t="s">
        <v>3368</v>
      </c>
      <c r="B1053" s="59" t="s">
        <v>3369</v>
      </c>
      <c r="C1053" s="59" t="s">
        <v>1669</v>
      </c>
      <c r="D1053" s="59" t="s">
        <v>1458</v>
      </c>
      <c r="E1053" s="59" t="s">
        <v>71</v>
      </c>
    </row>
    <row r="1054" spans="1:5">
      <c r="A1054" s="59" t="s">
        <v>3370</v>
      </c>
      <c r="B1054" s="59" t="s">
        <v>3371</v>
      </c>
      <c r="C1054" s="59" t="s">
        <v>1669</v>
      </c>
      <c r="D1054" s="59" t="s">
        <v>1458</v>
      </c>
      <c r="E1054" s="59" t="s">
        <v>71</v>
      </c>
    </row>
    <row r="1055" spans="1:5">
      <c r="A1055" s="59" t="s">
        <v>3372</v>
      </c>
      <c r="B1055" s="59" t="s">
        <v>3373</v>
      </c>
      <c r="C1055" s="59" t="s">
        <v>1669</v>
      </c>
      <c r="D1055" s="59" t="s">
        <v>1477</v>
      </c>
      <c r="E1055" s="59" t="s">
        <v>71</v>
      </c>
    </row>
    <row r="1056" spans="1:5">
      <c r="A1056" s="59" t="s">
        <v>3374</v>
      </c>
      <c r="B1056" s="59" t="s">
        <v>3375</v>
      </c>
      <c r="C1056" s="59" t="s">
        <v>1669</v>
      </c>
      <c r="D1056" s="59" t="s">
        <v>1455</v>
      </c>
      <c r="E1056" s="59" t="s">
        <v>71</v>
      </c>
    </row>
    <row r="1057" spans="1:5">
      <c r="A1057" s="59" t="s">
        <v>3376</v>
      </c>
      <c r="B1057" s="59" t="s">
        <v>3377</v>
      </c>
      <c r="C1057" s="59" t="s">
        <v>1669</v>
      </c>
      <c r="D1057" s="65" t="s">
        <v>598</v>
      </c>
      <c r="E1057" s="65" t="s">
        <v>71</v>
      </c>
    </row>
    <row r="1058" spans="1:5">
      <c r="A1058" s="59" t="s">
        <v>3378</v>
      </c>
      <c r="B1058" s="59" t="s">
        <v>3379</v>
      </c>
      <c r="C1058" s="59" t="s">
        <v>1669</v>
      </c>
      <c r="D1058" s="59" t="s">
        <v>1395</v>
      </c>
      <c r="E1058" s="59" t="s">
        <v>71</v>
      </c>
    </row>
    <row r="1059" spans="1:5">
      <c r="A1059" s="59" t="s">
        <v>3380</v>
      </c>
      <c r="B1059" s="59" t="s">
        <v>3381</v>
      </c>
      <c r="C1059" s="59" t="s">
        <v>1669</v>
      </c>
      <c r="D1059" s="59" t="s">
        <v>1477</v>
      </c>
      <c r="E1059" s="59" t="s">
        <v>71</v>
      </c>
    </row>
    <row r="1060" spans="1:5">
      <c r="A1060" s="59" t="s">
        <v>3382</v>
      </c>
      <c r="B1060" s="59" t="s">
        <v>3383</v>
      </c>
      <c r="C1060" s="59" t="s">
        <v>1669</v>
      </c>
      <c r="D1060" s="59" t="s">
        <v>1455</v>
      </c>
      <c r="E1060" s="59" t="s">
        <v>71</v>
      </c>
    </row>
    <row r="1061" spans="1:5">
      <c r="A1061" s="59" t="s">
        <v>3384</v>
      </c>
      <c r="B1061" s="59" t="s">
        <v>3385</v>
      </c>
      <c r="C1061" s="59" t="s">
        <v>1669</v>
      </c>
      <c r="D1061" s="59" t="s">
        <v>1395</v>
      </c>
      <c r="E1061" s="59" t="s">
        <v>71</v>
      </c>
    </row>
    <row r="1062" spans="1:5">
      <c r="A1062" s="59" t="s">
        <v>3386</v>
      </c>
      <c r="B1062" s="59" t="s">
        <v>3387</v>
      </c>
      <c r="C1062" s="59" t="s">
        <v>1669</v>
      </c>
      <c r="D1062" s="59" t="s">
        <v>1455</v>
      </c>
      <c r="E1062" s="59" t="s">
        <v>1456</v>
      </c>
    </row>
    <row r="1063" spans="1:5">
      <c r="A1063" s="59" t="s">
        <v>3388</v>
      </c>
      <c r="B1063" s="59" t="s">
        <v>3389</v>
      </c>
      <c r="C1063" s="59" t="s">
        <v>1669</v>
      </c>
      <c r="D1063" s="59" t="s">
        <v>1455</v>
      </c>
      <c r="E1063" s="59" t="s">
        <v>71</v>
      </c>
    </row>
    <row r="1064" spans="1:5">
      <c r="A1064" s="59" t="s">
        <v>3390</v>
      </c>
      <c r="B1064" s="59" t="s">
        <v>3389</v>
      </c>
      <c r="C1064" s="59" t="s">
        <v>1669</v>
      </c>
      <c r="D1064" s="59" t="s">
        <v>1455</v>
      </c>
      <c r="E1064" s="59" t="s">
        <v>1456</v>
      </c>
    </row>
    <row r="1065" spans="1:5">
      <c r="A1065" s="59" t="s">
        <v>3391</v>
      </c>
      <c r="B1065" s="59" t="s">
        <v>3392</v>
      </c>
      <c r="C1065" s="59" t="s">
        <v>1669</v>
      </c>
      <c r="D1065" s="59" t="s">
        <v>1455</v>
      </c>
      <c r="E1065" s="59" t="s">
        <v>71</v>
      </c>
    </row>
    <row r="1066" spans="1:5">
      <c r="A1066" s="59" t="s">
        <v>3393</v>
      </c>
      <c r="B1066" s="59" t="s">
        <v>3394</v>
      </c>
      <c r="C1066" s="59" t="s">
        <v>1669</v>
      </c>
      <c r="D1066" s="59" t="s">
        <v>1458</v>
      </c>
      <c r="E1066" s="59" t="s">
        <v>71</v>
      </c>
    </row>
    <row r="1067" spans="1:5">
      <c r="A1067" s="59" t="s">
        <v>3395</v>
      </c>
      <c r="B1067" s="59" t="s">
        <v>3396</v>
      </c>
      <c r="C1067" s="59" t="s">
        <v>1669</v>
      </c>
      <c r="D1067" s="59" t="s">
        <v>1477</v>
      </c>
      <c r="E1067" s="59" t="s">
        <v>71</v>
      </c>
    </row>
    <row r="1068" spans="1:5">
      <c r="A1068" s="59" t="s">
        <v>3397</v>
      </c>
      <c r="B1068" s="59" t="s">
        <v>3398</v>
      </c>
      <c r="C1068" s="59" t="s">
        <v>1669</v>
      </c>
      <c r="D1068" s="59" t="s">
        <v>1455</v>
      </c>
      <c r="E1068" s="59" t="s">
        <v>71</v>
      </c>
    </row>
    <row r="1069" spans="1:5">
      <c r="A1069" s="59" t="s">
        <v>3399</v>
      </c>
      <c r="B1069" s="59" t="s">
        <v>3400</v>
      </c>
      <c r="C1069" s="59" t="s">
        <v>1669</v>
      </c>
      <c r="D1069" s="59" t="s">
        <v>1455</v>
      </c>
      <c r="E1069" s="59" t="s">
        <v>71</v>
      </c>
    </row>
    <row r="1070" spans="1:5">
      <c r="A1070" s="59" t="s">
        <v>3401</v>
      </c>
      <c r="B1070" s="59" t="s">
        <v>3402</v>
      </c>
      <c r="C1070" s="59" t="s">
        <v>1669</v>
      </c>
      <c r="D1070" s="59" t="s">
        <v>1395</v>
      </c>
      <c r="E1070" s="59" t="s">
        <v>1456</v>
      </c>
    </row>
    <row r="1071" spans="1:5">
      <c r="A1071" s="59" t="s">
        <v>3403</v>
      </c>
      <c r="B1071" s="59" t="s">
        <v>3404</v>
      </c>
      <c r="C1071" s="59" t="s">
        <v>1669</v>
      </c>
      <c r="D1071" s="59" t="s">
        <v>1477</v>
      </c>
      <c r="E1071" s="59" t="s">
        <v>71</v>
      </c>
    </row>
    <row r="1072" spans="1:5">
      <c r="A1072" s="59" t="s">
        <v>917</v>
      </c>
      <c r="B1072" s="59" t="s">
        <v>3405</v>
      </c>
      <c r="C1072" s="59" t="s">
        <v>1669</v>
      </c>
      <c r="D1072" s="59" t="s">
        <v>1395</v>
      </c>
      <c r="E1072" s="59" t="s">
        <v>71</v>
      </c>
    </row>
    <row r="1073" spans="1:5">
      <c r="A1073" s="59" t="s">
        <v>3406</v>
      </c>
      <c r="B1073" s="59" t="s">
        <v>3405</v>
      </c>
      <c r="C1073" s="59" t="s">
        <v>1669</v>
      </c>
      <c r="D1073" s="59" t="s">
        <v>1395</v>
      </c>
      <c r="E1073" s="59" t="s">
        <v>71</v>
      </c>
    </row>
    <row r="1074" spans="1:5">
      <c r="A1074" s="59" t="s">
        <v>3407</v>
      </c>
      <c r="B1074" s="59" t="s">
        <v>3408</v>
      </c>
      <c r="C1074" s="59" t="s">
        <v>1669</v>
      </c>
      <c r="D1074" s="59" t="s">
        <v>1458</v>
      </c>
      <c r="E1074" s="59" t="s">
        <v>1456</v>
      </c>
    </row>
    <row r="1075" spans="1:5">
      <c r="A1075" s="59" t="s">
        <v>3409</v>
      </c>
      <c r="B1075" s="59" t="s">
        <v>3410</v>
      </c>
      <c r="C1075" s="59" t="s">
        <v>1669</v>
      </c>
      <c r="D1075" s="59" t="s">
        <v>1458</v>
      </c>
      <c r="E1075" s="59" t="s">
        <v>1456</v>
      </c>
    </row>
    <row r="1076" spans="1:5">
      <c r="A1076" s="59" t="s">
        <v>3411</v>
      </c>
      <c r="B1076" s="59" t="s">
        <v>3412</v>
      </c>
      <c r="C1076" s="59" t="s">
        <v>1669</v>
      </c>
      <c r="D1076" s="59" t="s">
        <v>1477</v>
      </c>
      <c r="E1076" s="59" t="s">
        <v>71</v>
      </c>
    </row>
    <row r="1077" spans="1:5">
      <c r="A1077" s="59" t="s">
        <v>3413</v>
      </c>
      <c r="B1077" s="59" t="s">
        <v>3414</v>
      </c>
      <c r="C1077" s="59" t="s">
        <v>1669</v>
      </c>
      <c r="D1077" s="59" t="s">
        <v>1458</v>
      </c>
      <c r="E1077" s="59" t="s">
        <v>71</v>
      </c>
    </row>
    <row r="1078" spans="1:5">
      <c r="A1078" s="59" t="s">
        <v>3415</v>
      </c>
      <c r="B1078" s="59" t="s">
        <v>3416</v>
      </c>
      <c r="C1078" s="59" t="s">
        <v>1669</v>
      </c>
      <c r="D1078" s="59" t="s">
        <v>1477</v>
      </c>
      <c r="E1078" s="59" t="s">
        <v>71</v>
      </c>
    </row>
    <row r="1079" spans="1:5">
      <c r="A1079" s="59" t="s">
        <v>3417</v>
      </c>
      <c r="B1079" s="59" t="s">
        <v>3418</v>
      </c>
      <c r="C1079" s="59" t="s">
        <v>1669</v>
      </c>
      <c r="D1079" s="59" t="s">
        <v>1371</v>
      </c>
      <c r="E1079" s="59" t="s">
        <v>71</v>
      </c>
    </row>
    <row r="1080" spans="1:5">
      <c r="A1080" s="59" t="s">
        <v>3419</v>
      </c>
      <c r="B1080" s="59" t="s">
        <v>3420</v>
      </c>
      <c r="C1080" s="59" t="s">
        <v>1669</v>
      </c>
      <c r="D1080" s="59" t="s">
        <v>1455</v>
      </c>
      <c r="E1080" s="59" t="s">
        <v>1456</v>
      </c>
    </row>
    <row r="1081" spans="1:5">
      <c r="A1081" s="59" t="s">
        <v>942</v>
      </c>
      <c r="B1081" s="59" t="s">
        <v>3421</v>
      </c>
      <c r="C1081" s="59" t="s">
        <v>1669</v>
      </c>
      <c r="D1081" s="59" t="s">
        <v>1371</v>
      </c>
      <c r="E1081" s="59" t="s">
        <v>1456</v>
      </c>
    </row>
    <row r="1082" spans="1:5">
      <c r="A1082" s="59" t="s">
        <v>3422</v>
      </c>
      <c r="B1082" s="59" t="s">
        <v>3423</v>
      </c>
      <c r="C1082" s="59" t="s">
        <v>1669</v>
      </c>
      <c r="D1082" s="65" t="s">
        <v>1458</v>
      </c>
      <c r="E1082" s="65" t="s">
        <v>71</v>
      </c>
    </row>
    <row r="1083" spans="1:5">
      <c r="A1083" s="59" t="s">
        <v>3424</v>
      </c>
      <c r="B1083" s="59" t="s">
        <v>3425</v>
      </c>
      <c r="C1083" s="59" t="s">
        <v>1669</v>
      </c>
      <c r="D1083" s="59" t="s">
        <v>1371</v>
      </c>
      <c r="E1083" s="59" t="s">
        <v>1456</v>
      </c>
    </row>
    <row r="1084" spans="1:5">
      <c r="A1084" s="59" t="s">
        <v>3426</v>
      </c>
      <c r="B1084" s="59" t="s">
        <v>3427</v>
      </c>
      <c r="C1084" s="59" t="s">
        <v>1669</v>
      </c>
      <c r="D1084" s="59" t="s">
        <v>1458</v>
      </c>
      <c r="E1084" s="59" t="s">
        <v>71</v>
      </c>
    </row>
    <row r="1085" spans="1:5">
      <c r="A1085" s="59" t="s">
        <v>3428</v>
      </c>
      <c r="B1085" s="59" t="s">
        <v>3429</v>
      </c>
      <c r="C1085" s="59" t="s">
        <v>1669</v>
      </c>
      <c r="D1085" s="59" t="s">
        <v>1477</v>
      </c>
      <c r="E1085" s="59" t="s">
        <v>71</v>
      </c>
    </row>
    <row r="1086" spans="1:5">
      <c r="A1086" s="59" t="s">
        <v>3430</v>
      </c>
      <c r="B1086" s="59" t="s">
        <v>3431</v>
      </c>
      <c r="C1086" s="59" t="s">
        <v>1669</v>
      </c>
      <c r="D1086" s="59" t="s">
        <v>1395</v>
      </c>
      <c r="E1086" s="59" t="s">
        <v>71</v>
      </c>
    </row>
    <row r="1087" spans="1:5">
      <c r="A1087" s="59" t="s">
        <v>522</v>
      </c>
      <c r="B1087" s="59" t="s">
        <v>523</v>
      </c>
      <c r="C1087" s="59" t="s">
        <v>1669</v>
      </c>
      <c r="D1087" s="59" t="s">
        <v>1477</v>
      </c>
      <c r="E1087" s="59" t="s">
        <v>71</v>
      </c>
    </row>
    <row r="1088" spans="1:5">
      <c r="A1088" s="59" t="s">
        <v>982</v>
      </c>
      <c r="B1088" s="59" t="s">
        <v>3432</v>
      </c>
      <c r="C1088" s="59" t="s">
        <v>1669</v>
      </c>
      <c r="D1088" s="59" t="s">
        <v>1477</v>
      </c>
      <c r="E1088" s="59" t="s">
        <v>1456</v>
      </c>
    </row>
    <row r="1089" spans="1:5">
      <c r="A1089" s="59" t="s">
        <v>3433</v>
      </c>
      <c r="B1089" s="59" t="s">
        <v>3434</v>
      </c>
      <c r="C1089" s="59" t="s">
        <v>1669</v>
      </c>
      <c r="D1089" s="59" t="s">
        <v>1371</v>
      </c>
      <c r="E1089" s="59" t="s">
        <v>71</v>
      </c>
    </row>
    <row r="1090" spans="1:5">
      <c r="A1090" s="59" t="s">
        <v>3435</v>
      </c>
      <c r="B1090" s="59" t="s">
        <v>3436</v>
      </c>
      <c r="C1090" s="59" t="s">
        <v>1669</v>
      </c>
      <c r="D1090" s="59" t="s">
        <v>1395</v>
      </c>
      <c r="E1090" s="59" t="s">
        <v>1456</v>
      </c>
    </row>
    <row r="1091" spans="1:5">
      <c r="A1091" s="59" t="s">
        <v>3437</v>
      </c>
      <c r="B1091" s="59" t="s">
        <v>3438</v>
      </c>
      <c r="C1091" s="59" t="s">
        <v>1669</v>
      </c>
      <c r="D1091" s="59" t="s">
        <v>89</v>
      </c>
      <c r="E1091" s="59" t="s">
        <v>1456</v>
      </c>
    </row>
    <row r="1092" spans="1:5">
      <c r="A1092" s="59" t="s">
        <v>3439</v>
      </c>
      <c r="B1092" s="59" t="s">
        <v>3440</v>
      </c>
      <c r="C1092" s="59" t="s">
        <v>1669</v>
      </c>
      <c r="D1092" s="59" t="s">
        <v>1371</v>
      </c>
      <c r="E1092" s="59" t="s">
        <v>71</v>
      </c>
    </row>
    <row r="1093" spans="1:5">
      <c r="A1093" s="59" t="s">
        <v>3441</v>
      </c>
      <c r="B1093" s="59" t="s">
        <v>3442</v>
      </c>
      <c r="C1093" s="59" t="s">
        <v>1669</v>
      </c>
      <c r="D1093" s="59" t="s">
        <v>1395</v>
      </c>
      <c r="E1093" s="59" t="s">
        <v>71</v>
      </c>
    </row>
    <row r="1094" spans="1:5">
      <c r="A1094" s="59" t="s">
        <v>3443</v>
      </c>
      <c r="B1094" s="59" t="s">
        <v>3444</v>
      </c>
      <c r="C1094" s="59" t="s">
        <v>1669</v>
      </c>
      <c r="D1094" s="59" t="s">
        <v>1407</v>
      </c>
      <c r="E1094" s="59" t="s">
        <v>31</v>
      </c>
    </row>
    <row r="1095" spans="1:5">
      <c r="A1095" s="59" t="s">
        <v>3445</v>
      </c>
      <c r="B1095" s="59" t="s">
        <v>3446</v>
      </c>
      <c r="C1095" s="59" t="s">
        <v>1669</v>
      </c>
      <c r="D1095" s="65" t="s">
        <v>598</v>
      </c>
      <c r="E1095" s="65" t="s">
        <v>71</v>
      </c>
    </row>
    <row r="1096" spans="1:5">
      <c r="A1096" s="59" t="s">
        <v>3447</v>
      </c>
      <c r="B1096" s="59" t="s">
        <v>3448</v>
      </c>
      <c r="C1096" s="59" t="s">
        <v>1669</v>
      </c>
      <c r="D1096" s="65" t="s">
        <v>89</v>
      </c>
      <c r="E1096" s="65" t="s">
        <v>1456</v>
      </c>
    </row>
    <row r="1097" spans="1:5">
      <c r="A1097" s="59" t="s">
        <v>3449</v>
      </c>
      <c r="B1097" s="59" t="s">
        <v>3450</v>
      </c>
      <c r="C1097" s="59" t="s">
        <v>1669</v>
      </c>
      <c r="D1097" s="59" t="s">
        <v>1371</v>
      </c>
      <c r="E1097" s="59" t="s">
        <v>71</v>
      </c>
    </row>
    <row r="1098" spans="1:5">
      <c r="A1098" s="59" t="s">
        <v>3451</v>
      </c>
      <c r="B1098" s="59" t="s">
        <v>3452</v>
      </c>
      <c r="C1098" s="59" t="s">
        <v>1669</v>
      </c>
      <c r="D1098" s="59" t="s">
        <v>1455</v>
      </c>
      <c r="E1098" s="59" t="s">
        <v>71</v>
      </c>
    </row>
    <row r="1099" spans="1:5">
      <c r="A1099" s="59" t="s">
        <v>3453</v>
      </c>
      <c r="B1099" s="59" t="s">
        <v>3454</v>
      </c>
      <c r="C1099" s="59" t="s">
        <v>1669</v>
      </c>
      <c r="D1099" s="59" t="s">
        <v>1455</v>
      </c>
      <c r="E1099" s="59" t="s">
        <v>71</v>
      </c>
    </row>
    <row r="1100" spans="1:5">
      <c r="A1100" s="59" t="s">
        <v>3455</v>
      </c>
      <c r="B1100" s="59" t="s">
        <v>3456</v>
      </c>
      <c r="C1100" s="59" t="s">
        <v>1669</v>
      </c>
      <c r="D1100" s="59" t="s">
        <v>89</v>
      </c>
      <c r="E1100" s="59" t="s">
        <v>71</v>
      </c>
    </row>
    <row r="1101" spans="1:5">
      <c r="A1101" s="59" t="s">
        <v>3457</v>
      </c>
      <c r="B1101" s="59" t="s">
        <v>3458</v>
      </c>
      <c r="C1101" s="59" t="s">
        <v>1669</v>
      </c>
      <c r="D1101" s="59" t="s">
        <v>1455</v>
      </c>
      <c r="E1101" s="59" t="s">
        <v>71</v>
      </c>
    </row>
    <row r="1102" spans="1:5">
      <c r="A1102" s="59" t="s">
        <v>3459</v>
      </c>
      <c r="B1102" s="59" t="s">
        <v>3460</v>
      </c>
      <c r="C1102" s="59" t="s">
        <v>1669</v>
      </c>
      <c r="D1102" s="59" t="s">
        <v>1395</v>
      </c>
      <c r="E1102" s="59" t="s">
        <v>71</v>
      </c>
    </row>
    <row r="1103" spans="1:5">
      <c r="A1103" s="59" t="s">
        <v>3461</v>
      </c>
      <c r="B1103" s="59" t="s">
        <v>3462</v>
      </c>
      <c r="C1103" s="59" t="s">
        <v>1669</v>
      </c>
      <c r="D1103" s="59" t="s">
        <v>1458</v>
      </c>
      <c r="E1103" s="59" t="s">
        <v>71</v>
      </c>
    </row>
    <row r="1104" spans="1:5">
      <c r="A1104" s="59" t="s">
        <v>3463</v>
      </c>
      <c r="B1104" s="59" t="s">
        <v>3464</v>
      </c>
      <c r="C1104" s="59" t="s">
        <v>1669</v>
      </c>
      <c r="D1104" s="59" t="s">
        <v>1455</v>
      </c>
      <c r="E1104" s="59" t="s">
        <v>71</v>
      </c>
    </row>
    <row r="1105" spans="1:5">
      <c r="A1105" s="59" t="s">
        <v>3465</v>
      </c>
      <c r="B1105" s="59" t="s">
        <v>3466</v>
      </c>
      <c r="C1105" s="59" t="s">
        <v>1669</v>
      </c>
      <c r="D1105" s="59" t="s">
        <v>1458</v>
      </c>
      <c r="E1105" s="59" t="s">
        <v>1456</v>
      </c>
    </row>
    <row r="1106" spans="1:5">
      <c r="A1106" s="59" t="s">
        <v>3467</v>
      </c>
      <c r="B1106" s="59" t="s">
        <v>3468</v>
      </c>
      <c r="C1106" s="59" t="s">
        <v>1669</v>
      </c>
      <c r="D1106" s="65" t="s">
        <v>1455</v>
      </c>
      <c r="E1106" s="65" t="s">
        <v>71</v>
      </c>
    </row>
    <row r="1107" spans="1:5">
      <c r="A1107" s="59" t="s">
        <v>3469</v>
      </c>
      <c r="B1107" s="59" t="s">
        <v>3470</v>
      </c>
      <c r="C1107" s="59" t="s">
        <v>1669</v>
      </c>
      <c r="D1107" s="59" t="s">
        <v>1455</v>
      </c>
      <c r="E1107" s="59" t="s">
        <v>71</v>
      </c>
    </row>
    <row r="1108" spans="1:5">
      <c r="A1108" s="59" t="s">
        <v>3471</v>
      </c>
      <c r="B1108" s="59" t="s">
        <v>3472</v>
      </c>
      <c r="C1108" s="59" t="s">
        <v>1669</v>
      </c>
      <c r="D1108" s="59" t="s">
        <v>89</v>
      </c>
      <c r="E1108" s="59" t="s">
        <v>71</v>
      </c>
    </row>
    <row r="1109" spans="1:5">
      <c r="A1109" s="59" t="s">
        <v>3473</v>
      </c>
      <c r="B1109" s="59" t="s">
        <v>3474</v>
      </c>
      <c r="C1109" s="59" t="s">
        <v>1669</v>
      </c>
      <c r="D1109" s="59" t="s">
        <v>1395</v>
      </c>
      <c r="E1109" s="59" t="s">
        <v>71</v>
      </c>
    </row>
    <row r="1110" spans="1:5">
      <c r="A1110" s="59" t="s">
        <v>3475</v>
      </c>
      <c r="B1110" s="59" t="s">
        <v>3476</v>
      </c>
      <c r="C1110" s="59" t="s">
        <v>1669</v>
      </c>
      <c r="D1110" s="59" t="s">
        <v>1458</v>
      </c>
      <c r="E1110" s="59" t="s">
        <v>71</v>
      </c>
    </row>
    <row r="1111" spans="1:5">
      <c r="A1111" s="59" t="s">
        <v>3477</v>
      </c>
      <c r="B1111" s="59" t="s">
        <v>3478</v>
      </c>
      <c r="C1111" s="59" t="s">
        <v>1669</v>
      </c>
      <c r="D1111" s="59" t="s">
        <v>1455</v>
      </c>
      <c r="E1111" s="59" t="s">
        <v>71</v>
      </c>
    </row>
    <row r="1112" spans="1:5">
      <c r="A1112" s="59" t="s">
        <v>3479</v>
      </c>
      <c r="B1112" s="59" t="s">
        <v>3480</v>
      </c>
      <c r="C1112" s="59" t="s">
        <v>1669</v>
      </c>
      <c r="D1112" s="59" t="s">
        <v>1395</v>
      </c>
      <c r="E1112" s="59" t="s">
        <v>1456</v>
      </c>
    </row>
    <row r="1113" spans="1:5">
      <c r="A1113" s="59" t="s">
        <v>3481</v>
      </c>
      <c r="B1113" s="59" t="s">
        <v>3482</v>
      </c>
      <c r="C1113" s="59" t="s">
        <v>1669</v>
      </c>
      <c r="D1113" s="59" t="s">
        <v>1455</v>
      </c>
      <c r="E1113" s="59" t="s">
        <v>71</v>
      </c>
    </row>
    <row r="1114" spans="1:5">
      <c r="A1114" s="59" t="s">
        <v>949</v>
      </c>
      <c r="B1114" s="59" t="s">
        <v>3483</v>
      </c>
      <c r="C1114" s="59" t="s">
        <v>1669</v>
      </c>
      <c r="D1114" s="59" t="s">
        <v>1477</v>
      </c>
      <c r="E1114" s="59" t="s">
        <v>1456</v>
      </c>
    </row>
    <row r="1115" spans="1:5">
      <c r="A1115" s="59" t="s">
        <v>3484</v>
      </c>
      <c r="B1115" s="59" t="s">
        <v>3485</v>
      </c>
      <c r="C1115" s="59" t="s">
        <v>1669</v>
      </c>
      <c r="D1115" s="59" t="s">
        <v>1477</v>
      </c>
      <c r="E1115" s="59" t="s">
        <v>71</v>
      </c>
    </row>
    <row r="1116" spans="1:5">
      <c r="A1116" s="59" t="s">
        <v>435</v>
      </c>
      <c r="B1116" s="59" t="s">
        <v>436</v>
      </c>
      <c r="C1116" s="59" t="s">
        <v>1669</v>
      </c>
      <c r="D1116" s="59" t="s">
        <v>1458</v>
      </c>
      <c r="E1116" s="59" t="s">
        <v>1456</v>
      </c>
    </row>
    <row r="1117" spans="1:5">
      <c r="A1117" s="59" t="s">
        <v>3486</v>
      </c>
      <c r="B1117" s="59" t="s">
        <v>3487</v>
      </c>
      <c r="C1117" s="59" t="s">
        <v>1669</v>
      </c>
      <c r="D1117" s="59" t="s">
        <v>1407</v>
      </c>
      <c r="E1117" s="59" t="s">
        <v>31</v>
      </c>
    </row>
    <row r="1118" spans="1:5">
      <c r="A1118" s="59" t="s">
        <v>3488</v>
      </c>
      <c r="B1118" s="59" t="s">
        <v>3489</v>
      </c>
      <c r="C1118" s="59" t="s">
        <v>1669</v>
      </c>
      <c r="D1118" s="65" t="s">
        <v>598</v>
      </c>
      <c r="E1118" s="65" t="s">
        <v>71</v>
      </c>
    </row>
    <row r="1119" spans="1:5">
      <c r="A1119" s="59" t="s">
        <v>3490</v>
      </c>
      <c r="B1119" s="59" t="s">
        <v>3491</v>
      </c>
      <c r="C1119" s="59" t="s">
        <v>1669</v>
      </c>
      <c r="D1119" s="65" t="s">
        <v>598</v>
      </c>
      <c r="E1119" s="65" t="s">
        <v>71</v>
      </c>
    </row>
    <row r="1120" spans="1:5">
      <c r="A1120" s="59" t="s">
        <v>3492</v>
      </c>
      <c r="B1120" s="59" t="s">
        <v>3493</v>
      </c>
      <c r="C1120" s="59" t="s">
        <v>1669</v>
      </c>
      <c r="D1120" s="59" t="s">
        <v>1407</v>
      </c>
      <c r="E1120" s="59" t="s">
        <v>31</v>
      </c>
    </row>
    <row r="1121" spans="1:5">
      <c r="A1121" s="59" t="s">
        <v>3494</v>
      </c>
      <c r="B1121" s="59" t="s">
        <v>3495</v>
      </c>
      <c r="C1121" s="59" t="s">
        <v>1669</v>
      </c>
      <c r="D1121" s="59" t="s">
        <v>1371</v>
      </c>
      <c r="E1121" s="59" t="s">
        <v>71</v>
      </c>
    </row>
    <row r="1122" spans="1:5">
      <c r="A1122" s="59" t="s">
        <v>3496</v>
      </c>
      <c r="B1122" s="59" t="s">
        <v>3497</v>
      </c>
      <c r="C1122" s="59" t="s">
        <v>1669</v>
      </c>
      <c r="D1122" s="59" t="s">
        <v>1395</v>
      </c>
      <c r="E1122" s="59" t="s">
        <v>71</v>
      </c>
    </row>
    <row r="1123" spans="1:5">
      <c r="A1123" s="59" t="s">
        <v>3498</v>
      </c>
      <c r="B1123" s="59" t="s">
        <v>3499</v>
      </c>
      <c r="C1123" s="59" t="s">
        <v>1669</v>
      </c>
      <c r="D1123" s="59" t="s">
        <v>1371</v>
      </c>
      <c r="E1123" s="59" t="s">
        <v>71</v>
      </c>
    </row>
    <row r="1124" spans="1:5">
      <c r="A1124" s="59" t="s">
        <v>3500</v>
      </c>
      <c r="B1124" s="59" t="s">
        <v>3501</v>
      </c>
      <c r="C1124" s="59" t="s">
        <v>1669</v>
      </c>
      <c r="D1124" s="59" t="s">
        <v>1407</v>
      </c>
      <c r="E1124" s="59" t="s">
        <v>31</v>
      </c>
    </row>
    <row r="1125" spans="1:5">
      <c r="A1125" s="59" t="s">
        <v>3502</v>
      </c>
      <c r="B1125" s="59" t="s">
        <v>3503</v>
      </c>
      <c r="C1125" s="59" t="s">
        <v>1669</v>
      </c>
      <c r="D1125" s="59" t="s">
        <v>1458</v>
      </c>
      <c r="E1125" s="59" t="s">
        <v>71</v>
      </c>
    </row>
    <row r="1126" spans="1:5">
      <c r="A1126" s="59" t="s">
        <v>1011</v>
      </c>
      <c r="B1126" s="59" t="s">
        <v>3504</v>
      </c>
      <c r="C1126" s="59" t="s">
        <v>1669</v>
      </c>
      <c r="D1126" s="65" t="s">
        <v>598</v>
      </c>
      <c r="E1126" s="65" t="s">
        <v>71</v>
      </c>
    </row>
    <row r="1127" spans="1:5">
      <c r="A1127" s="59" t="s">
        <v>3505</v>
      </c>
      <c r="B1127" s="59" t="s">
        <v>3506</v>
      </c>
      <c r="C1127" s="59" t="s">
        <v>1669</v>
      </c>
      <c r="D1127" s="59" t="s">
        <v>1395</v>
      </c>
      <c r="E1127" s="59" t="s">
        <v>71</v>
      </c>
    </row>
    <row r="1128" spans="1:5">
      <c r="A1128" s="59" t="s">
        <v>3507</v>
      </c>
      <c r="B1128" s="59" t="s">
        <v>3508</v>
      </c>
      <c r="C1128" s="59" t="s">
        <v>1669</v>
      </c>
      <c r="D1128" s="59" t="s">
        <v>1477</v>
      </c>
      <c r="E1128" s="59" t="s">
        <v>1456</v>
      </c>
    </row>
    <row r="1129" spans="1:5">
      <c r="A1129" s="59" t="s">
        <v>3509</v>
      </c>
      <c r="B1129" s="59" t="s">
        <v>3510</v>
      </c>
      <c r="C1129" s="59" t="s">
        <v>1669</v>
      </c>
      <c r="D1129" s="59" t="s">
        <v>1455</v>
      </c>
      <c r="E1129" s="59" t="s">
        <v>71</v>
      </c>
    </row>
    <row r="1130" spans="1:5">
      <c r="A1130" s="59" t="s">
        <v>3511</v>
      </c>
      <c r="B1130" s="59" t="s">
        <v>3512</v>
      </c>
      <c r="C1130" s="59" t="s">
        <v>1669</v>
      </c>
      <c r="D1130" s="65" t="s">
        <v>0</v>
      </c>
      <c r="E1130" s="65" t="s">
        <v>122</v>
      </c>
    </row>
    <row r="1131" spans="1:5">
      <c r="A1131" s="59" t="s">
        <v>3513</v>
      </c>
      <c r="B1131" s="59" t="s">
        <v>3514</v>
      </c>
      <c r="C1131" s="59" t="s">
        <v>1669</v>
      </c>
      <c r="D1131" s="59" t="s">
        <v>1455</v>
      </c>
      <c r="E1131" s="59" t="s">
        <v>71</v>
      </c>
    </row>
    <row r="1132" spans="1:5">
      <c r="A1132" s="59" t="s">
        <v>3515</v>
      </c>
      <c r="B1132" s="59" t="s">
        <v>3516</v>
      </c>
      <c r="C1132" s="59" t="s">
        <v>1669</v>
      </c>
      <c r="D1132" s="59" t="s">
        <v>1455</v>
      </c>
      <c r="E1132" s="59" t="s">
        <v>71</v>
      </c>
    </row>
    <row r="1133" spans="1:5">
      <c r="A1133" s="59" t="s">
        <v>3517</v>
      </c>
      <c r="B1133" s="59" t="s">
        <v>3518</v>
      </c>
      <c r="C1133" s="59" t="s">
        <v>1669</v>
      </c>
      <c r="D1133" s="59" t="s">
        <v>1395</v>
      </c>
      <c r="E1133" s="59" t="s">
        <v>71</v>
      </c>
    </row>
    <row r="1134" spans="1:5">
      <c r="A1134" s="59" t="s">
        <v>3519</v>
      </c>
      <c r="B1134" s="59" t="s">
        <v>3520</v>
      </c>
      <c r="C1134" s="59" t="s">
        <v>1669</v>
      </c>
      <c r="D1134" s="59" t="s">
        <v>1407</v>
      </c>
      <c r="E1134" s="59" t="s">
        <v>31</v>
      </c>
    </row>
    <row r="1135" spans="1:5">
      <c r="A1135" s="59" t="s">
        <v>3521</v>
      </c>
      <c r="B1135" s="59" t="s">
        <v>3522</v>
      </c>
      <c r="C1135" s="59" t="s">
        <v>1669</v>
      </c>
      <c r="D1135" s="59" t="s">
        <v>1395</v>
      </c>
      <c r="E1135" s="59" t="s">
        <v>71</v>
      </c>
    </row>
    <row r="1136" spans="1:5">
      <c r="A1136" s="59" t="s">
        <v>3523</v>
      </c>
      <c r="B1136" s="59" t="s">
        <v>3524</v>
      </c>
      <c r="C1136" s="59" t="s">
        <v>1669</v>
      </c>
      <c r="D1136" s="59" t="s">
        <v>1407</v>
      </c>
      <c r="E1136" s="59" t="s">
        <v>71</v>
      </c>
    </row>
    <row r="1137" spans="1:5">
      <c r="A1137" s="59" t="s">
        <v>3525</v>
      </c>
      <c r="B1137" s="59" t="s">
        <v>3526</v>
      </c>
      <c r="C1137" s="59" t="s">
        <v>1669</v>
      </c>
      <c r="D1137" s="59" t="s">
        <v>0</v>
      </c>
      <c r="E1137" s="59" t="s">
        <v>122</v>
      </c>
    </row>
    <row r="1138" spans="1:5">
      <c r="A1138" s="59" t="s">
        <v>3527</v>
      </c>
      <c r="B1138" s="59" t="s">
        <v>3528</v>
      </c>
      <c r="C1138" s="59" t="s">
        <v>1669</v>
      </c>
      <c r="D1138" s="65" t="s">
        <v>1407</v>
      </c>
      <c r="E1138" s="65" t="s">
        <v>71</v>
      </c>
    </row>
    <row r="1139" spans="1:5">
      <c r="A1139" s="59" t="s">
        <v>3529</v>
      </c>
      <c r="B1139" s="59" t="s">
        <v>3530</v>
      </c>
      <c r="C1139" s="59" t="s">
        <v>1669</v>
      </c>
      <c r="D1139" s="59" t="s">
        <v>1477</v>
      </c>
      <c r="E1139" s="59" t="s">
        <v>1456</v>
      </c>
    </row>
    <row r="1140" spans="1:5">
      <c r="A1140" s="59" t="s">
        <v>3531</v>
      </c>
      <c r="B1140" s="59" t="s">
        <v>3532</v>
      </c>
      <c r="C1140" s="59" t="s">
        <v>1669</v>
      </c>
      <c r="D1140" s="59" t="s">
        <v>1455</v>
      </c>
      <c r="E1140" s="59" t="s">
        <v>71</v>
      </c>
    </row>
    <row r="1141" spans="1:5">
      <c r="A1141" s="59" t="s">
        <v>3533</v>
      </c>
      <c r="B1141" s="59" t="s">
        <v>3534</v>
      </c>
      <c r="C1141" s="59" t="s">
        <v>1669</v>
      </c>
      <c r="D1141" s="59" t="s">
        <v>1455</v>
      </c>
      <c r="E1141" s="59" t="s">
        <v>1456</v>
      </c>
    </row>
    <row r="1142" spans="1:5">
      <c r="A1142" s="59" t="s">
        <v>3535</v>
      </c>
      <c r="B1142" s="59" t="s">
        <v>3536</v>
      </c>
      <c r="C1142" s="59" t="s">
        <v>1669</v>
      </c>
      <c r="D1142" s="59" t="s">
        <v>1477</v>
      </c>
      <c r="E1142" s="59" t="s">
        <v>71</v>
      </c>
    </row>
    <row r="1143" spans="1:5">
      <c r="A1143" s="59" t="s">
        <v>768</v>
      </c>
      <c r="B1143" s="59" t="s">
        <v>769</v>
      </c>
      <c r="C1143" s="59" t="s">
        <v>1669</v>
      </c>
      <c r="D1143" s="59" t="s">
        <v>1395</v>
      </c>
      <c r="E1143" s="59" t="s">
        <v>71</v>
      </c>
    </row>
    <row r="1144" spans="1:5">
      <c r="A1144" s="59" t="s">
        <v>3537</v>
      </c>
      <c r="B1144" s="59" t="s">
        <v>3538</v>
      </c>
      <c r="C1144" s="59" t="s">
        <v>1669</v>
      </c>
      <c r="D1144" s="59" t="s">
        <v>1458</v>
      </c>
      <c r="E1144" s="59" t="s">
        <v>71</v>
      </c>
    </row>
    <row r="1145" spans="1:5">
      <c r="A1145" s="59" t="s">
        <v>3539</v>
      </c>
      <c r="B1145" s="59" t="s">
        <v>3540</v>
      </c>
      <c r="C1145" s="59" t="s">
        <v>1669</v>
      </c>
      <c r="D1145" s="59" t="s">
        <v>1455</v>
      </c>
      <c r="E1145" s="59" t="s">
        <v>1456</v>
      </c>
    </row>
    <row r="1146" spans="1:5">
      <c r="A1146" s="59" t="s">
        <v>3541</v>
      </c>
      <c r="B1146" s="59" t="s">
        <v>3542</v>
      </c>
      <c r="C1146" s="59" t="s">
        <v>1669</v>
      </c>
      <c r="D1146" s="65" t="s">
        <v>598</v>
      </c>
      <c r="E1146" s="65" t="s">
        <v>71</v>
      </c>
    </row>
    <row r="1147" spans="1:5">
      <c r="A1147" s="59" t="s">
        <v>3543</v>
      </c>
      <c r="B1147" s="59" t="s">
        <v>3544</v>
      </c>
      <c r="C1147" s="59" t="s">
        <v>1669</v>
      </c>
      <c r="D1147" s="59" t="s">
        <v>1371</v>
      </c>
      <c r="E1147" s="59" t="s">
        <v>71</v>
      </c>
    </row>
    <row r="1148" spans="1:5">
      <c r="A1148" s="59">
        <v>15017</v>
      </c>
      <c r="B1148" s="59" t="s">
        <v>3545</v>
      </c>
      <c r="C1148" s="59" t="s">
        <v>1669</v>
      </c>
      <c r="D1148" s="65" t="s">
        <v>0</v>
      </c>
      <c r="E1148" s="65" t="s">
        <v>122</v>
      </c>
    </row>
    <row r="1149" spans="1:5">
      <c r="A1149" s="59" t="s">
        <v>3546</v>
      </c>
      <c r="B1149" s="59" t="s">
        <v>3547</v>
      </c>
      <c r="C1149" s="59" t="s">
        <v>1669</v>
      </c>
      <c r="D1149" s="65" t="s">
        <v>0</v>
      </c>
      <c r="E1149" s="65" t="s">
        <v>122</v>
      </c>
    </row>
    <row r="1150" spans="1:5">
      <c r="A1150" s="59" t="s">
        <v>3548</v>
      </c>
      <c r="B1150" s="59" t="s">
        <v>3549</v>
      </c>
      <c r="C1150" s="59" t="s">
        <v>1669</v>
      </c>
      <c r="D1150" s="59" t="s">
        <v>1458</v>
      </c>
      <c r="E1150" s="59" t="s">
        <v>71</v>
      </c>
    </row>
    <row r="1151" spans="1:5">
      <c r="A1151" s="59" t="s">
        <v>3550</v>
      </c>
      <c r="B1151" s="59" t="s">
        <v>3551</v>
      </c>
      <c r="C1151" s="59" t="s">
        <v>1669</v>
      </c>
      <c r="D1151" s="65" t="s">
        <v>0</v>
      </c>
      <c r="E1151" s="65" t="s">
        <v>122</v>
      </c>
    </row>
    <row r="1152" spans="1:5">
      <c r="A1152" s="59" t="s">
        <v>3552</v>
      </c>
      <c r="B1152" s="59" t="s">
        <v>3553</v>
      </c>
      <c r="C1152" s="59" t="s">
        <v>1669</v>
      </c>
      <c r="D1152" s="59" t="s">
        <v>1477</v>
      </c>
      <c r="E1152" s="59" t="s">
        <v>71</v>
      </c>
    </row>
    <row r="1153" spans="1:5">
      <c r="A1153" s="59" t="s">
        <v>3554</v>
      </c>
      <c r="B1153" s="59" t="s">
        <v>3555</v>
      </c>
      <c r="C1153" s="59" t="s">
        <v>1669</v>
      </c>
      <c r="D1153" s="59" t="s">
        <v>1455</v>
      </c>
      <c r="E1153" s="59" t="s">
        <v>1456</v>
      </c>
    </row>
    <row r="1154" spans="1:5">
      <c r="A1154" s="59" t="s">
        <v>3556</v>
      </c>
      <c r="B1154" s="59" t="s">
        <v>3557</v>
      </c>
      <c r="C1154" s="59" t="s">
        <v>1669</v>
      </c>
      <c r="D1154" s="59" t="s">
        <v>1371</v>
      </c>
      <c r="E1154" s="59" t="s">
        <v>71</v>
      </c>
    </row>
    <row r="1155" spans="1:5">
      <c r="A1155" s="59" t="s">
        <v>3558</v>
      </c>
      <c r="B1155" s="59" t="s">
        <v>3559</v>
      </c>
      <c r="C1155" s="59" t="s">
        <v>1669</v>
      </c>
      <c r="D1155" s="59" t="s">
        <v>1477</v>
      </c>
      <c r="E1155" s="59" t="s">
        <v>71</v>
      </c>
    </row>
    <row r="1156" spans="1:5">
      <c r="A1156" s="59" t="s">
        <v>3560</v>
      </c>
      <c r="B1156" s="59" t="s">
        <v>3561</v>
      </c>
      <c r="C1156" s="59" t="s">
        <v>1669</v>
      </c>
      <c r="D1156" s="59" t="s">
        <v>1371</v>
      </c>
      <c r="E1156" s="59" t="s">
        <v>1456</v>
      </c>
    </row>
    <row r="1157" spans="1:5">
      <c r="A1157" s="59" t="s">
        <v>3562</v>
      </c>
      <c r="B1157" s="59" t="s">
        <v>3563</v>
      </c>
      <c r="C1157" s="59" t="s">
        <v>1669</v>
      </c>
      <c r="D1157" s="59" t="s">
        <v>1458</v>
      </c>
      <c r="E1157" s="59" t="s">
        <v>71</v>
      </c>
    </row>
    <row r="1158" spans="1:5">
      <c r="A1158" s="59" t="s">
        <v>3564</v>
      </c>
      <c r="B1158" s="59" t="s">
        <v>3565</v>
      </c>
      <c r="C1158" s="59" t="s">
        <v>1669</v>
      </c>
      <c r="D1158" s="59" t="s">
        <v>1458</v>
      </c>
      <c r="E1158" s="59" t="s">
        <v>71</v>
      </c>
    </row>
    <row r="1159" spans="1:5">
      <c r="A1159" s="59" t="s">
        <v>1016</v>
      </c>
      <c r="B1159" s="59" t="s">
        <v>3566</v>
      </c>
      <c r="C1159" s="59" t="s">
        <v>1669</v>
      </c>
      <c r="D1159" s="59" t="s">
        <v>1458</v>
      </c>
      <c r="E1159" s="59" t="s">
        <v>71</v>
      </c>
    </row>
    <row r="1160" spans="1:5">
      <c r="A1160" s="59" t="s">
        <v>3567</v>
      </c>
      <c r="B1160" s="59" t="s">
        <v>3568</v>
      </c>
      <c r="C1160" s="59" t="s">
        <v>1669</v>
      </c>
      <c r="D1160" s="59" t="s">
        <v>1455</v>
      </c>
      <c r="E1160" s="59" t="s">
        <v>1456</v>
      </c>
    </row>
    <row r="1161" spans="1:5">
      <c r="A1161" s="59" t="s">
        <v>3569</v>
      </c>
      <c r="B1161" s="59" t="s">
        <v>3570</v>
      </c>
      <c r="C1161" s="59" t="s">
        <v>1669</v>
      </c>
      <c r="D1161" s="59" t="s">
        <v>1477</v>
      </c>
      <c r="E1161" s="59" t="s">
        <v>71</v>
      </c>
    </row>
    <row r="1162" spans="1:5">
      <c r="A1162" s="59" t="s">
        <v>3571</v>
      </c>
      <c r="B1162" s="59" t="s">
        <v>3572</v>
      </c>
      <c r="C1162" s="59" t="s">
        <v>1669</v>
      </c>
      <c r="D1162" s="65" t="s">
        <v>0</v>
      </c>
      <c r="E1162" s="65" t="s">
        <v>122</v>
      </c>
    </row>
    <row r="1163" spans="1:5">
      <c r="A1163" s="59" t="s">
        <v>3573</v>
      </c>
      <c r="B1163" s="59" t="s">
        <v>3574</v>
      </c>
      <c r="C1163" s="59" t="s">
        <v>1669</v>
      </c>
      <c r="D1163" s="59" t="s">
        <v>1371</v>
      </c>
      <c r="E1163" s="59" t="s">
        <v>1456</v>
      </c>
    </row>
    <row r="1164" spans="1:5">
      <c r="A1164" s="59" t="s">
        <v>711</v>
      </c>
      <c r="B1164" s="59" t="s">
        <v>709</v>
      </c>
      <c r="C1164" s="59" t="s">
        <v>1669</v>
      </c>
      <c r="D1164" s="65" t="s">
        <v>1458</v>
      </c>
      <c r="E1164" s="65" t="s">
        <v>71</v>
      </c>
    </row>
    <row r="1165" spans="1:5">
      <c r="A1165" s="59" t="s">
        <v>3575</v>
      </c>
      <c r="B1165" s="59" t="s">
        <v>3576</v>
      </c>
      <c r="C1165" s="59" t="s">
        <v>1669</v>
      </c>
      <c r="D1165" s="59" t="s">
        <v>1371</v>
      </c>
      <c r="E1165" s="59" t="s">
        <v>71</v>
      </c>
    </row>
    <row r="1166" spans="1:5">
      <c r="A1166" s="59" t="s">
        <v>3577</v>
      </c>
      <c r="B1166" s="59" t="s">
        <v>3480</v>
      </c>
      <c r="C1166" s="59" t="s">
        <v>1669</v>
      </c>
      <c r="D1166" s="59" t="s">
        <v>1395</v>
      </c>
      <c r="E1166" s="59" t="s">
        <v>1456</v>
      </c>
    </row>
    <row r="1167" spans="1:5">
      <c r="A1167" s="59" t="s">
        <v>3578</v>
      </c>
      <c r="B1167" s="59" t="s">
        <v>3579</v>
      </c>
      <c r="C1167" s="59" t="s">
        <v>1669</v>
      </c>
      <c r="D1167" s="59" t="s">
        <v>1395</v>
      </c>
      <c r="E1167" s="59" t="s">
        <v>71</v>
      </c>
    </row>
    <row r="1168" spans="1:5">
      <c r="A1168" s="59" t="s">
        <v>3580</v>
      </c>
      <c r="B1168" s="59" t="s">
        <v>3581</v>
      </c>
      <c r="C1168" s="59" t="s">
        <v>1669</v>
      </c>
      <c r="D1168" s="59" t="s">
        <v>1395</v>
      </c>
      <c r="E1168" s="59" t="s">
        <v>71</v>
      </c>
    </row>
    <row r="1169" spans="1:5">
      <c r="A1169" s="59" t="s">
        <v>965</v>
      </c>
      <c r="B1169" s="59" t="s">
        <v>75</v>
      </c>
      <c r="C1169" s="59" t="s">
        <v>1669</v>
      </c>
      <c r="D1169" s="65" t="s">
        <v>1458</v>
      </c>
      <c r="E1169" s="65" t="s">
        <v>122</v>
      </c>
    </row>
    <row r="1170" spans="1:5">
      <c r="A1170" s="59" t="s">
        <v>3582</v>
      </c>
      <c r="B1170" s="59" t="s">
        <v>3583</v>
      </c>
      <c r="C1170" s="59" t="s">
        <v>1669</v>
      </c>
      <c r="D1170" s="59" t="s">
        <v>89</v>
      </c>
      <c r="E1170" s="59" t="s">
        <v>71</v>
      </c>
    </row>
    <row r="1171" spans="1:5">
      <c r="A1171" s="59" t="s">
        <v>3584</v>
      </c>
      <c r="B1171" s="59" t="s">
        <v>3585</v>
      </c>
      <c r="C1171" s="59" t="s">
        <v>1669</v>
      </c>
      <c r="D1171" s="59" t="s">
        <v>1477</v>
      </c>
      <c r="E1171" s="59" t="s">
        <v>71</v>
      </c>
    </row>
    <row r="1172" spans="1:5">
      <c r="A1172" s="59" t="s">
        <v>3586</v>
      </c>
      <c r="B1172" s="59" t="s">
        <v>3587</v>
      </c>
      <c r="C1172" s="59" t="s">
        <v>1669</v>
      </c>
      <c r="D1172" s="59" t="s">
        <v>1458</v>
      </c>
      <c r="E1172" s="59" t="s">
        <v>71</v>
      </c>
    </row>
    <row r="1173" spans="1:5">
      <c r="A1173" s="59" t="s">
        <v>3588</v>
      </c>
      <c r="B1173" s="59" t="s">
        <v>3589</v>
      </c>
      <c r="C1173" s="59" t="s">
        <v>1669</v>
      </c>
      <c r="D1173" s="65" t="s">
        <v>598</v>
      </c>
      <c r="E1173" s="65" t="s">
        <v>71</v>
      </c>
    </row>
    <row r="1174" spans="1:5">
      <c r="A1174" s="59" t="s">
        <v>3590</v>
      </c>
      <c r="B1174" s="59" t="s">
        <v>3591</v>
      </c>
      <c r="C1174" s="59" t="s">
        <v>1669</v>
      </c>
      <c r="D1174" s="59" t="s">
        <v>1458</v>
      </c>
      <c r="E1174" s="59" t="s">
        <v>71</v>
      </c>
    </row>
    <row r="1175" spans="1:5">
      <c r="A1175" s="59" t="s">
        <v>3592</v>
      </c>
      <c r="B1175" s="59" t="s">
        <v>3593</v>
      </c>
      <c r="C1175" s="59" t="s">
        <v>1669</v>
      </c>
      <c r="D1175" s="59" t="s">
        <v>1371</v>
      </c>
      <c r="E1175" s="59" t="s">
        <v>71</v>
      </c>
    </row>
    <row r="1176" spans="1:5">
      <c r="A1176" s="59" t="s">
        <v>3594</v>
      </c>
      <c r="B1176" s="59" t="s">
        <v>3595</v>
      </c>
      <c r="C1176" s="59" t="s">
        <v>1669</v>
      </c>
      <c r="D1176" s="59" t="s">
        <v>1458</v>
      </c>
      <c r="E1176" s="59" t="s">
        <v>1456</v>
      </c>
    </row>
    <row r="1177" spans="1:5">
      <c r="A1177" s="59" t="s">
        <v>3596</v>
      </c>
      <c r="B1177" s="59" t="s">
        <v>3597</v>
      </c>
      <c r="C1177" s="59" t="s">
        <v>1669</v>
      </c>
      <c r="D1177" s="65" t="s">
        <v>598</v>
      </c>
      <c r="E1177" s="65" t="s">
        <v>71</v>
      </c>
    </row>
    <row r="1178" spans="1:5">
      <c r="A1178" s="59" t="s">
        <v>997</v>
      </c>
      <c r="B1178" s="59" t="s">
        <v>3598</v>
      </c>
      <c r="C1178" s="59" t="s">
        <v>1669</v>
      </c>
      <c r="D1178" s="59" t="s">
        <v>1455</v>
      </c>
      <c r="E1178" s="59" t="s">
        <v>71</v>
      </c>
    </row>
    <row r="1179" spans="1:5">
      <c r="A1179" s="59" t="s">
        <v>3599</v>
      </c>
      <c r="B1179" s="59" t="s">
        <v>3600</v>
      </c>
      <c r="C1179" s="59" t="s">
        <v>1669</v>
      </c>
      <c r="D1179" s="59" t="s">
        <v>1477</v>
      </c>
      <c r="E1179" s="59" t="s">
        <v>71</v>
      </c>
    </row>
    <row r="1180" spans="1:5">
      <c r="A1180" s="59" t="s">
        <v>3601</v>
      </c>
      <c r="B1180" s="59" t="s">
        <v>3602</v>
      </c>
      <c r="C1180" s="59" t="s">
        <v>1669</v>
      </c>
      <c r="D1180" s="59" t="s">
        <v>1371</v>
      </c>
      <c r="E1180" s="59" t="s">
        <v>71</v>
      </c>
    </row>
    <row r="1181" spans="1:5">
      <c r="A1181" s="59" t="s">
        <v>3603</v>
      </c>
      <c r="B1181" s="59" t="s">
        <v>3604</v>
      </c>
      <c r="C1181" s="59" t="s">
        <v>1669</v>
      </c>
      <c r="D1181" s="59" t="s">
        <v>1395</v>
      </c>
      <c r="E1181" s="59" t="s">
        <v>71</v>
      </c>
    </row>
    <row r="1182" spans="1:5">
      <c r="A1182" s="59" t="s">
        <v>3605</v>
      </c>
      <c r="B1182" s="59" t="s">
        <v>3606</v>
      </c>
      <c r="C1182" s="59" t="s">
        <v>1669</v>
      </c>
      <c r="D1182" s="59" t="s">
        <v>1407</v>
      </c>
      <c r="E1182" s="59" t="s">
        <v>31</v>
      </c>
    </row>
    <row r="1183" spans="1:5">
      <c r="A1183" s="59" t="s">
        <v>3607</v>
      </c>
      <c r="B1183" s="59" t="s">
        <v>3608</v>
      </c>
      <c r="C1183" s="59" t="s">
        <v>1669</v>
      </c>
      <c r="D1183" s="59" t="s">
        <v>1395</v>
      </c>
      <c r="E1183" s="59" t="s">
        <v>1456</v>
      </c>
    </row>
    <row r="1184" spans="1:5">
      <c r="A1184" s="59" t="s">
        <v>3609</v>
      </c>
      <c r="B1184" s="59" t="s">
        <v>3610</v>
      </c>
      <c r="C1184" s="59" t="s">
        <v>1669</v>
      </c>
      <c r="D1184" s="65" t="s">
        <v>1455</v>
      </c>
      <c r="E1184" s="65" t="s">
        <v>71</v>
      </c>
    </row>
    <row r="1185" spans="1:5">
      <c r="A1185" s="59"/>
      <c r="B1185" s="59" t="s">
        <v>3611</v>
      </c>
      <c r="C1185" s="59" t="s">
        <v>1669</v>
      </c>
      <c r="D1185" s="65" t="s">
        <v>0</v>
      </c>
      <c r="E1185" s="65" t="s">
        <v>122</v>
      </c>
    </row>
    <row r="1186" spans="1:5">
      <c r="A1186" s="59">
        <v>5214</v>
      </c>
      <c r="B1186" s="59" t="s">
        <v>3612</v>
      </c>
      <c r="C1186" s="59" t="s">
        <v>1669</v>
      </c>
      <c r="D1186" s="65" t="s">
        <v>0</v>
      </c>
      <c r="E1186" s="65" t="s">
        <v>122</v>
      </c>
    </row>
    <row r="1187" spans="1:5">
      <c r="A1187" s="59" t="s">
        <v>3613</v>
      </c>
      <c r="B1187" s="59" t="s">
        <v>3614</v>
      </c>
      <c r="C1187" s="59" t="s">
        <v>1669</v>
      </c>
      <c r="D1187" s="59" t="s">
        <v>1371</v>
      </c>
      <c r="E1187" s="59" t="s">
        <v>71</v>
      </c>
    </row>
    <row r="1188" spans="1:5">
      <c r="A1188" s="59" t="s">
        <v>3615</v>
      </c>
      <c r="B1188" s="59" t="s">
        <v>3616</v>
      </c>
      <c r="C1188" s="59" t="s">
        <v>1669</v>
      </c>
      <c r="D1188" s="59" t="s">
        <v>1477</v>
      </c>
      <c r="E1188" s="59" t="s">
        <v>1456</v>
      </c>
    </row>
    <row r="1189" spans="1:5">
      <c r="A1189" s="59" t="s">
        <v>3617</v>
      </c>
      <c r="B1189" s="59" t="s">
        <v>3618</v>
      </c>
      <c r="C1189" s="59" t="s">
        <v>1669</v>
      </c>
      <c r="D1189" s="59" t="s">
        <v>1395</v>
      </c>
      <c r="E1189" s="59" t="s">
        <v>71</v>
      </c>
    </row>
    <row r="1190" spans="1:5">
      <c r="A1190" s="59" t="s">
        <v>3619</v>
      </c>
      <c r="B1190" s="59" t="s">
        <v>3620</v>
      </c>
      <c r="C1190" s="59" t="s">
        <v>1669</v>
      </c>
      <c r="D1190" s="59" t="s">
        <v>1477</v>
      </c>
      <c r="E1190" s="59" t="s">
        <v>71</v>
      </c>
    </row>
    <row r="1191" spans="1:5">
      <c r="A1191" s="59" t="s">
        <v>3621</v>
      </c>
      <c r="B1191" s="59" t="s">
        <v>3622</v>
      </c>
      <c r="C1191" s="59" t="s">
        <v>1669</v>
      </c>
      <c r="D1191" s="59" t="s">
        <v>1477</v>
      </c>
      <c r="E1191" s="59" t="s">
        <v>71</v>
      </c>
    </row>
    <row r="1192" spans="1:5">
      <c r="A1192" s="59" t="s">
        <v>3623</v>
      </c>
      <c r="B1192" s="59" t="s">
        <v>3624</v>
      </c>
      <c r="C1192" s="59" t="s">
        <v>1669</v>
      </c>
      <c r="D1192" s="65" t="s">
        <v>0</v>
      </c>
      <c r="E1192" s="65" t="s">
        <v>122</v>
      </c>
    </row>
    <row r="1193" spans="1:5">
      <c r="A1193" s="59" t="s">
        <v>3625</v>
      </c>
      <c r="B1193" s="59" t="s">
        <v>3626</v>
      </c>
      <c r="C1193" s="59" t="s">
        <v>1669</v>
      </c>
      <c r="D1193" s="59" t="s">
        <v>1458</v>
      </c>
      <c r="E1193" s="59" t="s">
        <v>71</v>
      </c>
    </row>
    <row r="1194" spans="1:5">
      <c r="A1194" s="59" t="s">
        <v>3627</v>
      </c>
      <c r="B1194" s="59" t="s">
        <v>3628</v>
      </c>
      <c r="C1194" s="59" t="s">
        <v>1669</v>
      </c>
      <c r="D1194" s="59" t="s">
        <v>1371</v>
      </c>
      <c r="E1194" s="59" t="s">
        <v>71</v>
      </c>
    </row>
    <row r="1195" spans="1:5">
      <c r="A1195" s="59" t="s">
        <v>3629</v>
      </c>
      <c r="B1195" s="59" t="s">
        <v>3630</v>
      </c>
      <c r="C1195" s="59" t="s">
        <v>1669</v>
      </c>
      <c r="D1195" s="59" t="s">
        <v>1458</v>
      </c>
      <c r="E1195" s="59" t="s">
        <v>1456</v>
      </c>
    </row>
    <row r="1196" spans="1:5">
      <c r="A1196" s="59" t="s">
        <v>3631</v>
      </c>
      <c r="B1196" s="59" t="s">
        <v>3632</v>
      </c>
      <c r="C1196" s="59" t="s">
        <v>1669</v>
      </c>
      <c r="D1196" s="65" t="s">
        <v>1477</v>
      </c>
      <c r="E1196" s="65" t="s">
        <v>71</v>
      </c>
    </row>
    <row r="1197" spans="1:5">
      <c r="A1197" s="59" t="s">
        <v>3633</v>
      </c>
      <c r="B1197" s="59" t="s">
        <v>3634</v>
      </c>
      <c r="C1197" s="59" t="s">
        <v>1669</v>
      </c>
      <c r="D1197" s="59" t="s">
        <v>1455</v>
      </c>
      <c r="E1197" s="59" t="s">
        <v>71</v>
      </c>
    </row>
    <row r="1198" spans="1:5">
      <c r="A1198" s="59" t="s">
        <v>3635</v>
      </c>
      <c r="B1198" s="59" t="s">
        <v>3636</v>
      </c>
      <c r="C1198" s="59" t="s">
        <v>1669</v>
      </c>
      <c r="D1198" s="59" t="s">
        <v>1455</v>
      </c>
      <c r="E1198" s="59" t="s">
        <v>1456</v>
      </c>
    </row>
    <row r="1199" spans="1:5">
      <c r="A1199" s="59" t="s">
        <v>3637</v>
      </c>
      <c r="B1199" s="59" t="s">
        <v>396</v>
      </c>
      <c r="C1199" s="59" t="s">
        <v>1669</v>
      </c>
      <c r="D1199" s="65" t="s">
        <v>1407</v>
      </c>
      <c r="E1199" s="65" t="s">
        <v>31</v>
      </c>
    </row>
    <row r="1200" spans="1:5">
      <c r="A1200" s="59" t="s">
        <v>405</v>
      </c>
      <c r="B1200" s="59" t="s">
        <v>396</v>
      </c>
      <c r="C1200" s="59" t="s">
        <v>1669</v>
      </c>
      <c r="D1200" s="59" t="s">
        <v>89</v>
      </c>
      <c r="E1200" s="59" t="s">
        <v>71</v>
      </c>
    </row>
    <row r="1201" spans="1:5">
      <c r="A1201" s="59" t="s">
        <v>3638</v>
      </c>
      <c r="B1201" s="59" t="s">
        <v>3639</v>
      </c>
      <c r="C1201" s="59" t="s">
        <v>1669</v>
      </c>
      <c r="D1201" s="59" t="s">
        <v>1455</v>
      </c>
      <c r="E1201" s="59" t="s">
        <v>71</v>
      </c>
    </row>
    <row r="1202" spans="1:5">
      <c r="A1202" s="59" t="s">
        <v>3640</v>
      </c>
      <c r="B1202" s="59" t="s">
        <v>3641</v>
      </c>
      <c r="C1202" s="59" t="s">
        <v>1669</v>
      </c>
      <c r="D1202" s="59" t="s">
        <v>1477</v>
      </c>
      <c r="E1202" s="59" t="s">
        <v>71</v>
      </c>
    </row>
    <row r="1203" spans="1:5">
      <c r="A1203" s="59" t="s">
        <v>3642</v>
      </c>
      <c r="B1203" s="59" t="s">
        <v>3643</v>
      </c>
      <c r="C1203" s="59" t="s">
        <v>1669</v>
      </c>
      <c r="D1203" s="59" t="s">
        <v>1455</v>
      </c>
      <c r="E1203" s="59" t="s">
        <v>71</v>
      </c>
    </row>
    <row r="1204" spans="1:5">
      <c r="A1204" s="59" t="s">
        <v>3644</v>
      </c>
      <c r="B1204" s="59" t="s">
        <v>3645</v>
      </c>
      <c r="C1204" s="59" t="s">
        <v>1669</v>
      </c>
      <c r="D1204" s="65" t="s">
        <v>1395</v>
      </c>
      <c r="E1204" s="65" t="s">
        <v>71</v>
      </c>
    </row>
    <row r="1205" spans="1:5">
      <c r="A1205" s="59" t="s">
        <v>3646</v>
      </c>
      <c r="B1205" s="59" t="s">
        <v>3647</v>
      </c>
      <c r="C1205" s="59" t="s">
        <v>1669</v>
      </c>
      <c r="D1205" s="59" t="s">
        <v>1458</v>
      </c>
      <c r="E1205" s="59" t="s">
        <v>71</v>
      </c>
    </row>
    <row r="1206" spans="1:5">
      <c r="A1206" s="59" t="s">
        <v>3648</v>
      </c>
      <c r="B1206" s="59" t="s">
        <v>3649</v>
      </c>
      <c r="C1206" s="59" t="s">
        <v>1669</v>
      </c>
      <c r="D1206" s="59" t="s">
        <v>1455</v>
      </c>
      <c r="E1206" s="59" t="s">
        <v>71</v>
      </c>
    </row>
    <row r="1207" spans="1:5">
      <c r="A1207" s="59" t="s">
        <v>3650</v>
      </c>
      <c r="B1207" s="59" t="s">
        <v>3651</v>
      </c>
      <c r="C1207" s="59" t="s">
        <v>1669</v>
      </c>
      <c r="D1207" s="59" t="s">
        <v>1477</v>
      </c>
      <c r="E1207" s="59" t="s">
        <v>71</v>
      </c>
    </row>
    <row r="1208" spans="1:5">
      <c r="A1208" s="59" t="s">
        <v>3652</v>
      </c>
      <c r="B1208" s="59" t="s">
        <v>3653</v>
      </c>
      <c r="C1208" s="59" t="s">
        <v>1669</v>
      </c>
      <c r="D1208" s="59" t="s">
        <v>1458</v>
      </c>
      <c r="E1208" s="59" t="s">
        <v>1456</v>
      </c>
    </row>
    <row r="1209" spans="1:5">
      <c r="A1209" s="59" t="s">
        <v>3654</v>
      </c>
      <c r="B1209" s="59" t="s">
        <v>3655</v>
      </c>
      <c r="C1209" s="59" t="s">
        <v>1669</v>
      </c>
      <c r="D1209" s="65" t="s">
        <v>1395</v>
      </c>
      <c r="E1209" s="65" t="s">
        <v>71</v>
      </c>
    </row>
    <row r="1210" spans="1:5">
      <c r="A1210" s="59" t="s">
        <v>3656</v>
      </c>
      <c r="B1210" s="59" t="s">
        <v>3657</v>
      </c>
      <c r="C1210" s="59" t="s">
        <v>1669</v>
      </c>
      <c r="D1210" s="59" t="s">
        <v>1395</v>
      </c>
      <c r="E1210" s="59" t="s">
        <v>71</v>
      </c>
    </row>
    <row r="1211" spans="1:5">
      <c r="A1211" s="59" t="s">
        <v>503</v>
      </c>
      <c r="B1211" s="59" t="s">
        <v>504</v>
      </c>
      <c r="C1211" s="59" t="s">
        <v>1669</v>
      </c>
      <c r="D1211" s="59" t="s">
        <v>1395</v>
      </c>
      <c r="E1211" s="59" t="s">
        <v>71</v>
      </c>
    </row>
    <row r="1212" spans="1:5">
      <c r="A1212" s="59" t="s">
        <v>299</v>
      </c>
      <c r="B1212" s="59" t="s">
        <v>300</v>
      </c>
      <c r="C1212" s="59" t="s">
        <v>1669</v>
      </c>
      <c r="D1212" s="59" t="s">
        <v>1458</v>
      </c>
      <c r="E1212" s="59" t="s">
        <v>71</v>
      </c>
    </row>
    <row r="1213" spans="1:5">
      <c r="A1213" s="59" t="s">
        <v>3658</v>
      </c>
      <c r="B1213" s="59" t="s">
        <v>3659</v>
      </c>
      <c r="C1213" s="59" t="s">
        <v>1669</v>
      </c>
      <c r="D1213" s="59" t="s">
        <v>1477</v>
      </c>
      <c r="E1213" s="59" t="s">
        <v>71</v>
      </c>
    </row>
    <row r="1214" spans="1:5">
      <c r="A1214" s="59" t="s">
        <v>3660</v>
      </c>
      <c r="B1214" s="59" t="s">
        <v>3661</v>
      </c>
      <c r="C1214" s="59" t="s">
        <v>1669</v>
      </c>
      <c r="D1214" s="59" t="s">
        <v>1477</v>
      </c>
      <c r="E1214" s="59" t="s">
        <v>71</v>
      </c>
    </row>
    <row r="1215" spans="1:5">
      <c r="A1215" s="59" t="s">
        <v>3662</v>
      </c>
      <c r="B1215" s="59" t="s">
        <v>3663</v>
      </c>
      <c r="C1215" s="59" t="s">
        <v>1669</v>
      </c>
      <c r="D1215" s="59" t="s">
        <v>1477</v>
      </c>
      <c r="E1215" s="59" t="s">
        <v>71</v>
      </c>
    </row>
    <row r="1216" spans="1:5">
      <c r="A1216" s="59" t="s">
        <v>3664</v>
      </c>
      <c r="B1216" s="59" t="s">
        <v>3665</v>
      </c>
      <c r="C1216" s="59" t="s">
        <v>1669</v>
      </c>
      <c r="D1216" s="59" t="s">
        <v>1371</v>
      </c>
      <c r="E1216" s="59" t="s">
        <v>1456</v>
      </c>
    </row>
    <row r="1217" spans="1:5">
      <c r="A1217" s="59" t="s">
        <v>3666</v>
      </c>
      <c r="B1217" s="59" t="s">
        <v>3667</v>
      </c>
      <c r="C1217" s="59" t="s">
        <v>1669</v>
      </c>
      <c r="D1217" s="59" t="s">
        <v>1455</v>
      </c>
      <c r="E1217" s="59" t="s">
        <v>71</v>
      </c>
    </row>
    <row r="1218" spans="1:5">
      <c r="A1218" s="59" t="s">
        <v>3668</v>
      </c>
      <c r="B1218" s="59" t="s">
        <v>3669</v>
      </c>
      <c r="C1218" s="59" t="s">
        <v>1669</v>
      </c>
      <c r="D1218" s="59" t="s">
        <v>1477</v>
      </c>
      <c r="E1218" s="59" t="s">
        <v>71</v>
      </c>
    </row>
    <row r="1219" spans="1:5">
      <c r="A1219" s="59" t="s">
        <v>3670</v>
      </c>
      <c r="B1219" s="59" t="s">
        <v>3671</v>
      </c>
      <c r="C1219" s="59" t="s">
        <v>1669</v>
      </c>
      <c r="D1219" s="59" t="s">
        <v>1371</v>
      </c>
      <c r="E1219" s="59" t="s">
        <v>71</v>
      </c>
    </row>
    <row r="1220" spans="1:5">
      <c r="A1220" s="59" t="s">
        <v>3672</v>
      </c>
      <c r="B1220" s="59" t="s">
        <v>3673</v>
      </c>
      <c r="C1220" s="59" t="s">
        <v>1669</v>
      </c>
      <c r="D1220" s="59" t="s">
        <v>1371</v>
      </c>
      <c r="E1220" s="59" t="s">
        <v>71</v>
      </c>
    </row>
    <row r="1221" spans="1:5">
      <c r="A1221" s="59" t="s">
        <v>3674</v>
      </c>
      <c r="B1221" s="59" t="s">
        <v>3675</v>
      </c>
      <c r="C1221" s="59" t="s">
        <v>1669</v>
      </c>
      <c r="D1221" s="59" t="s">
        <v>1371</v>
      </c>
      <c r="E1221" s="59" t="s">
        <v>1456</v>
      </c>
    </row>
    <row r="1222" spans="1:5">
      <c r="A1222" s="59" t="s">
        <v>3676</v>
      </c>
      <c r="B1222" s="59" t="s">
        <v>3677</v>
      </c>
      <c r="C1222" s="59" t="s">
        <v>1669</v>
      </c>
      <c r="D1222" s="59" t="s">
        <v>1458</v>
      </c>
      <c r="E1222" s="59" t="s">
        <v>71</v>
      </c>
    </row>
    <row r="1223" spans="1:5">
      <c r="A1223" s="59" t="s">
        <v>3678</v>
      </c>
      <c r="B1223" s="59" t="s">
        <v>3679</v>
      </c>
      <c r="C1223" s="59" t="s">
        <v>1669</v>
      </c>
      <c r="D1223" s="59" t="s">
        <v>1395</v>
      </c>
      <c r="E1223" s="59" t="s">
        <v>71</v>
      </c>
    </row>
    <row r="1224" spans="1:5">
      <c r="A1224" s="59" t="s">
        <v>3680</v>
      </c>
      <c r="B1224" s="59" t="s">
        <v>3681</v>
      </c>
      <c r="C1224" s="59" t="s">
        <v>1669</v>
      </c>
      <c r="D1224" s="59" t="s">
        <v>1458</v>
      </c>
      <c r="E1224" s="59" t="s">
        <v>71</v>
      </c>
    </row>
    <row r="1225" spans="1:5">
      <c r="A1225" s="59" t="s">
        <v>3682</v>
      </c>
      <c r="B1225" s="59" t="s">
        <v>3683</v>
      </c>
      <c r="C1225" s="59" t="s">
        <v>1669</v>
      </c>
      <c r="D1225" s="59" t="s">
        <v>1371</v>
      </c>
      <c r="E1225" s="59" t="s">
        <v>71</v>
      </c>
    </row>
    <row r="1226" spans="1:5">
      <c r="A1226" s="59" t="s">
        <v>3684</v>
      </c>
      <c r="B1226" s="59" t="s">
        <v>3685</v>
      </c>
      <c r="C1226" s="59" t="s">
        <v>1669</v>
      </c>
      <c r="D1226" s="59" t="s">
        <v>1458</v>
      </c>
      <c r="E1226" s="59" t="s">
        <v>71</v>
      </c>
    </row>
    <row r="1227" spans="1:5">
      <c r="A1227" s="59" t="s">
        <v>3686</v>
      </c>
      <c r="B1227" s="59" t="s">
        <v>3687</v>
      </c>
      <c r="C1227" s="59" t="s">
        <v>1669</v>
      </c>
      <c r="D1227" s="59" t="s">
        <v>1458</v>
      </c>
      <c r="E1227" s="59" t="s">
        <v>71</v>
      </c>
    </row>
    <row r="1228" spans="1:5">
      <c r="A1228" s="59" t="s">
        <v>3688</v>
      </c>
      <c r="B1228" s="59" t="s">
        <v>3689</v>
      </c>
      <c r="C1228" s="59" t="s">
        <v>1669</v>
      </c>
      <c r="D1228" s="59" t="s">
        <v>1458</v>
      </c>
      <c r="E1228" s="59" t="s">
        <v>71</v>
      </c>
    </row>
    <row r="1229" spans="1:5">
      <c r="A1229" s="59" t="s">
        <v>3690</v>
      </c>
      <c r="B1229" s="59" t="s">
        <v>3691</v>
      </c>
      <c r="C1229" s="59" t="s">
        <v>1669</v>
      </c>
      <c r="D1229" s="59" t="s">
        <v>1455</v>
      </c>
      <c r="E1229" s="59" t="s">
        <v>71</v>
      </c>
    </row>
    <row r="1230" spans="1:5">
      <c r="A1230" s="59" t="s">
        <v>3692</v>
      </c>
      <c r="B1230" s="59" t="s">
        <v>3693</v>
      </c>
      <c r="C1230" s="59" t="s">
        <v>1669</v>
      </c>
      <c r="D1230" s="65" t="s">
        <v>1395</v>
      </c>
      <c r="E1230" s="65" t="s">
        <v>71</v>
      </c>
    </row>
    <row r="1231" spans="1:5">
      <c r="A1231" s="59" t="s">
        <v>3694</v>
      </c>
      <c r="B1231" s="59" t="s">
        <v>3695</v>
      </c>
      <c r="C1231" s="59" t="s">
        <v>1669</v>
      </c>
      <c r="D1231" s="59" t="s">
        <v>1458</v>
      </c>
      <c r="E1231" s="59" t="s">
        <v>71</v>
      </c>
    </row>
    <row r="1232" spans="1:5">
      <c r="A1232" s="59" t="s">
        <v>3696</v>
      </c>
      <c r="B1232" s="59" t="s">
        <v>3697</v>
      </c>
      <c r="C1232" s="59" t="s">
        <v>1669</v>
      </c>
      <c r="D1232" s="59" t="s">
        <v>1371</v>
      </c>
      <c r="E1232" s="59" t="s">
        <v>71</v>
      </c>
    </row>
    <row r="1233" spans="1:5">
      <c r="A1233" s="59" t="s">
        <v>3698</v>
      </c>
      <c r="B1233" s="59" t="s">
        <v>3699</v>
      </c>
      <c r="C1233" s="59" t="s">
        <v>1669</v>
      </c>
      <c r="D1233" s="59" t="s">
        <v>1395</v>
      </c>
      <c r="E1233" s="59" t="s">
        <v>71</v>
      </c>
    </row>
    <row r="1234" spans="1:5">
      <c r="A1234" s="59" t="s">
        <v>3700</v>
      </c>
      <c r="B1234" s="59" t="s">
        <v>3699</v>
      </c>
      <c r="C1234" s="59" t="s">
        <v>1669</v>
      </c>
      <c r="D1234" s="59" t="s">
        <v>1395</v>
      </c>
      <c r="E1234" s="59" t="s">
        <v>71</v>
      </c>
    </row>
    <row r="1235" spans="1:5">
      <c r="A1235" s="59" t="s">
        <v>3701</v>
      </c>
      <c r="B1235" s="59" t="s">
        <v>3702</v>
      </c>
      <c r="C1235" s="59" t="s">
        <v>1669</v>
      </c>
      <c r="D1235" s="59" t="s">
        <v>1395</v>
      </c>
      <c r="E1235" s="59" t="s">
        <v>71</v>
      </c>
    </row>
    <row r="1236" spans="1:5">
      <c r="A1236" s="59" t="s">
        <v>3703</v>
      </c>
      <c r="B1236" s="59" t="s">
        <v>3704</v>
      </c>
      <c r="C1236" s="59" t="s">
        <v>1669</v>
      </c>
      <c r="D1236" s="59" t="s">
        <v>1455</v>
      </c>
      <c r="E1236" s="59" t="s">
        <v>71</v>
      </c>
    </row>
    <row r="1237" spans="1:5">
      <c r="A1237" s="59" t="s">
        <v>3705</v>
      </c>
      <c r="B1237" s="59" t="s">
        <v>3706</v>
      </c>
      <c r="C1237" s="59" t="s">
        <v>1669</v>
      </c>
      <c r="D1237" s="65" t="s">
        <v>598</v>
      </c>
      <c r="E1237" s="65" t="s">
        <v>71</v>
      </c>
    </row>
    <row r="1238" spans="1:5">
      <c r="A1238" s="59" t="s">
        <v>3707</v>
      </c>
      <c r="B1238" s="59" t="s">
        <v>3708</v>
      </c>
      <c r="C1238" s="59" t="s">
        <v>1669</v>
      </c>
      <c r="D1238" s="59" t="s">
        <v>1458</v>
      </c>
      <c r="E1238" s="59" t="s">
        <v>71</v>
      </c>
    </row>
    <row r="1239" spans="1:5">
      <c r="A1239" s="59" t="s">
        <v>3709</v>
      </c>
      <c r="B1239" s="59" t="s">
        <v>3710</v>
      </c>
      <c r="C1239" s="59" t="s">
        <v>1669</v>
      </c>
      <c r="D1239" s="59" t="s">
        <v>1477</v>
      </c>
      <c r="E1239" s="59" t="s">
        <v>1456</v>
      </c>
    </row>
    <row r="1240" spans="1:5">
      <c r="A1240" s="59" t="s">
        <v>3711</v>
      </c>
      <c r="B1240" s="59" t="s">
        <v>3712</v>
      </c>
      <c r="C1240" s="59" t="s">
        <v>1669</v>
      </c>
      <c r="D1240" s="59" t="s">
        <v>1407</v>
      </c>
      <c r="E1240" s="59" t="s">
        <v>31</v>
      </c>
    </row>
    <row r="1241" spans="1:5">
      <c r="A1241" s="59">
        <v>9201</v>
      </c>
      <c r="B1241" s="59" t="s">
        <v>3713</v>
      </c>
      <c r="C1241" s="59" t="s">
        <v>1669</v>
      </c>
      <c r="D1241" s="65" t="s">
        <v>0</v>
      </c>
      <c r="E1241" s="65" t="s">
        <v>122</v>
      </c>
    </row>
    <row r="1242" spans="1:5">
      <c r="A1242" s="59" t="s">
        <v>104</v>
      </c>
      <c r="B1242" s="59" t="s">
        <v>105</v>
      </c>
      <c r="C1242" s="59" t="s">
        <v>1669</v>
      </c>
      <c r="D1242" s="59" t="s">
        <v>1395</v>
      </c>
      <c r="E1242" s="59" t="s">
        <v>71</v>
      </c>
    </row>
    <row r="1243" spans="1:5">
      <c r="A1243" s="59" t="s">
        <v>3714</v>
      </c>
      <c r="B1243" s="59" t="s">
        <v>3715</v>
      </c>
      <c r="C1243" s="59" t="s">
        <v>1669</v>
      </c>
      <c r="D1243" s="65" t="s">
        <v>1458</v>
      </c>
      <c r="E1243" s="65" t="s">
        <v>71</v>
      </c>
    </row>
    <row r="1244" spans="1:5">
      <c r="A1244" s="59" t="s">
        <v>3716</v>
      </c>
      <c r="B1244" s="59" t="s">
        <v>3717</v>
      </c>
      <c r="C1244" s="59" t="s">
        <v>1669</v>
      </c>
      <c r="D1244" s="59" t="s">
        <v>1407</v>
      </c>
      <c r="E1244" s="59" t="s">
        <v>31</v>
      </c>
    </row>
    <row r="1245" spans="1:5">
      <c r="A1245" s="59" t="s">
        <v>3718</v>
      </c>
      <c r="B1245" s="59" t="s">
        <v>3719</v>
      </c>
      <c r="C1245" s="59" t="s">
        <v>1669</v>
      </c>
      <c r="D1245" s="59" t="s">
        <v>89</v>
      </c>
      <c r="E1245" s="59" t="s">
        <v>71</v>
      </c>
    </row>
    <row r="1246" spans="1:5">
      <c r="A1246" s="59" t="s">
        <v>3720</v>
      </c>
      <c r="B1246" s="59" t="s">
        <v>3721</v>
      </c>
      <c r="C1246" s="59" t="s">
        <v>1669</v>
      </c>
      <c r="D1246" s="59" t="s">
        <v>1458</v>
      </c>
      <c r="E1246" s="59" t="s">
        <v>71</v>
      </c>
    </row>
    <row r="1247" spans="1:5">
      <c r="A1247" s="59" t="s">
        <v>3722</v>
      </c>
      <c r="B1247" s="59" t="s">
        <v>3723</v>
      </c>
      <c r="C1247" s="59" t="s">
        <v>1669</v>
      </c>
      <c r="D1247" s="59" t="s">
        <v>1458</v>
      </c>
      <c r="E1247" s="59" t="s">
        <v>71</v>
      </c>
    </row>
    <row r="1248" spans="1:5">
      <c r="A1248" s="59" t="s">
        <v>3724</v>
      </c>
      <c r="B1248" s="59" t="s">
        <v>3725</v>
      </c>
      <c r="C1248" s="59" t="s">
        <v>1669</v>
      </c>
      <c r="D1248" s="59" t="s">
        <v>1371</v>
      </c>
      <c r="E1248" s="59" t="s">
        <v>71</v>
      </c>
    </row>
    <row r="1249" spans="1:5">
      <c r="A1249" s="59" t="s">
        <v>3726</v>
      </c>
      <c r="B1249" s="59" t="s">
        <v>3727</v>
      </c>
      <c r="C1249" s="59" t="s">
        <v>1669</v>
      </c>
      <c r="D1249" s="59" t="s">
        <v>1477</v>
      </c>
      <c r="E1249" s="59" t="s">
        <v>71</v>
      </c>
    </row>
    <row r="1250" spans="1:5">
      <c r="A1250" s="59" t="s">
        <v>987</v>
      </c>
      <c r="B1250" s="59" t="s">
        <v>3728</v>
      </c>
      <c r="C1250" s="59" t="s">
        <v>1669</v>
      </c>
      <c r="D1250" s="59" t="s">
        <v>1455</v>
      </c>
      <c r="E1250" s="59" t="s">
        <v>1456</v>
      </c>
    </row>
    <row r="1251" spans="1:5">
      <c r="A1251" s="59" t="s">
        <v>3729</v>
      </c>
      <c r="B1251" s="59" t="s">
        <v>3730</v>
      </c>
      <c r="C1251" s="59" t="s">
        <v>1669</v>
      </c>
      <c r="D1251" s="59" t="s">
        <v>1395</v>
      </c>
      <c r="E1251" s="59" t="s">
        <v>71</v>
      </c>
    </row>
    <row r="1252" spans="1:5">
      <c r="A1252" s="59" t="s">
        <v>3731</v>
      </c>
      <c r="B1252" s="59" t="s">
        <v>3732</v>
      </c>
      <c r="C1252" s="59" t="s">
        <v>1669</v>
      </c>
      <c r="D1252" s="59" t="s">
        <v>1455</v>
      </c>
      <c r="E1252" s="59" t="s">
        <v>1456</v>
      </c>
    </row>
    <row r="1253" spans="1:5">
      <c r="A1253" s="59" t="s">
        <v>3733</v>
      </c>
      <c r="B1253" s="59" t="s">
        <v>3734</v>
      </c>
      <c r="C1253" s="59" t="s">
        <v>1669</v>
      </c>
      <c r="D1253" s="59" t="s">
        <v>1458</v>
      </c>
      <c r="E1253" s="59" t="s">
        <v>71</v>
      </c>
    </row>
    <row r="1254" spans="1:5">
      <c r="A1254" s="59" t="s">
        <v>3735</v>
      </c>
      <c r="B1254" s="59" t="s">
        <v>3736</v>
      </c>
      <c r="C1254" s="59" t="s">
        <v>1669</v>
      </c>
      <c r="D1254" s="59" t="s">
        <v>1455</v>
      </c>
      <c r="E1254" s="59" t="s">
        <v>71</v>
      </c>
    </row>
    <row r="1255" spans="1:5">
      <c r="A1255" s="59" t="s">
        <v>3737</v>
      </c>
      <c r="B1255" s="59" t="s">
        <v>3738</v>
      </c>
      <c r="C1255" s="59" t="s">
        <v>1669</v>
      </c>
      <c r="D1255" s="59" t="s">
        <v>89</v>
      </c>
      <c r="E1255" s="59" t="s">
        <v>1456</v>
      </c>
    </row>
    <row r="1256" spans="1:5">
      <c r="A1256" s="59" t="s">
        <v>3739</v>
      </c>
      <c r="B1256" s="59" t="s">
        <v>3740</v>
      </c>
      <c r="C1256" s="59" t="s">
        <v>1669</v>
      </c>
      <c r="D1256" s="59" t="s">
        <v>1371</v>
      </c>
      <c r="E1256" s="59" t="s">
        <v>1456</v>
      </c>
    </row>
    <row r="1257" spans="1:5">
      <c r="A1257" s="59" t="s">
        <v>3741</v>
      </c>
      <c r="B1257" s="59" t="s">
        <v>3742</v>
      </c>
      <c r="C1257" s="59" t="s">
        <v>1669</v>
      </c>
      <c r="D1257" s="59" t="s">
        <v>1455</v>
      </c>
      <c r="E1257" s="59" t="s">
        <v>1456</v>
      </c>
    </row>
    <row r="1258" spans="1:5">
      <c r="A1258" s="59" t="s">
        <v>3743</v>
      </c>
      <c r="B1258" s="59" t="s">
        <v>3744</v>
      </c>
      <c r="C1258" s="59" t="s">
        <v>1669</v>
      </c>
      <c r="D1258" s="65" t="s">
        <v>0</v>
      </c>
      <c r="E1258" s="65" t="s">
        <v>122</v>
      </c>
    </row>
    <row r="1259" spans="1:5">
      <c r="A1259" s="59" t="s">
        <v>3745</v>
      </c>
      <c r="B1259" s="59" t="s">
        <v>3746</v>
      </c>
      <c r="C1259" s="59" t="s">
        <v>1669</v>
      </c>
      <c r="D1259" s="65" t="s">
        <v>1458</v>
      </c>
      <c r="E1259" s="65" t="s">
        <v>71</v>
      </c>
    </row>
    <row r="1260" spans="1:5">
      <c r="A1260" s="59" t="s">
        <v>3747</v>
      </c>
      <c r="B1260" s="59" t="s">
        <v>3748</v>
      </c>
      <c r="C1260" s="59" t="s">
        <v>1669</v>
      </c>
      <c r="D1260" s="59" t="s">
        <v>1458</v>
      </c>
      <c r="E1260" s="59" t="s">
        <v>71</v>
      </c>
    </row>
    <row r="1261" spans="1:5">
      <c r="A1261" s="59" t="s">
        <v>3749</v>
      </c>
      <c r="B1261" s="59" t="s">
        <v>3750</v>
      </c>
      <c r="C1261" s="59" t="s">
        <v>1669</v>
      </c>
      <c r="D1261" s="59" t="s">
        <v>89</v>
      </c>
      <c r="E1261" s="59" t="s">
        <v>71</v>
      </c>
    </row>
    <row r="1262" spans="1:5">
      <c r="A1262" s="59" t="s">
        <v>3751</v>
      </c>
      <c r="B1262" s="59" t="s">
        <v>3752</v>
      </c>
      <c r="C1262" s="59" t="s">
        <v>1669</v>
      </c>
      <c r="D1262" s="59" t="s">
        <v>1477</v>
      </c>
      <c r="E1262" s="59" t="s">
        <v>71</v>
      </c>
    </row>
    <row r="1263" spans="1:5">
      <c r="A1263" s="59" t="s">
        <v>3753</v>
      </c>
      <c r="B1263" s="59" t="s">
        <v>3754</v>
      </c>
      <c r="C1263" s="59" t="s">
        <v>1669</v>
      </c>
      <c r="D1263" s="59" t="s">
        <v>1455</v>
      </c>
      <c r="E1263" s="59" t="s">
        <v>1456</v>
      </c>
    </row>
    <row r="1264" spans="1:5">
      <c r="A1264" s="59" t="s">
        <v>3755</v>
      </c>
      <c r="B1264" s="59" t="s">
        <v>3756</v>
      </c>
      <c r="C1264" s="59" t="s">
        <v>1669</v>
      </c>
      <c r="D1264" s="59" t="s">
        <v>1477</v>
      </c>
      <c r="E1264" s="59" t="s">
        <v>71</v>
      </c>
    </row>
    <row r="1265" spans="1:5">
      <c r="A1265" s="59" t="s">
        <v>3757</v>
      </c>
      <c r="B1265" s="59" t="s">
        <v>3758</v>
      </c>
      <c r="C1265" s="59" t="s">
        <v>1669</v>
      </c>
      <c r="D1265" s="59" t="s">
        <v>1458</v>
      </c>
      <c r="E1265" s="59" t="s">
        <v>71</v>
      </c>
    </row>
    <row r="1266" spans="1:5">
      <c r="A1266" s="59" t="s">
        <v>3759</v>
      </c>
      <c r="B1266" s="59" t="s">
        <v>3760</v>
      </c>
      <c r="C1266" s="59" t="s">
        <v>1669</v>
      </c>
      <c r="D1266" s="59" t="s">
        <v>1477</v>
      </c>
      <c r="E1266" s="59" t="s">
        <v>71</v>
      </c>
    </row>
    <row r="1267" spans="1:5">
      <c r="A1267" s="59" t="s">
        <v>3761</v>
      </c>
      <c r="B1267" s="59" t="s">
        <v>3762</v>
      </c>
      <c r="C1267" s="59" t="s">
        <v>1669</v>
      </c>
      <c r="D1267" s="59" t="s">
        <v>1371</v>
      </c>
      <c r="E1267" s="59" t="s">
        <v>1456</v>
      </c>
    </row>
    <row r="1268" spans="1:5">
      <c r="A1268" s="59" t="s">
        <v>3763</v>
      </c>
      <c r="B1268" s="59" t="s">
        <v>3764</v>
      </c>
      <c r="C1268" s="59" t="s">
        <v>1669</v>
      </c>
      <c r="D1268" s="59" t="s">
        <v>1477</v>
      </c>
      <c r="E1268" s="59" t="s">
        <v>71</v>
      </c>
    </row>
    <row r="1269" spans="1:5">
      <c r="A1269" s="59" t="s">
        <v>3765</v>
      </c>
      <c r="B1269" s="59" t="s">
        <v>3766</v>
      </c>
      <c r="C1269" s="59" t="s">
        <v>1669</v>
      </c>
      <c r="D1269" s="59" t="s">
        <v>1395</v>
      </c>
      <c r="E1269" s="59" t="s">
        <v>71</v>
      </c>
    </row>
    <row r="1270" spans="1:5">
      <c r="A1270" s="59" t="s">
        <v>3767</v>
      </c>
      <c r="B1270" s="59" t="s">
        <v>3768</v>
      </c>
      <c r="C1270" s="59" t="s">
        <v>1669</v>
      </c>
      <c r="D1270" s="59" t="s">
        <v>1458</v>
      </c>
      <c r="E1270" s="59" t="s">
        <v>71</v>
      </c>
    </row>
    <row r="1271" spans="1:5">
      <c r="A1271" s="59" t="s">
        <v>3769</v>
      </c>
      <c r="B1271" s="59" t="s">
        <v>3770</v>
      </c>
      <c r="C1271" s="59" t="s">
        <v>1669</v>
      </c>
      <c r="D1271" s="59" t="s">
        <v>1455</v>
      </c>
      <c r="E1271" s="59" t="s">
        <v>71</v>
      </c>
    </row>
    <row r="1272" spans="1:5">
      <c r="A1272" s="59" t="s">
        <v>3771</v>
      </c>
      <c r="B1272" s="59" t="s">
        <v>3772</v>
      </c>
      <c r="C1272" s="59" t="s">
        <v>1669</v>
      </c>
      <c r="D1272" s="59" t="s">
        <v>1371</v>
      </c>
      <c r="E1272" s="59" t="s">
        <v>71</v>
      </c>
    </row>
    <row r="1273" spans="1:5">
      <c r="A1273" s="59" t="s">
        <v>3773</v>
      </c>
      <c r="B1273" s="59" t="s">
        <v>3774</v>
      </c>
      <c r="C1273" s="59" t="s">
        <v>1669</v>
      </c>
      <c r="D1273" s="59" t="s">
        <v>1477</v>
      </c>
      <c r="E1273" s="59" t="s">
        <v>71</v>
      </c>
    </row>
    <row r="1274" spans="1:5">
      <c r="A1274" s="59" t="s">
        <v>3775</v>
      </c>
      <c r="B1274" s="59" t="s">
        <v>3776</v>
      </c>
      <c r="C1274" s="59" t="s">
        <v>1669</v>
      </c>
      <c r="D1274" s="59" t="s">
        <v>1455</v>
      </c>
      <c r="E1274" s="59" t="s">
        <v>71</v>
      </c>
    </row>
    <row r="1275" spans="1:5">
      <c r="A1275" s="59" t="s">
        <v>3777</v>
      </c>
      <c r="B1275" s="59" t="s">
        <v>3778</v>
      </c>
      <c r="C1275" s="59" t="s">
        <v>1669</v>
      </c>
      <c r="D1275" s="59" t="s">
        <v>1455</v>
      </c>
      <c r="E1275" s="59" t="s">
        <v>71</v>
      </c>
    </row>
    <row r="1276" spans="1:5">
      <c r="A1276" s="59" t="s">
        <v>3779</v>
      </c>
      <c r="B1276" s="59" t="s">
        <v>3780</v>
      </c>
      <c r="C1276" s="59" t="s">
        <v>1669</v>
      </c>
      <c r="D1276" s="59" t="s">
        <v>1458</v>
      </c>
      <c r="E1276" s="59" t="s">
        <v>71</v>
      </c>
    </row>
    <row r="1277" spans="1:5">
      <c r="A1277" s="59" t="s">
        <v>3781</v>
      </c>
      <c r="B1277" s="59" t="s">
        <v>3782</v>
      </c>
      <c r="C1277" s="59" t="s">
        <v>1669</v>
      </c>
      <c r="D1277" s="59" t="s">
        <v>1477</v>
      </c>
      <c r="E1277" s="59" t="s">
        <v>71</v>
      </c>
    </row>
    <row r="1278" spans="1:5">
      <c r="A1278" s="59" t="s">
        <v>3783</v>
      </c>
      <c r="B1278" s="59" t="s">
        <v>3784</v>
      </c>
      <c r="C1278" s="59" t="s">
        <v>1669</v>
      </c>
      <c r="D1278" s="59" t="s">
        <v>1371</v>
      </c>
      <c r="E1278" s="59" t="s">
        <v>71</v>
      </c>
    </row>
    <row r="1279" spans="1:5">
      <c r="A1279" s="59" t="s">
        <v>3785</v>
      </c>
      <c r="B1279" s="59" t="s">
        <v>3786</v>
      </c>
      <c r="C1279" s="59" t="s">
        <v>1669</v>
      </c>
      <c r="D1279" s="59" t="s">
        <v>1395</v>
      </c>
      <c r="E1279" s="59" t="s">
        <v>71</v>
      </c>
    </row>
    <row r="1280" spans="1:5">
      <c r="A1280" s="59" t="s">
        <v>3787</v>
      </c>
      <c r="B1280" s="59" t="s">
        <v>3788</v>
      </c>
      <c r="C1280" s="59" t="s">
        <v>1669</v>
      </c>
      <c r="D1280" s="65" t="s">
        <v>598</v>
      </c>
      <c r="E1280" s="65" t="s">
        <v>71</v>
      </c>
    </row>
    <row r="1281" spans="1:5">
      <c r="A1281" s="59" t="s">
        <v>3789</v>
      </c>
      <c r="B1281" s="59" t="s">
        <v>3790</v>
      </c>
      <c r="C1281" s="59" t="s">
        <v>1669</v>
      </c>
      <c r="D1281" s="65" t="s">
        <v>598</v>
      </c>
      <c r="E1281" s="65" t="s">
        <v>71</v>
      </c>
    </row>
    <row r="1282" spans="1:5">
      <c r="A1282" s="59" t="s">
        <v>3791</v>
      </c>
      <c r="B1282" s="59" t="s">
        <v>3792</v>
      </c>
      <c r="C1282" s="59" t="s">
        <v>1669</v>
      </c>
      <c r="D1282" s="59" t="s">
        <v>89</v>
      </c>
      <c r="E1282" s="59" t="s">
        <v>1456</v>
      </c>
    </row>
    <row r="1283" spans="1:5">
      <c r="A1283" s="59" t="s">
        <v>3793</v>
      </c>
      <c r="B1283" s="59" t="s">
        <v>3794</v>
      </c>
      <c r="C1283" s="59" t="s">
        <v>1669</v>
      </c>
      <c r="D1283" s="59" t="s">
        <v>1395</v>
      </c>
      <c r="E1283" s="59" t="s">
        <v>71</v>
      </c>
    </row>
    <row r="1284" spans="1:5">
      <c r="A1284" s="59" t="s">
        <v>3795</v>
      </c>
      <c r="B1284" s="59" t="s">
        <v>3796</v>
      </c>
      <c r="C1284" s="59" t="s">
        <v>1669</v>
      </c>
      <c r="D1284" s="59" t="s">
        <v>1477</v>
      </c>
      <c r="E1284" s="59" t="s">
        <v>1456</v>
      </c>
    </row>
    <row r="1285" spans="1:5">
      <c r="A1285" s="59" t="s">
        <v>3797</v>
      </c>
      <c r="B1285" s="59" t="s">
        <v>3798</v>
      </c>
      <c r="C1285" s="59" t="s">
        <v>1669</v>
      </c>
      <c r="D1285" s="59" t="s">
        <v>1477</v>
      </c>
      <c r="E1285" s="59" t="s">
        <v>71</v>
      </c>
    </row>
    <row r="1286" spans="1:5">
      <c r="A1286" s="59" t="s">
        <v>3799</v>
      </c>
      <c r="B1286" s="59" t="s">
        <v>3800</v>
      </c>
      <c r="C1286" s="59" t="s">
        <v>1669</v>
      </c>
      <c r="D1286" s="59" t="s">
        <v>1477</v>
      </c>
      <c r="E1286" s="59" t="s">
        <v>71</v>
      </c>
    </row>
    <row r="1287" spans="1:5">
      <c r="A1287" s="59" t="s">
        <v>3801</v>
      </c>
      <c r="B1287" s="59" t="s">
        <v>3802</v>
      </c>
      <c r="C1287" s="59" t="s">
        <v>1669</v>
      </c>
      <c r="D1287" s="59" t="s">
        <v>1458</v>
      </c>
      <c r="E1287" s="59" t="s">
        <v>71</v>
      </c>
    </row>
    <row r="1288" spans="1:5">
      <c r="A1288" s="59" t="s">
        <v>3803</v>
      </c>
      <c r="B1288" s="59" t="s">
        <v>3804</v>
      </c>
      <c r="C1288" s="59" t="s">
        <v>1669</v>
      </c>
      <c r="D1288" s="59" t="s">
        <v>1371</v>
      </c>
      <c r="E1288" s="59" t="s">
        <v>71</v>
      </c>
    </row>
    <row r="1289" spans="1:5">
      <c r="A1289" s="59" t="s">
        <v>3805</v>
      </c>
      <c r="B1289" s="59" t="s">
        <v>3806</v>
      </c>
      <c r="C1289" s="59" t="s">
        <v>1669</v>
      </c>
      <c r="D1289" s="59" t="s">
        <v>1371</v>
      </c>
      <c r="E1289" s="59" t="s">
        <v>71</v>
      </c>
    </row>
    <row r="1290" spans="1:5">
      <c r="A1290" s="59" t="s">
        <v>667</v>
      </c>
      <c r="B1290" s="59" t="s">
        <v>668</v>
      </c>
      <c r="C1290" s="59" t="s">
        <v>1669</v>
      </c>
      <c r="D1290" s="59" t="s">
        <v>1477</v>
      </c>
      <c r="E1290" s="59" t="s">
        <v>71</v>
      </c>
    </row>
    <row r="1291" spans="1:5">
      <c r="A1291" s="59" t="s">
        <v>3807</v>
      </c>
      <c r="B1291" s="59" t="s">
        <v>3808</v>
      </c>
      <c r="C1291" s="59" t="s">
        <v>1669</v>
      </c>
      <c r="D1291" s="65" t="s">
        <v>0</v>
      </c>
      <c r="E1291" s="65" t="s">
        <v>122</v>
      </c>
    </row>
    <row r="1292" spans="1:5">
      <c r="A1292" s="59" t="s">
        <v>304</v>
      </c>
      <c r="B1292" s="59" t="s">
        <v>305</v>
      </c>
      <c r="C1292" s="59" t="s">
        <v>1669</v>
      </c>
      <c r="D1292" s="59" t="s">
        <v>1395</v>
      </c>
      <c r="E1292" s="59" t="s">
        <v>71</v>
      </c>
    </row>
    <row r="1293" spans="1:5">
      <c r="A1293" s="59" t="s">
        <v>3809</v>
      </c>
      <c r="B1293" s="59" t="s">
        <v>3810</v>
      </c>
      <c r="C1293" s="59" t="s">
        <v>1669</v>
      </c>
      <c r="D1293" s="59" t="s">
        <v>1395</v>
      </c>
      <c r="E1293" s="59" t="s">
        <v>71</v>
      </c>
    </row>
    <row r="1294" spans="1:5">
      <c r="A1294" s="59" t="s">
        <v>3811</v>
      </c>
      <c r="B1294" s="59" t="s">
        <v>3812</v>
      </c>
      <c r="C1294" s="59" t="s">
        <v>1669</v>
      </c>
      <c r="D1294" s="59" t="s">
        <v>1458</v>
      </c>
      <c r="E1294" s="59" t="s">
        <v>71</v>
      </c>
    </row>
    <row r="1295" spans="1:5">
      <c r="A1295" s="59" t="s">
        <v>387</v>
      </c>
      <c r="B1295" s="59" t="s">
        <v>388</v>
      </c>
      <c r="C1295" s="59" t="s">
        <v>1669</v>
      </c>
      <c r="D1295" s="65" t="s">
        <v>1458</v>
      </c>
      <c r="E1295" s="65" t="s">
        <v>71</v>
      </c>
    </row>
    <row r="1296" spans="1:5">
      <c r="A1296" s="59" t="s">
        <v>3813</v>
      </c>
      <c r="B1296" s="59" t="s">
        <v>3814</v>
      </c>
      <c r="C1296" s="59" t="s">
        <v>1669</v>
      </c>
      <c r="D1296" s="59" t="s">
        <v>1455</v>
      </c>
      <c r="E1296" s="59" t="s">
        <v>71</v>
      </c>
    </row>
    <row r="1297" spans="1:5">
      <c r="A1297" s="59" t="s">
        <v>3815</v>
      </c>
      <c r="B1297" s="59" t="s">
        <v>3816</v>
      </c>
      <c r="C1297" s="59" t="s">
        <v>1669</v>
      </c>
      <c r="D1297" s="65" t="s">
        <v>1455</v>
      </c>
      <c r="E1297" s="65" t="s">
        <v>1456</v>
      </c>
    </row>
    <row r="1298" spans="1:5">
      <c r="A1298" s="59" t="s">
        <v>3817</v>
      </c>
      <c r="B1298" s="59" t="s">
        <v>3818</v>
      </c>
      <c r="C1298" s="59" t="s">
        <v>1669</v>
      </c>
      <c r="D1298" s="59" t="s">
        <v>1458</v>
      </c>
      <c r="E1298" s="59" t="s">
        <v>71</v>
      </c>
    </row>
    <row r="1299" spans="1:5">
      <c r="A1299" s="59" t="s">
        <v>3819</v>
      </c>
      <c r="B1299" s="59" t="s">
        <v>3820</v>
      </c>
      <c r="C1299" s="59" t="s">
        <v>1669</v>
      </c>
      <c r="D1299" s="65" t="s">
        <v>1477</v>
      </c>
      <c r="E1299" s="65" t="s">
        <v>71</v>
      </c>
    </row>
    <row r="1300" spans="1:5">
      <c r="A1300" s="59" t="s">
        <v>3821</v>
      </c>
      <c r="B1300" s="59" t="s">
        <v>3822</v>
      </c>
      <c r="C1300" s="59" t="s">
        <v>1669</v>
      </c>
      <c r="D1300" s="65" t="s">
        <v>1455</v>
      </c>
      <c r="E1300" s="65" t="s">
        <v>71</v>
      </c>
    </row>
    <row r="1301" spans="1:5">
      <c r="A1301" s="59" t="s">
        <v>3823</v>
      </c>
      <c r="B1301" s="59" t="s">
        <v>3824</v>
      </c>
      <c r="C1301" s="59" t="s">
        <v>1669</v>
      </c>
      <c r="D1301" s="59" t="s">
        <v>1407</v>
      </c>
      <c r="E1301" s="59" t="s">
        <v>31</v>
      </c>
    </row>
    <row r="1302" spans="1:5">
      <c r="A1302" s="59" t="s">
        <v>3825</v>
      </c>
      <c r="B1302" s="59" t="s">
        <v>3826</v>
      </c>
      <c r="C1302" s="59" t="s">
        <v>1669</v>
      </c>
      <c r="D1302" s="59" t="s">
        <v>1395</v>
      </c>
      <c r="E1302" s="59" t="s">
        <v>71</v>
      </c>
    </row>
    <row r="1303" spans="1:5">
      <c r="A1303" s="59" t="s">
        <v>3827</v>
      </c>
      <c r="B1303" s="59" t="s">
        <v>3828</v>
      </c>
      <c r="C1303" s="59" t="s">
        <v>1669</v>
      </c>
      <c r="D1303" s="59" t="s">
        <v>1371</v>
      </c>
      <c r="E1303" s="59" t="s">
        <v>71</v>
      </c>
    </row>
    <row r="1304" spans="1:5">
      <c r="A1304" s="59" t="s">
        <v>3829</v>
      </c>
      <c r="B1304" s="59" t="s">
        <v>3828</v>
      </c>
      <c r="C1304" s="59" t="s">
        <v>1669</v>
      </c>
    </row>
    <row r="1305" spans="1:5">
      <c r="A1305" s="59" t="s">
        <v>3830</v>
      </c>
      <c r="B1305" s="59" t="s">
        <v>3831</v>
      </c>
      <c r="C1305" s="59" t="s">
        <v>1669</v>
      </c>
      <c r="D1305" s="65" t="s">
        <v>598</v>
      </c>
      <c r="E1305" s="65" t="s">
        <v>71</v>
      </c>
    </row>
    <row r="1306" spans="1:5">
      <c r="A1306" s="59" t="s">
        <v>3832</v>
      </c>
      <c r="B1306" s="59" t="s">
        <v>3833</v>
      </c>
      <c r="C1306" s="59" t="s">
        <v>1669</v>
      </c>
      <c r="D1306" s="59" t="s">
        <v>1458</v>
      </c>
      <c r="E1306" s="59" t="s">
        <v>71</v>
      </c>
    </row>
    <row r="1307" spans="1:5">
      <c r="A1307" s="59" t="s">
        <v>3834</v>
      </c>
      <c r="B1307" s="59" t="s">
        <v>3835</v>
      </c>
      <c r="C1307" s="59" t="s">
        <v>1669</v>
      </c>
      <c r="D1307" s="59" t="s">
        <v>1477</v>
      </c>
      <c r="E1307" s="59" t="s">
        <v>71</v>
      </c>
    </row>
    <row r="1308" spans="1:5">
      <c r="A1308" s="59" t="s">
        <v>3836</v>
      </c>
      <c r="B1308" s="59" t="s">
        <v>3837</v>
      </c>
      <c r="C1308" s="59" t="s">
        <v>1669</v>
      </c>
      <c r="D1308" s="59" t="s">
        <v>1458</v>
      </c>
      <c r="E1308" s="59" t="s">
        <v>71</v>
      </c>
    </row>
    <row r="1309" spans="1:5">
      <c r="A1309" s="59" t="s">
        <v>3838</v>
      </c>
      <c r="B1309" s="59" t="s">
        <v>3839</v>
      </c>
      <c r="C1309" s="59" t="s">
        <v>1669</v>
      </c>
      <c r="D1309" s="65" t="s">
        <v>598</v>
      </c>
      <c r="E1309" s="65" t="s">
        <v>71</v>
      </c>
    </row>
    <row r="1310" spans="1:5">
      <c r="A1310" s="59" t="s">
        <v>3840</v>
      </c>
      <c r="B1310" s="59" t="s">
        <v>3841</v>
      </c>
      <c r="C1310" s="59" t="s">
        <v>1669</v>
      </c>
      <c r="D1310" s="59" t="s">
        <v>1455</v>
      </c>
      <c r="E1310" s="59" t="s">
        <v>71</v>
      </c>
    </row>
    <row r="1311" spans="1:5">
      <c r="A1311" s="59" t="s">
        <v>3842</v>
      </c>
      <c r="B1311" s="59" t="s">
        <v>3843</v>
      </c>
      <c r="C1311" s="59" t="s">
        <v>1669</v>
      </c>
      <c r="D1311" s="59" t="s">
        <v>1458</v>
      </c>
      <c r="E1311" s="59" t="s">
        <v>71</v>
      </c>
    </row>
    <row r="1312" spans="1:5">
      <c r="A1312" s="59" t="s">
        <v>3844</v>
      </c>
      <c r="B1312" s="59" t="s">
        <v>3845</v>
      </c>
      <c r="C1312" s="59" t="s">
        <v>1669</v>
      </c>
      <c r="D1312" s="59" t="s">
        <v>1477</v>
      </c>
      <c r="E1312" s="59" t="s">
        <v>71</v>
      </c>
    </row>
    <row r="1313" spans="1:5">
      <c r="A1313" s="59" t="s">
        <v>3846</v>
      </c>
      <c r="B1313" s="59" t="s">
        <v>3847</v>
      </c>
      <c r="C1313" s="59" t="s">
        <v>1669</v>
      </c>
      <c r="D1313" s="59" t="s">
        <v>1458</v>
      </c>
      <c r="E1313" s="59" t="s">
        <v>71</v>
      </c>
    </row>
    <row r="1314" spans="1:5">
      <c r="A1314" s="59" t="s">
        <v>3848</v>
      </c>
      <c r="B1314" s="59" t="s">
        <v>3849</v>
      </c>
      <c r="C1314" s="59" t="s">
        <v>1669</v>
      </c>
      <c r="D1314" s="59" t="s">
        <v>1455</v>
      </c>
      <c r="E1314" s="59" t="s">
        <v>71</v>
      </c>
    </row>
    <row r="1315" spans="1:5">
      <c r="A1315" s="59" t="s">
        <v>3850</v>
      </c>
      <c r="B1315" s="59" t="s">
        <v>3851</v>
      </c>
      <c r="C1315" s="59" t="s">
        <v>1669</v>
      </c>
      <c r="D1315" s="59" t="s">
        <v>1395</v>
      </c>
      <c r="E1315" s="59" t="s">
        <v>71</v>
      </c>
    </row>
    <row r="1316" spans="1:5">
      <c r="A1316" s="59" t="s">
        <v>3852</v>
      </c>
      <c r="B1316" s="59" t="s">
        <v>3853</v>
      </c>
      <c r="C1316" s="59" t="s">
        <v>1669</v>
      </c>
      <c r="D1316" s="59" t="s">
        <v>1455</v>
      </c>
      <c r="E1316" s="59" t="s">
        <v>71</v>
      </c>
    </row>
    <row r="1317" spans="1:5">
      <c r="A1317" s="59" t="s">
        <v>3854</v>
      </c>
      <c r="B1317" s="59" t="s">
        <v>3855</v>
      </c>
      <c r="C1317" s="59" t="s">
        <v>1669</v>
      </c>
      <c r="D1317" s="59" t="s">
        <v>1477</v>
      </c>
      <c r="E1317" s="59" t="s">
        <v>71</v>
      </c>
    </row>
    <row r="1318" spans="1:5">
      <c r="A1318" s="59" t="s">
        <v>3856</v>
      </c>
      <c r="B1318" s="59" t="s">
        <v>3857</v>
      </c>
      <c r="C1318" s="59" t="s">
        <v>1669</v>
      </c>
      <c r="D1318" s="59" t="s">
        <v>1407</v>
      </c>
      <c r="E1318" s="59" t="s">
        <v>31</v>
      </c>
    </row>
    <row r="1319" spans="1:5">
      <c r="A1319" s="59" t="s">
        <v>3858</v>
      </c>
      <c r="B1319" s="59" t="s">
        <v>3859</v>
      </c>
      <c r="C1319" s="59" t="s">
        <v>1669</v>
      </c>
      <c r="D1319" s="59" t="s">
        <v>1395</v>
      </c>
      <c r="E1319" s="59" t="s">
        <v>71</v>
      </c>
    </row>
    <row r="1320" spans="1:5">
      <c r="A1320" s="59" t="s">
        <v>3860</v>
      </c>
      <c r="B1320" s="59" t="s">
        <v>3861</v>
      </c>
      <c r="C1320" s="59" t="s">
        <v>1669</v>
      </c>
      <c r="D1320" s="59" t="s">
        <v>1395</v>
      </c>
      <c r="E1320" s="59" t="s">
        <v>71</v>
      </c>
    </row>
    <row r="1321" spans="1:5">
      <c r="A1321" s="59" t="s">
        <v>3862</v>
      </c>
      <c r="B1321" s="59" t="s">
        <v>118</v>
      </c>
      <c r="C1321" s="59" t="s">
        <v>1669</v>
      </c>
      <c r="D1321" s="59" t="s">
        <v>1455</v>
      </c>
      <c r="E1321" s="59" t="s">
        <v>122</v>
      </c>
    </row>
    <row r="1322" spans="1:5">
      <c r="A1322" s="59" t="s">
        <v>3863</v>
      </c>
      <c r="B1322" s="59" t="s">
        <v>3864</v>
      </c>
      <c r="C1322" s="59" t="s">
        <v>1669</v>
      </c>
      <c r="D1322" s="59" t="s">
        <v>1395</v>
      </c>
      <c r="E1322" s="59" t="s">
        <v>71</v>
      </c>
    </row>
    <row r="1323" spans="1:5">
      <c r="A1323" s="59" t="s">
        <v>3865</v>
      </c>
      <c r="B1323" s="59" t="s">
        <v>3866</v>
      </c>
      <c r="C1323" s="59" t="s">
        <v>1669</v>
      </c>
      <c r="D1323" s="59" t="s">
        <v>1407</v>
      </c>
      <c r="E1323" s="59" t="s">
        <v>31</v>
      </c>
    </row>
    <row r="1324" spans="1:5">
      <c r="A1324" s="59" t="s">
        <v>3867</v>
      </c>
      <c r="B1324" s="59" t="s">
        <v>3868</v>
      </c>
      <c r="C1324" s="59" t="s">
        <v>1669</v>
      </c>
      <c r="D1324" s="59" t="s">
        <v>1477</v>
      </c>
      <c r="E1324" s="59" t="s">
        <v>71</v>
      </c>
    </row>
    <row r="1325" spans="1:5">
      <c r="A1325" s="59" t="s">
        <v>3869</v>
      </c>
      <c r="B1325" s="59" t="s">
        <v>3870</v>
      </c>
      <c r="C1325" s="59" t="s">
        <v>1669</v>
      </c>
      <c r="D1325" s="59" t="s">
        <v>1395</v>
      </c>
      <c r="E1325" s="59" t="s">
        <v>71</v>
      </c>
    </row>
    <row r="1326" spans="1:5">
      <c r="A1326" s="59" t="s">
        <v>3871</v>
      </c>
      <c r="B1326" s="59" t="s">
        <v>3872</v>
      </c>
      <c r="C1326" s="59" t="s">
        <v>1669</v>
      </c>
      <c r="D1326" s="59" t="s">
        <v>1455</v>
      </c>
      <c r="E1326" s="59" t="s">
        <v>71</v>
      </c>
    </row>
    <row r="1327" spans="1:5">
      <c r="A1327" s="59">
        <v>9182</v>
      </c>
      <c r="B1327" s="59" t="s">
        <v>3873</v>
      </c>
      <c r="C1327" s="59" t="s">
        <v>1669</v>
      </c>
      <c r="D1327" s="65" t="s">
        <v>0</v>
      </c>
      <c r="E1327" s="65" t="s">
        <v>122</v>
      </c>
    </row>
    <row r="1328" spans="1:5">
      <c r="A1328" s="59" t="s">
        <v>3637</v>
      </c>
      <c r="B1328" s="59" t="s">
        <v>3874</v>
      </c>
      <c r="C1328" s="59" t="s">
        <v>1669</v>
      </c>
      <c r="D1328" s="59" t="s">
        <v>1455</v>
      </c>
      <c r="E1328" s="59" t="s">
        <v>71</v>
      </c>
    </row>
    <row r="1329" spans="1:5">
      <c r="A1329" s="59" t="s">
        <v>3875</v>
      </c>
      <c r="B1329" s="59" t="s">
        <v>3876</v>
      </c>
      <c r="C1329" s="59" t="s">
        <v>1669</v>
      </c>
      <c r="D1329" s="59" t="s">
        <v>1395</v>
      </c>
      <c r="E1329" s="59" t="s">
        <v>71</v>
      </c>
    </row>
    <row r="1330" spans="1:5">
      <c r="A1330" s="59" t="s">
        <v>3877</v>
      </c>
      <c r="B1330" s="59" t="s">
        <v>3878</v>
      </c>
      <c r="C1330" s="59" t="s">
        <v>1669</v>
      </c>
      <c r="D1330" s="65" t="s">
        <v>1458</v>
      </c>
      <c r="E1330" s="65" t="s">
        <v>71</v>
      </c>
    </row>
    <row r="1331" spans="1:5">
      <c r="A1331" s="59" t="s">
        <v>3879</v>
      </c>
      <c r="B1331" s="59" t="s">
        <v>3880</v>
      </c>
      <c r="C1331" s="59" t="s">
        <v>1669</v>
      </c>
      <c r="D1331" s="59" t="s">
        <v>1477</v>
      </c>
      <c r="E1331" s="59" t="s">
        <v>71</v>
      </c>
    </row>
    <row r="1332" spans="1:5">
      <c r="A1332" s="59" t="s">
        <v>3881</v>
      </c>
      <c r="B1332" s="59" t="s">
        <v>3882</v>
      </c>
      <c r="C1332" s="59" t="s">
        <v>1669</v>
      </c>
      <c r="D1332" s="59" t="s">
        <v>1395</v>
      </c>
      <c r="E1332" s="59" t="s">
        <v>71</v>
      </c>
    </row>
    <row r="1333" spans="1:5">
      <c r="A1333" s="59" t="s">
        <v>3883</v>
      </c>
      <c r="B1333" s="59" t="s">
        <v>3884</v>
      </c>
      <c r="C1333" s="59" t="s">
        <v>1669</v>
      </c>
      <c r="D1333" s="59" t="s">
        <v>1458</v>
      </c>
      <c r="E1333" s="59" t="s">
        <v>71</v>
      </c>
    </row>
    <row r="1334" spans="1:5">
      <c r="A1334" s="59" t="s">
        <v>3885</v>
      </c>
      <c r="B1334" s="59" t="s">
        <v>3886</v>
      </c>
      <c r="C1334" s="59" t="s">
        <v>1669</v>
      </c>
      <c r="D1334" s="59" t="s">
        <v>1371</v>
      </c>
      <c r="E1334" s="59" t="s">
        <v>71</v>
      </c>
    </row>
    <row r="1335" spans="1:5">
      <c r="A1335" s="59" t="s">
        <v>579</v>
      </c>
      <c r="B1335" s="59" t="s">
        <v>580</v>
      </c>
      <c r="C1335" s="59" t="s">
        <v>1669</v>
      </c>
      <c r="D1335" s="59" t="s">
        <v>1395</v>
      </c>
      <c r="E1335" s="59" t="s">
        <v>71</v>
      </c>
    </row>
    <row r="1336" spans="1:5">
      <c r="A1336" s="59" t="s">
        <v>3887</v>
      </c>
      <c r="B1336" s="59" t="s">
        <v>3888</v>
      </c>
      <c r="C1336" s="59" t="s">
        <v>1669</v>
      </c>
      <c r="D1336" s="59" t="s">
        <v>1371</v>
      </c>
      <c r="E1336" s="59" t="s">
        <v>71</v>
      </c>
    </row>
    <row r="1337" spans="1:5">
      <c r="A1337" s="59" t="s">
        <v>950</v>
      </c>
      <c r="B1337" s="59" t="s">
        <v>3889</v>
      </c>
      <c r="C1337" s="59" t="s">
        <v>1669</v>
      </c>
      <c r="D1337" s="59" t="s">
        <v>1477</v>
      </c>
      <c r="E1337" s="59" t="s">
        <v>1456</v>
      </c>
    </row>
    <row r="1338" spans="1:5">
      <c r="A1338" s="59" t="s">
        <v>3890</v>
      </c>
      <c r="B1338" s="59" t="s">
        <v>3891</v>
      </c>
      <c r="C1338" s="59" t="s">
        <v>1669</v>
      </c>
      <c r="D1338" s="59" t="s">
        <v>1458</v>
      </c>
      <c r="E1338" s="59" t="s">
        <v>71</v>
      </c>
    </row>
    <row r="1339" spans="1:5">
      <c r="A1339" s="59" t="s">
        <v>3892</v>
      </c>
      <c r="B1339" s="59" t="s">
        <v>3893</v>
      </c>
      <c r="C1339" s="59" t="s">
        <v>1669</v>
      </c>
      <c r="D1339" s="59" t="s">
        <v>1455</v>
      </c>
      <c r="E1339" s="59" t="s">
        <v>1456</v>
      </c>
    </row>
    <row r="1340" spans="1:5">
      <c r="A1340" s="59" t="s">
        <v>3894</v>
      </c>
      <c r="B1340" s="59" t="s">
        <v>3895</v>
      </c>
      <c r="C1340" s="59" t="s">
        <v>1669</v>
      </c>
      <c r="D1340" s="59" t="s">
        <v>1371</v>
      </c>
      <c r="E1340" s="59" t="s">
        <v>71</v>
      </c>
    </row>
    <row r="1341" spans="1:5">
      <c r="A1341" s="59" t="s">
        <v>3896</v>
      </c>
      <c r="B1341" s="59" t="s">
        <v>3897</v>
      </c>
      <c r="C1341" s="59" t="s">
        <v>1669</v>
      </c>
      <c r="D1341" s="59" t="s">
        <v>1371</v>
      </c>
      <c r="E1341" s="59" t="s">
        <v>71</v>
      </c>
    </row>
    <row r="1342" spans="1:5">
      <c r="A1342" s="59" t="s">
        <v>3898</v>
      </c>
      <c r="B1342" s="59" t="s">
        <v>3899</v>
      </c>
      <c r="C1342" s="59" t="s">
        <v>1669</v>
      </c>
      <c r="D1342" s="59" t="s">
        <v>1458</v>
      </c>
      <c r="E1342" s="59" t="s">
        <v>71</v>
      </c>
    </row>
    <row r="1343" spans="1:5">
      <c r="A1343" s="59" t="s">
        <v>3900</v>
      </c>
      <c r="B1343" s="59" t="s">
        <v>3901</v>
      </c>
      <c r="C1343" s="59" t="s">
        <v>1669</v>
      </c>
      <c r="D1343" s="59" t="s">
        <v>1455</v>
      </c>
      <c r="E1343" s="65" t="s">
        <v>71</v>
      </c>
    </row>
    <row r="1344" spans="1:5">
      <c r="A1344" s="59" t="s">
        <v>3902</v>
      </c>
      <c r="B1344" s="59" t="s">
        <v>3903</v>
      </c>
      <c r="C1344" s="59" t="s">
        <v>1669</v>
      </c>
      <c r="D1344" s="59" t="s">
        <v>1395</v>
      </c>
      <c r="E1344" s="59" t="s">
        <v>71</v>
      </c>
    </row>
    <row r="1345" spans="1:5">
      <c r="A1345" s="59" t="s">
        <v>3904</v>
      </c>
      <c r="B1345" s="59" t="s">
        <v>3905</v>
      </c>
      <c r="C1345" s="59" t="s">
        <v>1669</v>
      </c>
      <c r="D1345" s="59" t="s">
        <v>1371</v>
      </c>
      <c r="E1345" s="59" t="s">
        <v>1456</v>
      </c>
    </row>
    <row r="1346" spans="1:5">
      <c r="A1346" s="59" t="s">
        <v>3906</v>
      </c>
      <c r="B1346" s="59" t="s">
        <v>3907</v>
      </c>
      <c r="C1346" s="59" t="s">
        <v>1669</v>
      </c>
      <c r="D1346" s="59" t="s">
        <v>1395</v>
      </c>
      <c r="E1346" s="59" t="s">
        <v>71</v>
      </c>
    </row>
    <row r="1347" spans="1:5">
      <c r="A1347" s="59" t="s">
        <v>3908</v>
      </c>
      <c r="B1347" s="59" t="s">
        <v>3909</v>
      </c>
      <c r="C1347" s="59" t="s">
        <v>1669</v>
      </c>
      <c r="D1347" s="59" t="s">
        <v>1477</v>
      </c>
      <c r="E1347" s="59" t="s">
        <v>71</v>
      </c>
    </row>
    <row r="1348" spans="1:5">
      <c r="A1348" s="59" t="s">
        <v>3910</v>
      </c>
      <c r="B1348" s="59" t="s">
        <v>3911</v>
      </c>
      <c r="C1348" s="59" t="s">
        <v>1669</v>
      </c>
      <c r="D1348" s="65" t="s">
        <v>0</v>
      </c>
      <c r="E1348" s="65" t="s">
        <v>122</v>
      </c>
    </row>
    <row r="1349" spans="1:5">
      <c r="A1349" s="59" t="s">
        <v>3912</v>
      </c>
      <c r="B1349" s="59" t="s">
        <v>3913</v>
      </c>
      <c r="C1349" s="59" t="s">
        <v>1669</v>
      </c>
      <c r="D1349" s="59" t="s">
        <v>1371</v>
      </c>
      <c r="E1349" s="59" t="s">
        <v>71</v>
      </c>
    </row>
    <row r="1350" spans="1:5">
      <c r="A1350" s="59" t="s">
        <v>3914</v>
      </c>
      <c r="B1350" s="59" t="s">
        <v>3915</v>
      </c>
      <c r="C1350" s="59" t="s">
        <v>1669</v>
      </c>
      <c r="D1350" s="59" t="s">
        <v>1395</v>
      </c>
      <c r="E1350" s="59" t="s">
        <v>71</v>
      </c>
    </row>
    <row r="1351" spans="1:5">
      <c r="A1351" s="59" t="s">
        <v>3916</v>
      </c>
      <c r="B1351" s="59" t="s">
        <v>3917</v>
      </c>
      <c r="C1351" s="59" t="s">
        <v>1669</v>
      </c>
      <c r="D1351" s="59" t="s">
        <v>89</v>
      </c>
      <c r="E1351" s="59" t="s">
        <v>71</v>
      </c>
    </row>
    <row r="1352" spans="1:5">
      <c r="A1352" s="59" t="s">
        <v>3918</v>
      </c>
      <c r="B1352" s="59" t="s">
        <v>3919</v>
      </c>
      <c r="C1352" s="59" t="s">
        <v>1669</v>
      </c>
      <c r="D1352" s="59" t="s">
        <v>1458</v>
      </c>
      <c r="E1352" s="59" t="s">
        <v>71</v>
      </c>
    </row>
    <row r="1353" spans="1:5">
      <c r="A1353" s="59" t="s">
        <v>3920</v>
      </c>
      <c r="B1353" s="59" t="s">
        <v>3921</v>
      </c>
      <c r="C1353" s="59" t="s">
        <v>1669</v>
      </c>
      <c r="D1353" s="59" t="s">
        <v>1455</v>
      </c>
      <c r="E1353" s="59" t="s">
        <v>71</v>
      </c>
    </row>
    <row r="1354" spans="1:5">
      <c r="A1354" s="59" t="s">
        <v>3922</v>
      </c>
      <c r="B1354" s="59" t="s">
        <v>3923</v>
      </c>
      <c r="C1354" s="59" t="s">
        <v>1669</v>
      </c>
      <c r="D1354" s="59" t="s">
        <v>1371</v>
      </c>
      <c r="E1354" s="59" t="s">
        <v>71</v>
      </c>
    </row>
    <row r="1355" spans="1:5">
      <c r="A1355" s="59" t="s">
        <v>976</v>
      </c>
      <c r="B1355" s="59" t="s">
        <v>3924</v>
      </c>
      <c r="C1355" s="59" t="s">
        <v>1669</v>
      </c>
      <c r="D1355" s="59" t="s">
        <v>1477</v>
      </c>
      <c r="E1355" s="59" t="s">
        <v>71</v>
      </c>
    </row>
    <row r="1356" spans="1:5">
      <c r="A1356" s="59" t="s">
        <v>178</v>
      </c>
      <c r="B1356" s="59" t="s">
        <v>179</v>
      </c>
      <c r="C1356" s="59" t="s">
        <v>1669</v>
      </c>
      <c r="D1356" s="59" t="s">
        <v>1458</v>
      </c>
      <c r="E1356" s="59" t="s">
        <v>1456</v>
      </c>
    </row>
    <row r="1357" spans="1:5">
      <c r="A1357" s="59" t="s">
        <v>3925</v>
      </c>
      <c r="B1357" s="59" t="s">
        <v>3926</v>
      </c>
      <c r="C1357" s="59" t="s">
        <v>1669</v>
      </c>
      <c r="D1357" s="59" t="s">
        <v>1458</v>
      </c>
      <c r="E1357" s="59" t="s">
        <v>71</v>
      </c>
    </row>
    <row r="1358" spans="1:5">
      <c r="A1358" s="59" t="s">
        <v>3927</v>
      </c>
      <c r="B1358" s="59" t="s">
        <v>3928</v>
      </c>
      <c r="C1358" s="59" t="s">
        <v>1669</v>
      </c>
      <c r="D1358" s="59" t="s">
        <v>1458</v>
      </c>
      <c r="E1358" s="59" t="s">
        <v>71</v>
      </c>
    </row>
    <row r="1359" spans="1:5">
      <c r="A1359" s="59" t="s">
        <v>3929</v>
      </c>
      <c r="B1359" s="59" t="s">
        <v>3930</v>
      </c>
      <c r="C1359" s="59" t="s">
        <v>1669</v>
      </c>
      <c r="D1359" s="59" t="s">
        <v>1407</v>
      </c>
      <c r="E1359" s="59" t="s">
        <v>31</v>
      </c>
    </row>
    <row r="1360" spans="1:5">
      <c r="A1360" s="59" t="s">
        <v>486</v>
      </c>
      <c r="B1360" s="59" t="s">
        <v>487</v>
      </c>
      <c r="C1360" s="59" t="s">
        <v>1669</v>
      </c>
      <c r="D1360" s="59" t="s">
        <v>1455</v>
      </c>
      <c r="E1360" s="59" t="s">
        <v>1456</v>
      </c>
    </row>
    <row r="1361" spans="1:5">
      <c r="A1361" s="59" t="s">
        <v>988</v>
      </c>
      <c r="B1361" s="59" t="s">
        <v>3931</v>
      </c>
      <c r="C1361" s="59" t="s">
        <v>1669</v>
      </c>
      <c r="D1361" s="59" t="s">
        <v>1477</v>
      </c>
      <c r="E1361" s="59" t="s">
        <v>1456</v>
      </c>
    </row>
    <row r="1362" spans="1:5">
      <c r="A1362" s="59" t="s">
        <v>988</v>
      </c>
      <c r="B1362" s="59" t="s">
        <v>3931</v>
      </c>
      <c r="C1362" s="59" t="s">
        <v>1669</v>
      </c>
      <c r="D1362" s="65" t="s">
        <v>89</v>
      </c>
      <c r="E1362" s="65" t="s">
        <v>122</v>
      </c>
    </row>
    <row r="1363" spans="1:5">
      <c r="A1363" s="59" t="s">
        <v>3932</v>
      </c>
      <c r="B1363" s="59" t="s">
        <v>3933</v>
      </c>
      <c r="C1363" s="59" t="s">
        <v>1669</v>
      </c>
      <c r="D1363" s="59" t="s">
        <v>1407</v>
      </c>
      <c r="E1363" s="59" t="s">
        <v>31</v>
      </c>
    </row>
    <row r="1364" spans="1:5">
      <c r="A1364" s="59" t="s">
        <v>3934</v>
      </c>
      <c r="B1364" s="59" t="s">
        <v>3935</v>
      </c>
      <c r="C1364" s="59" t="s">
        <v>1669</v>
      </c>
      <c r="D1364" s="59" t="s">
        <v>89</v>
      </c>
      <c r="E1364" s="59" t="s">
        <v>1456</v>
      </c>
    </row>
    <row r="1365" spans="1:5">
      <c r="A1365" s="59" t="s">
        <v>3936</v>
      </c>
      <c r="B1365" s="59" t="s">
        <v>3937</v>
      </c>
      <c r="C1365" s="59" t="s">
        <v>1669</v>
      </c>
      <c r="D1365" s="59" t="s">
        <v>1371</v>
      </c>
      <c r="E1365" s="59" t="s">
        <v>71</v>
      </c>
    </row>
    <row r="1366" spans="1:5">
      <c r="A1366" s="59" t="s">
        <v>3938</v>
      </c>
      <c r="B1366" s="59" t="s">
        <v>3939</v>
      </c>
      <c r="C1366" s="59" t="s">
        <v>1669</v>
      </c>
      <c r="D1366" s="59" t="s">
        <v>1395</v>
      </c>
      <c r="E1366" s="59" t="s">
        <v>1456</v>
      </c>
    </row>
    <row r="1367" spans="1:5">
      <c r="A1367" s="59" t="s">
        <v>3940</v>
      </c>
      <c r="B1367" s="59" t="s">
        <v>3941</v>
      </c>
      <c r="C1367" s="59" t="s">
        <v>1669</v>
      </c>
      <c r="D1367" s="59" t="s">
        <v>1455</v>
      </c>
      <c r="E1367" s="59" t="s">
        <v>71</v>
      </c>
    </row>
    <row r="1368" spans="1:5">
      <c r="A1368" s="59" t="s">
        <v>3942</v>
      </c>
      <c r="B1368" s="59" t="s">
        <v>3943</v>
      </c>
      <c r="C1368" s="59" t="s">
        <v>1669</v>
      </c>
      <c r="D1368" s="59" t="s">
        <v>1455</v>
      </c>
      <c r="E1368" s="59" t="s">
        <v>71</v>
      </c>
    </row>
    <row r="1369" spans="1:5">
      <c r="A1369" s="59" t="s">
        <v>3944</v>
      </c>
      <c r="B1369" s="59" t="s">
        <v>3945</v>
      </c>
      <c r="C1369" s="59" t="s">
        <v>1669</v>
      </c>
      <c r="D1369" s="59" t="s">
        <v>1458</v>
      </c>
      <c r="E1369" s="59" t="s">
        <v>71</v>
      </c>
    </row>
    <row r="1370" spans="1:5">
      <c r="A1370" s="59" t="s">
        <v>996</v>
      </c>
      <c r="B1370" s="59" t="s">
        <v>3945</v>
      </c>
      <c r="C1370" s="59" t="s">
        <v>1669</v>
      </c>
      <c r="D1370" s="65" t="s">
        <v>1458</v>
      </c>
      <c r="E1370" s="65" t="s">
        <v>1456</v>
      </c>
    </row>
    <row r="1371" spans="1:5">
      <c r="A1371" s="59" t="s">
        <v>3946</v>
      </c>
      <c r="B1371" s="59" t="s">
        <v>3947</v>
      </c>
      <c r="C1371" s="59" t="s">
        <v>1669</v>
      </c>
      <c r="D1371" s="59" t="s">
        <v>1455</v>
      </c>
      <c r="E1371" s="59" t="s">
        <v>1456</v>
      </c>
    </row>
    <row r="1372" spans="1:5">
      <c r="A1372" s="59" t="s">
        <v>3948</v>
      </c>
      <c r="B1372" s="59" t="s">
        <v>3949</v>
      </c>
      <c r="C1372" s="59" t="s">
        <v>1669</v>
      </c>
      <c r="D1372" s="59" t="s">
        <v>1477</v>
      </c>
      <c r="E1372" s="59" t="s">
        <v>1456</v>
      </c>
    </row>
    <row r="1373" spans="1:5">
      <c r="A1373" s="59" t="s">
        <v>3950</v>
      </c>
      <c r="B1373" s="59" t="s">
        <v>3951</v>
      </c>
      <c r="C1373" s="59" t="s">
        <v>1669</v>
      </c>
      <c r="D1373" s="59" t="s">
        <v>1458</v>
      </c>
      <c r="E1373" s="59" t="s">
        <v>1456</v>
      </c>
    </row>
    <row r="1374" spans="1:5">
      <c r="A1374" s="59" t="s">
        <v>3952</v>
      </c>
      <c r="B1374" s="59" t="s">
        <v>3953</v>
      </c>
      <c r="C1374" s="59" t="s">
        <v>1669</v>
      </c>
      <c r="D1374" s="59" t="s">
        <v>1458</v>
      </c>
      <c r="E1374" s="59" t="s">
        <v>71</v>
      </c>
    </row>
    <row r="1375" spans="1:5">
      <c r="A1375" s="59" t="s">
        <v>3954</v>
      </c>
      <c r="B1375" s="59" t="s">
        <v>3955</v>
      </c>
      <c r="C1375" s="59" t="s">
        <v>1669</v>
      </c>
      <c r="D1375" s="59" t="s">
        <v>1395</v>
      </c>
      <c r="E1375" s="59" t="s">
        <v>71</v>
      </c>
    </row>
    <row r="1376" spans="1:5">
      <c r="A1376" s="59" t="s">
        <v>3956</v>
      </c>
      <c r="B1376" s="59" t="s">
        <v>3957</v>
      </c>
      <c r="C1376" s="59" t="s">
        <v>1669</v>
      </c>
      <c r="D1376" s="59" t="s">
        <v>1458</v>
      </c>
      <c r="E1376" s="59" t="s">
        <v>71</v>
      </c>
    </row>
    <row r="1377" spans="1:5">
      <c r="A1377" s="59" t="s">
        <v>3958</v>
      </c>
      <c r="B1377" s="59" t="s">
        <v>3959</v>
      </c>
      <c r="C1377" s="59" t="s">
        <v>1669</v>
      </c>
      <c r="D1377" s="59" t="s">
        <v>1477</v>
      </c>
      <c r="E1377" s="59" t="s">
        <v>71</v>
      </c>
    </row>
    <row r="1378" spans="1:5">
      <c r="A1378" s="59" t="s">
        <v>3960</v>
      </c>
      <c r="B1378" s="59" t="s">
        <v>3961</v>
      </c>
      <c r="C1378" s="59" t="s">
        <v>1669</v>
      </c>
      <c r="D1378" s="65" t="s">
        <v>1455</v>
      </c>
      <c r="E1378" s="65" t="s">
        <v>71</v>
      </c>
    </row>
    <row r="1379" spans="1:5">
      <c r="A1379" s="59" t="s">
        <v>3962</v>
      </c>
      <c r="B1379" s="59" t="s">
        <v>3963</v>
      </c>
      <c r="C1379" s="59" t="s">
        <v>1669</v>
      </c>
      <c r="D1379" s="65" t="s">
        <v>598</v>
      </c>
      <c r="E1379" s="65" t="s">
        <v>71</v>
      </c>
    </row>
    <row r="1380" spans="1:5">
      <c r="A1380" s="59" t="s">
        <v>3964</v>
      </c>
      <c r="B1380" s="59" t="s">
        <v>3965</v>
      </c>
      <c r="C1380" s="59" t="s">
        <v>1669</v>
      </c>
      <c r="D1380" s="59" t="s">
        <v>1395</v>
      </c>
      <c r="E1380" s="59" t="s">
        <v>71</v>
      </c>
    </row>
    <row r="1381" spans="1:5">
      <c r="A1381" s="59" t="s">
        <v>3966</v>
      </c>
      <c r="B1381" s="59" t="s">
        <v>3967</v>
      </c>
      <c r="C1381" s="59" t="s">
        <v>1669</v>
      </c>
      <c r="D1381" s="59" t="s">
        <v>89</v>
      </c>
      <c r="E1381" s="59" t="s">
        <v>1456</v>
      </c>
    </row>
    <row r="1382" spans="1:5">
      <c r="A1382" s="59" t="s">
        <v>3968</v>
      </c>
      <c r="B1382" s="59" t="s">
        <v>3969</v>
      </c>
      <c r="C1382" s="59" t="s">
        <v>1669</v>
      </c>
      <c r="D1382" s="59" t="s">
        <v>89</v>
      </c>
      <c r="E1382" s="59" t="s">
        <v>71</v>
      </c>
    </row>
    <row r="1383" spans="1:5">
      <c r="A1383" s="59" t="s">
        <v>3970</v>
      </c>
      <c r="B1383" s="59" t="s">
        <v>3971</v>
      </c>
      <c r="C1383" s="59" t="s">
        <v>1669</v>
      </c>
      <c r="D1383" s="59" t="s">
        <v>1371</v>
      </c>
      <c r="E1383" s="59" t="s">
        <v>71</v>
      </c>
    </row>
    <row r="1384" spans="1:5">
      <c r="A1384" s="59" t="s">
        <v>3972</v>
      </c>
      <c r="B1384" s="59" t="s">
        <v>3973</v>
      </c>
      <c r="C1384" s="59" t="s">
        <v>1669</v>
      </c>
      <c r="D1384" s="59" t="s">
        <v>1458</v>
      </c>
      <c r="E1384" s="59" t="s">
        <v>71</v>
      </c>
    </row>
    <row r="1385" spans="1:5">
      <c r="A1385" s="59" t="s">
        <v>3974</v>
      </c>
      <c r="B1385" s="59" t="s">
        <v>3975</v>
      </c>
      <c r="C1385" s="59" t="s">
        <v>1669</v>
      </c>
      <c r="D1385" s="65" t="s">
        <v>598</v>
      </c>
      <c r="E1385" s="65" t="s">
        <v>71</v>
      </c>
    </row>
    <row r="1386" spans="1:5">
      <c r="A1386" s="59" t="s">
        <v>3976</v>
      </c>
      <c r="B1386" s="59" t="s">
        <v>3977</v>
      </c>
      <c r="C1386" s="59" t="s">
        <v>1669</v>
      </c>
      <c r="D1386" s="59" t="s">
        <v>1477</v>
      </c>
      <c r="E1386" s="59" t="s">
        <v>71</v>
      </c>
    </row>
    <row r="1387" spans="1:5">
      <c r="A1387" s="59" t="s">
        <v>3978</v>
      </c>
      <c r="B1387" s="59" t="s">
        <v>3979</v>
      </c>
      <c r="C1387" s="59" t="s">
        <v>1669</v>
      </c>
      <c r="D1387" s="65" t="s">
        <v>1458</v>
      </c>
      <c r="E1387" s="65" t="s">
        <v>71</v>
      </c>
    </row>
    <row r="1388" spans="1:5">
      <c r="A1388" s="59" t="s">
        <v>3980</v>
      </c>
      <c r="B1388" s="59" t="s">
        <v>3981</v>
      </c>
      <c r="C1388" s="59" t="s">
        <v>1669</v>
      </c>
      <c r="D1388" s="65" t="s">
        <v>598</v>
      </c>
      <c r="E1388" s="65" t="s">
        <v>71</v>
      </c>
    </row>
    <row r="1389" spans="1:5">
      <c r="A1389" s="59" t="s">
        <v>3982</v>
      </c>
      <c r="B1389" s="59" t="s">
        <v>3983</v>
      </c>
      <c r="C1389" s="59" t="s">
        <v>1669</v>
      </c>
      <c r="D1389" s="59" t="s">
        <v>1395</v>
      </c>
      <c r="E1389" s="59" t="s">
        <v>71</v>
      </c>
    </row>
    <row r="1390" spans="1:5">
      <c r="A1390" s="59" t="s">
        <v>3984</v>
      </c>
      <c r="B1390" s="59" t="s">
        <v>3985</v>
      </c>
      <c r="C1390" s="59" t="s">
        <v>1669</v>
      </c>
      <c r="D1390" s="59" t="s">
        <v>1477</v>
      </c>
      <c r="E1390" s="59" t="s">
        <v>71</v>
      </c>
    </row>
    <row r="1391" spans="1:5">
      <c r="A1391" s="59" t="s">
        <v>3986</v>
      </c>
      <c r="B1391" s="59" t="s">
        <v>3987</v>
      </c>
      <c r="C1391" s="59" t="s">
        <v>1669</v>
      </c>
      <c r="D1391" s="59" t="s">
        <v>1477</v>
      </c>
      <c r="E1391" s="59" t="s">
        <v>71</v>
      </c>
    </row>
    <row r="1392" spans="1:5">
      <c r="A1392" s="59" t="s">
        <v>3988</v>
      </c>
      <c r="B1392" s="59" t="s">
        <v>3989</v>
      </c>
      <c r="C1392" s="59" t="s">
        <v>1669</v>
      </c>
      <c r="D1392" s="59" t="s">
        <v>1477</v>
      </c>
      <c r="E1392" s="59" t="s">
        <v>71</v>
      </c>
    </row>
    <row r="1393" spans="1:5">
      <c r="A1393" s="59" t="s">
        <v>827</v>
      </c>
      <c r="B1393" s="59" t="s">
        <v>828</v>
      </c>
      <c r="C1393" s="59" t="s">
        <v>1669</v>
      </c>
      <c r="D1393" s="59" t="s">
        <v>1455</v>
      </c>
      <c r="E1393" s="59" t="s">
        <v>71</v>
      </c>
    </row>
    <row r="1394" spans="1:5">
      <c r="A1394" s="59" t="s">
        <v>3990</v>
      </c>
      <c r="B1394" s="59" t="s">
        <v>3991</v>
      </c>
      <c r="C1394" s="59" t="s">
        <v>1669</v>
      </c>
      <c r="D1394" s="65" t="s">
        <v>598</v>
      </c>
      <c r="E1394" s="65" t="s">
        <v>71</v>
      </c>
    </row>
    <row r="1395" spans="1:5">
      <c r="A1395" s="59" t="s">
        <v>3992</v>
      </c>
      <c r="B1395" s="59" t="s">
        <v>3993</v>
      </c>
      <c r="C1395" s="59" t="s">
        <v>1669</v>
      </c>
      <c r="D1395" s="65" t="s">
        <v>1395</v>
      </c>
      <c r="E1395" s="65" t="s">
        <v>71</v>
      </c>
    </row>
    <row r="1396" spans="1:5">
      <c r="A1396" s="59" t="s">
        <v>3994</v>
      </c>
      <c r="B1396" s="59" t="s">
        <v>3995</v>
      </c>
      <c r="C1396" s="59" t="s">
        <v>1669</v>
      </c>
      <c r="D1396" s="65" t="s">
        <v>598</v>
      </c>
      <c r="E1396" s="65" t="s">
        <v>71</v>
      </c>
    </row>
    <row r="1397" spans="1:5">
      <c r="A1397" s="59" t="s">
        <v>3996</v>
      </c>
      <c r="B1397" s="59" t="s">
        <v>3997</v>
      </c>
      <c r="C1397" s="59" t="s">
        <v>1669</v>
      </c>
      <c r="D1397" s="59" t="s">
        <v>1395</v>
      </c>
      <c r="E1397" s="59" t="s">
        <v>71</v>
      </c>
    </row>
    <row r="1398" spans="1:5">
      <c r="A1398" s="59" t="s">
        <v>3998</v>
      </c>
      <c r="B1398" s="59" t="s">
        <v>3999</v>
      </c>
      <c r="C1398" s="59" t="s">
        <v>1669</v>
      </c>
      <c r="D1398" s="65" t="s">
        <v>598</v>
      </c>
      <c r="E1398" s="65" t="s">
        <v>71</v>
      </c>
    </row>
    <row r="1399" spans="1:5">
      <c r="A1399" s="59" t="s">
        <v>4000</v>
      </c>
      <c r="B1399" s="59" t="s">
        <v>4001</v>
      </c>
      <c r="C1399" s="59" t="s">
        <v>1669</v>
      </c>
      <c r="D1399" s="65" t="s">
        <v>1458</v>
      </c>
      <c r="E1399" s="65" t="s">
        <v>71</v>
      </c>
    </row>
    <row r="1400" spans="1:5">
      <c r="A1400" s="59" t="s">
        <v>4002</v>
      </c>
      <c r="B1400" s="59" t="s">
        <v>4003</v>
      </c>
      <c r="C1400" s="59" t="s">
        <v>1669</v>
      </c>
      <c r="D1400" s="65" t="s">
        <v>598</v>
      </c>
      <c r="E1400" s="65" t="s">
        <v>71</v>
      </c>
    </row>
    <row r="1401" spans="1:5">
      <c r="A1401" s="59"/>
      <c r="B1401" s="59" t="s">
        <v>4004</v>
      </c>
      <c r="C1401" s="59" t="s">
        <v>1669</v>
      </c>
      <c r="D1401" s="65" t="s">
        <v>0</v>
      </c>
      <c r="E1401" s="65" t="s">
        <v>122</v>
      </c>
    </row>
    <row r="1402" spans="1:5">
      <c r="A1402" s="59" t="s">
        <v>4005</v>
      </c>
      <c r="B1402" s="59" t="s">
        <v>4006</v>
      </c>
      <c r="C1402" s="59" t="s">
        <v>1669</v>
      </c>
      <c r="D1402" s="65" t="s">
        <v>598</v>
      </c>
      <c r="E1402" s="65" t="s">
        <v>71</v>
      </c>
    </row>
    <row r="1403" spans="1:5">
      <c r="A1403" s="59" t="s">
        <v>4007</v>
      </c>
      <c r="B1403" s="59" t="s">
        <v>4008</v>
      </c>
      <c r="C1403" s="59" t="s">
        <v>1669</v>
      </c>
      <c r="D1403" s="59" t="s">
        <v>1477</v>
      </c>
      <c r="E1403" s="59" t="s">
        <v>71</v>
      </c>
    </row>
    <row r="1404" spans="1:5">
      <c r="A1404" s="59" t="s">
        <v>4009</v>
      </c>
      <c r="B1404" s="59" t="s">
        <v>4010</v>
      </c>
      <c r="C1404" s="59" t="s">
        <v>1669</v>
      </c>
      <c r="D1404" s="59" t="s">
        <v>1458</v>
      </c>
      <c r="E1404" s="59" t="s">
        <v>71</v>
      </c>
    </row>
    <row r="1405" spans="1:5">
      <c r="A1405" s="59" t="s">
        <v>4011</v>
      </c>
      <c r="B1405" s="59" t="s">
        <v>4012</v>
      </c>
      <c r="C1405" s="59" t="s">
        <v>1669</v>
      </c>
      <c r="D1405" s="59" t="s">
        <v>1455</v>
      </c>
      <c r="E1405" s="59" t="s">
        <v>71</v>
      </c>
    </row>
    <row r="1406" spans="1:5">
      <c r="A1406" s="59" t="s">
        <v>4013</v>
      </c>
      <c r="B1406" s="59" t="s">
        <v>4012</v>
      </c>
      <c r="C1406" s="59" t="s">
        <v>1669</v>
      </c>
      <c r="D1406" s="65" t="s">
        <v>1455</v>
      </c>
      <c r="E1406" s="65" t="s">
        <v>71</v>
      </c>
    </row>
    <row r="1407" spans="1:5">
      <c r="A1407" s="59" t="s">
        <v>4014</v>
      </c>
      <c r="B1407" s="59" t="s">
        <v>4015</v>
      </c>
      <c r="C1407" s="59" t="s">
        <v>1669</v>
      </c>
      <c r="D1407" s="59" t="s">
        <v>1477</v>
      </c>
      <c r="E1407" s="59" t="s">
        <v>1456</v>
      </c>
    </row>
    <row r="1408" spans="1:5">
      <c r="A1408" s="59" t="s">
        <v>4016</v>
      </c>
      <c r="B1408" s="59" t="s">
        <v>4017</v>
      </c>
      <c r="C1408" s="59" t="s">
        <v>1669</v>
      </c>
      <c r="D1408" s="59" t="s">
        <v>1371</v>
      </c>
      <c r="E1408" s="59" t="s">
        <v>71</v>
      </c>
    </row>
    <row r="1409" spans="1:5">
      <c r="A1409" s="59" t="s">
        <v>4018</v>
      </c>
      <c r="B1409" s="59" t="s">
        <v>4019</v>
      </c>
      <c r="C1409" s="59" t="s">
        <v>1669</v>
      </c>
      <c r="D1409" s="59" t="s">
        <v>1395</v>
      </c>
      <c r="E1409" s="59" t="s">
        <v>71</v>
      </c>
    </row>
    <row r="1410" spans="1:5">
      <c r="A1410" s="59" t="s">
        <v>4020</v>
      </c>
      <c r="B1410" s="59" t="s">
        <v>4021</v>
      </c>
      <c r="C1410" s="59" t="s">
        <v>1669</v>
      </c>
      <c r="D1410" s="65" t="s">
        <v>598</v>
      </c>
      <c r="E1410" s="65" t="s">
        <v>71</v>
      </c>
    </row>
    <row r="1411" spans="1:5">
      <c r="A1411" s="59" t="s">
        <v>4022</v>
      </c>
      <c r="B1411" s="59" t="s">
        <v>4023</v>
      </c>
      <c r="C1411" s="59" t="s">
        <v>1669</v>
      </c>
      <c r="D1411" s="59" t="s">
        <v>1458</v>
      </c>
      <c r="E1411" s="59" t="s">
        <v>71</v>
      </c>
    </row>
    <row r="1412" spans="1:5">
      <c r="A1412" s="59" t="s">
        <v>4024</v>
      </c>
      <c r="B1412" s="59" t="s">
        <v>4025</v>
      </c>
      <c r="C1412" s="59" t="s">
        <v>1669</v>
      </c>
      <c r="D1412" s="59" t="s">
        <v>1477</v>
      </c>
      <c r="E1412" s="59" t="s">
        <v>71</v>
      </c>
    </row>
    <row r="1413" spans="1:5">
      <c r="A1413" s="59" t="s">
        <v>4026</v>
      </c>
      <c r="B1413" s="59" t="s">
        <v>4027</v>
      </c>
      <c r="C1413" s="59" t="s">
        <v>1669</v>
      </c>
      <c r="D1413" s="59" t="s">
        <v>1395</v>
      </c>
      <c r="E1413" s="59" t="s">
        <v>71</v>
      </c>
    </row>
    <row r="1414" spans="1:5">
      <c r="A1414" s="59" t="s">
        <v>4028</v>
      </c>
      <c r="B1414" s="59" t="s">
        <v>4029</v>
      </c>
      <c r="C1414" s="59" t="s">
        <v>1669</v>
      </c>
      <c r="D1414" s="65" t="s">
        <v>598</v>
      </c>
      <c r="E1414" s="65" t="s">
        <v>71</v>
      </c>
    </row>
    <row r="1415" spans="1:5">
      <c r="A1415" s="59" t="s">
        <v>4030</v>
      </c>
      <c r="B1415" s="59" t="s">
        <v>4031</v>
      </c>
      <c r="C1415" s="59" t="s">
        <v>1669</v>
      </c>
      <c r="D1415" s="65" t="s">
        <v>598</v>
      </c>
      <c r="E1415" s="65" t="s">
        <v>71</v>
      </c>
    </row>
    <row r="1416" spans="1:5">
      <c r="A1416" s="59" t="s">
        <v>812</v>
      </c>
      <c r="B1416" s="59" t="s">
        <v>813</v>
      </c>
      <c r="C1416" s="59" t="s">
        <v>1669</v>
      </c>
      <c r="D1416" s="59" t="s">
        <v>1395</v>
      </c>
      <c r="E1416" s="59" t="s">
        <v>71</v>
      </c>
    </row>
    <row r="1417" spans="1:5">
      <c r="A1417" s="59" t="s">
        <v>4032</v>
      </c>
      <c r="B1417" s="59" t="s">
        <v>4033</v>
      </c>
      <c r="C1417" s="59" t="s">
        <v>1669</v>
      </c>
      <c r="D1417" s="59" t="s">
        <v>1458</v>
      </c>
      <c r="E1417" s="59" t="s">
        <v>71</v>
      </c>
    </row>
    <row r="1418" spans="1:5">
      <c r="A1418" s="59" t="s">
        <v>4034</v>
      </c>
      <c r="B1418" s="59" t="s">
        <v>4035</v>
      </c>
      <c r="C1418" s="59" t="s">
        <v>1669</v>
      </c>
      <c r="D1418" s="59" t="s">
        <v>1458</v>
      </c>
      <c r="E1418" s="59" t="s">
        <v>71</v>
      </c>
    </row>
    <row r="1419" spans="1:5">
      <c r="A1419" s="59" t="s">
        <v>4036</v>
      </c>
      <c r="B1419" s="59" t="s">
        <v>4037</v>
      </c>
      <c r="C1419" s="59" t="s">
        <v>1669</v>
      </c>
      <c r="D1419" s="59" t="s">
        <v>1455</v>
      </c>
      <c r="E1419" s="59" t="s">
        <v>71</v>
      </c>
    </row>
    <row r="1420" spans="1:5">
      <c r="A1420" s="59" t="s">
        <v>4038</v>
      </c>
      <c r="B1420" s="59" t="s">
        <v>4039</v>
      </c>
      <c r="C1420" s="59" t="s">
        <v>1669</v>
      </c>
      <c r="D1420" s="59" t="s">
        <v>1371</v>
      </c>
      <c r="E1420" s="59" t="s">
        <v>71</v>
      </c>
    </row>
    <row r="1421" spans="1:5">
      <c r="A1421" s="59" t="s">
        <v>4040</v>
      </c>
      <c r="B1421" s="59" t="s">
        <v>4041</v>
      </c>
      <c r="C1421" s="59" t="s">
        <v>1669</v>
      </c>
      <c r="D1421" s="59" t="s">
        <v>1371</v>
      </c>
      <c r="E1421" s="59" t="s">
        <v>71</v>
      </c>
    </row>
    <row r="1422" spans="1:5">
      <c r="A1422" s="59" t="s">
        <v>590</v>
      </c>
      <c r="B1422" s="59" t="s">
        <v>591</v>
      </c>
      <c r="C1422" s="59" t="s">
        <v>1669</v>
      </c>
      <c r="D1422" s="65" t="s">
        <v>1371</v>
      </c>
      <c r="E1422" s="65" t="s">
        <v>1456</v>
      </c>
    </row>
    <row r="1423" spans="1:5">
      <c r="A1423" s="59" t="s">
        <v>4042</v>
      </c>
      <c r="B1423" s="59" t="s">
        <v>4043</v>
      </c>
      <c r="C1423" s="59" t="s">
        <v>1669</v>
      </c>
      <c r="D1423" s="59" t="s">
        <v>1458</v>
      </c>
      <c r="E1423" s="59" t="s">
        <v>71</v>
      </c>
    </row>
    <row r="1424" spans="1:5">
      <c r="A1424" s="59" t="s">
        <v>4044</v>
      </c>
      <c r="B1424" s="59" t="s">
        <v>4045</v>
      </c>
      <c r="C1424" s="59" t="s">
        <v>1669</v>
      </c>
      <c r="D1424" s="59" t="s">
        <v>1455</v>
      </c>
      <c r="E1424" s="59" t="s">
        <v>1456</v>
      </c>
    </row>
    <row r="1425" spans="1:5">
      <c r="A1425" s="59" t="s">
        <v>4046</v>
      </c>
      <c r="B1425" s="59" t="s">
        <v>4047</v>
      </c>
      <c r="C1425" s="59" t="s">
        <v>1669</v>
      </c>
      <c r="D1425" s="59" t="s">
        <v>1458</v>
      </c>
      <c r="E1425" s="59" t="s">
        <v>71</v>
      </c>
    </row>
    <row r="1426" spans="1:5">
      <c r="A1426" s="59" t="s">
        <v>4048</v>
      </c>
      <c r="B1426" s="59" t="s">
        <v>4049</v>
      </c>
      <c r="C1426" s="59" t="s">
        <v>1669</v>
      </c>
      <c r="D1426" s="59" t="s">
        <v>1458</v>
      </c>
      <c r="E1426" s="59" t="s">
        <v>71</v>
      </c>
    </row>
    <row r="1427" spans="1:5">
      <c r="A1427" s="59" t="s">
        <v>4050</v>
      </c>
      <c r="B1427" s="59" t="s">
        <v>4051</v>
      </c>
      <c r="C1427" s="59" t="s">
        <v>1669</v>
      </c>
      <c r="D1427" s="59" t="s">
        <v>1395</v>
      </c>
      <c r="E1427" s="59" t="s">
        <v>71</v>
      </c>
    </row>
    <row r="1428" spans="1:5">
      <c r="A1428" s="59" t="s">
        <v>4052</v>
      </c>
      <c r="B1428" s="59" t="s">
        <v>4053</v>
      </c>
      <c r="C1428" s="59" t="s">
        <v>1669</v>
      </c>
      <c r="D1428" s="59" t="s">
        <v>1477</v>
      </c>
      <c r="E1428" s="59" t="s">
        <v>71</v>
      </c>
    </row>
    <row r="1429" spans="1:5">
      <c r="A1429" s="59" t="s">
        <v>4054</v>
      </c>
      <c r="B1429" s="59" t="s">
        <v>4055</v>
      </c>
      <c r="C1429" s="59" t="s">
        <v>1669</v>
      </c>
      <c r="D1429" s="59" t="s">
        <v>1477</v>
      </c>
      <c r="E1429" s="59" t="s">
        <v>71</v>
      </c>
    </row>
    <row r="1430" spans="1:5">
      <c r="A1430" s="59" t="s">
        <v>4056</v>
      </c>
      <c r="B1430" s="59" t="s">
        <v>4057</v>
      </c>
      <c r="C1430" s="59" t="s">
        <v>1669</v>
      </c>
      <c r="D1430" s="59" t="s">
        <v>1477</v>
      </c>
      <c r="E1430" s="59" t="s">
        <v>71</v>
      </c>
    </row>
    <row r="1431" spans="1:5">
      <c r="A1431" s="59" t="s">
        <v>4058</v>
      </c>
      <c r="B1431" s="59" t="s">
        <v>4059</v>
      </c>
      <c r="C1431" s="59" t="s">
        <v>1669</v>
      </c>
      <c r="D1431" s="59" t="s">
        <v>89</v>
      </c>
      <c r="E1431" s="59" t="s">
        <v>71</v>
      </c>
    </row>
    <row r="1432" spans="1:5">
      <c r="A1432" s="59" t="s">
        <v>4060</v>
      </c>
      <c r="B1432" s="59" t="s">
        <v>4061</v>
      </c>
      <c r="C1432" s="59" t="s">
        <v>1669</v>
      </c>
      <c r="D1432" s="59" t="s">
        <v>1477</v>
      </c>
      <c r="E1432" s="59" t="s">
        <v>71</v>
      </c>
    </row>
    <row r="1433" spans="1:5">
      <c r="A1433" s="59" t="s">
        <v>4062</v>
      </c>
      <c r="B1433" s="59" t="s">
        <v>4063</v>
      </c>
      <c r="C1433" s="59" t="s">
        <v>1669</v>
      </c>
      <c r="D1433" s="59" t="s">
        <v>1455</v>
      </c>
      <c r="E1433" s="59" t="s">
        <v>71</v>
      </c>
    </row>
    <row r="1434" spans="1:5">
      <c r="A1434" s="59" t="s">
        <v>4064</v>
      </c>
      <c r="B1434" s="59" t="s">
        <v>4065</v>
      </c>
      <c r="C1434" s="59" t="s">
        <v>1669</v>
      </c>
      <c r="D1434" s="59" t="s">
        <v>1458</v>
      </c>
      <c r="E1434" s="59" t="s">
        <v>71</v>
      </c>
    </row>
    <row r="1435" spans="1:5">
      <c r="A1435" s="59" t="s">
        <v>4066</v>
      </c>
      <c r="B1435" s="59" t="s">
        <v>4067</v>
      </c>
      <c r="C1435" s="59" t="s">
        <v>1669</v>
      </c>
      <c r="D1435" s="65" t="s">
        <v>598</v>
      </c>
      <c r="E1435" s="65" t="s">
        <v>71</v>
      </c>
    </row>
    <row r="1436" spans="1:5">
      <c r="A1436" s="59" t="s">
        <v>4068</v>
      </c>
      <c r="B1436" s="59" t="s">
        <v>4069</v>
      </c>
      <c r="C1436" s="59" t="s">
        <v>1669</v>
      </c>
      <c r="D1436" s="59" t="s">
        <v>1455</v>
      </c>
      <c r="E1436" s="59" t="s">
        <v>71</v>
      </c>
    </row>
    <row r="1437" spans="1:5">
      <c r="A1437" s="59" t="s">
        <v>4070</v>
      </c>
      <c r="B1437" s="59" t="s">
        <v>4071</v>
      </c>
      <c r="C1437" s="59" t="s">
        <v>1669</v>
      </c>
      <c r="D1437" s="59" t="s">
        <v>1458</v>
      </c>
      <c r="E1437" s="59" t="s">
        <v>71</v>
      </c>
    </row>
    <row r="1438" spans="1:5">
      <c r="A1438" s="59" t="s">
        <v>4072</v>
      </c>
      <c r="B1438" s="59" t="s">
        <v>4073</v>
      </c>
      <c r="C1438" s="59" t="s">
        <v>1669</v>
      </c>
      <c r="D1438" s="59" t="s">
        <v>1477</v>
      </c>
      <c r="E1438" s="59" t="s">
        <v>1456</v>
      </c>
    </row>
    <row r="1439" spans="1:5">
      <c r="A1439" s="59" t="s">
        <v>4074</v>
      </c>
      <c r="B1439" s="59" t="s">
        <v>4075</v>
      </c>
      <c r="C1439" s="59" t="s">
        <v>1669</v>
      </c>
      <c r="D1439" s="59" t="s">
        <v>1477</v>
      </c>
      <c r="E1439" s="59" t="s">
        <v>71</v>
      </c>
    </row>
    <row r="1440" spans="1:5">
      <c r="A1440" s="59" t="s">
        <v>4076</v>
      </c>
      <c r="B1440" s="59" t="s">
        <v>4077</v>
      </c>
      <c r="C1440" s="59" t="s">
        <v>1669</v>
      </c>
      <c r="D1440" s="59" t="s">
        <v>1371</v>
      </c>
      <c r="E1440" s="59" t="s">
        <v>71</v>
      </c>
    </row>
    <row r="1441" spans="1:5">
      <c r="A1441" s="59" t="s">
        <v>4078</v>
      </c>
      <c r="B1441" s="59" t="s">
        <v>4079</v>
      </c>
      <c r="C1441" s="59" t="s">
        <v>1669</v>
      </c>
      <c r="D1441" s="59" t="s">
        <v>1371</v>
      </c>
      <c r="E1441" s="59" t="s">
        <v>71</v>
      </c>
    </row>
    <row r="1442" spans="1:5">
      <c r="A1442" s="59" t="s">
        <v>4080</v>
      </c>
      <c r="B1442" s="59" t="s">
        <v>4081</v>
      </c>
      <c r="C1442" s="59" t="s">
        <v>1669</v>
      </c>
      <c r="D1442" s="59" t="s">
        <v>1455</v>
      </c>
      <c r="E1442" s="59" t="s">
        <v>1456</v>
      </c>
    </row>
    <row r="1443" spans="1:5">
      <c r="A1443" s="59" t="s">
        <v>4082</v>
      </c>
      <c r="B1443" s="59" t="s">
        <v>883</v>
      </c>
      <c r="C1443" s="59" t="s">
        <v>1669</v>
      </c>
      <c r="D1443" s="59" t="s">
        <v>1477</v>
      </c>
      <c r="E1443" s="59" t="s">
        <v>71</v>
      </c>
    </row>
    <row r="1444" spans="1:5">
      <c r="A1444" s="59" t="s">
        <v>4083</v>
      </c>
      <c r="B1444" s="59" t="s">
        <v>4084</v>
      </c>
      <c r="C1444" s="59" t="s">
        <v>1669</v>
      </c>
      <c r="D1444" s="65" t="s">
        <v>1477</v>
      </c>
      <c r="E1444" s="65" t="s">
        <v>71</v>
      </c>
    </row>
    <row r="1445" spans="1:5">
      <c r="A1445" s="59" t="s">
        <v>4085</v>
      </c>
      <c r="B1445" s="59" t="s">
        <v>4086</v>
      </c>
      <c r="C1445" s="59" t="s">
        <v>1669</v>
      </c>
      <c r="D1445" s="59" t="s">
        <v>1455</v>
      </c>
      <c r="E1445" s="59" t="s">
        <v>1456</v>
      </c>
    </row>
    <row r="1446" spans="1:5">
      <c r="A1446" s="59" t="s">
        <v>4087</v>
      </c>
      <c r="B1446" s="59" t="s">
        <v>4088</v>
      </c>
      <c r="C1446" s="59" t="s">
        <v>1669</v>
      </c>
      <c r="D1446" s="65" t="s">
        <v>598</v>
      </c>
      <c r="E1446" s="65" t="s">
        <v>71</v>
      </c>
    </row>
    <row r="1447" spans="1:5">
      <c r="A1447" s="59" t="s">
        <v>4089</v>
      </c>
      <c r="B1447" s="59" t="s">
        <v>4090</v>
      </c>
      <c r="C1447" s="59" t="s">
        <v>1669</v>
      </c>
      <c r="D1447" s="65" t="s">
        <v>1458</v>
      </c>
      <c r="E1447" s="65" t="s">
        <v>1456</v>
      </c>
    </row>
    <row r="1448" spans="1:5">
      <c r="A1448" s="59" t="s">
        <v>4091</v>
      </c>
      <c r="B1448" s="59" t="s">
        <v>4090</v>
      </c>
      <c r="C1448" s="59" t="s">
        <v>1669</v>
      </c>
      <c r="D1448" s="59" t="s">
        <v>89</v>
      </c>
      <c r="E1448" s="59" t="s">
        <v>71</v>
      </c>
    </row>
    <row r="1449" spans="1:5">
      <c r="A1449" s="59" t="s">
        <v>4092</v>
      </c>
      <c r="B1449" s="59" t="s">
        <v>4093</v>
      </c>
      <c r="C1449" s="59" t="s">
        <v>1669</v>
      </c>
      <c r="D1449" s="59" t="s">
        <v>1395</v>
      </c>
      <c r="E1449" s="59" t="s">
        <v>71</v>
      </c>
    </row>
    <row r="1450" spans="1:5">
      <c r="A1450" s="59" t="s">
        <v>4094</v>
      </c>
      <c r="B1450" s="59" t="s">
        <v>4095</v>
      </c>
      <c r="C1450" s="59" t="s">
        <v>1669</v>
      </c>
      <c r="D1450" s="59" t="s">
        <v>1458</v>
      </c>
      <c r="E1450" s="59" t="s">
        <v>71</v>
      </c>
    </row>
    <row r="1451" spans="1:5">
      <c r="A1451" s="59" t="s">
        <v>4096</v>
      </c>
      <c r="B1451" s="59" t="s">
        <v>4097</v>
      </c>
      <c r="C1451" s="59" t="s">
        <v>1669</v>
      </c>
      <c r="D1451" s="59" t="s">
        <v>1371</v>
      </c>
      <c r="E1451" s="59" t="s">
        <v>71</v>
      </c>
    </row>
    <row r="1452" spans="1:5">
      <c r="A1452" s="59" t="s">
        <v>4098</v>
      </c>
      <c r="B1452" s="59" t="s">
        <v>4099</v>
      </c>
      <c r="C1452" s="59" t="s">
        <v>1669</v>
      </c>
      <c r="D1452" s="59" t="s">
        <v>1395</v>
      </c>
      <c r="E1452" s="59" t="s">
        <v>71</v>
      </c>
    </row>
    <row r="1453" spans="1:5">
      <c r="A1453" s="59" t="s">
        <v>4100</v>
      </c>
      <c r="B1453" s="59" t="s">
        <v>4101</v>
      </c>
      <c r="C1453" s="59" t="s">
        <v>1669</v>
      </c>
      <c r="D1453" s="59" t="s">
        <v>1477</v>
      </c>
      <c r="E1453" s="59" t="s">
        <v>71</v>
      </c>
    </row>
    <row r="1454" spans="1:5">
      <c r="A1454" s="59" t="s">
        <v>4102</v>
      </c>
      <c r="B1454" s="59" t="s">
        <v>4103</v>
      </c>
      <c r="C1454" s="59" t="s">
        <v>1669</v>
      </c>
      <c r="D1454" s="59" t="s">
        <v>1458</v>
      </c>
      <c r="E1454" s="59" t="s">
        <v>71</v>
      </c>
    </row>
    <row r="1455" spans="1:5">
      <c r="A1455" s="59" t="s">
        <v>4104</v>
      </c>
      <c r="B1455" s="59" t="s">
        <v>4105</v>
      </c>
      <c r="C1455" s="59" t="s">
        <v>1669</v>
      </c>
      <c r="D1455" s="59" t="s">
        <v>1371</v>
      </c>
      <c r="E1455" s="59" t="s">
        <v>1456</v>
      </c>
    </row>
    <row r="1456" spans="1:5">
      <c r="A1456" s="59" t="s">
        <v>4106</v>
      </c>
      <c r="B1456" s="59" t="s">
        <v>4107</v>
      </c>
      <c r="C1456" s="59" t="s">
        <v>1669</v>
      </c>
      <c r="D1456" s="59" t="s">
        <v>1395</v>
      </c>
      <c r="E1456" s="59" t="s">
        <v>1456</v>
      </c>
    </row>
    <row r="1457" spans="1:5">
      <c r="A1457" s="59" t="s">
        <v>4108</v>
      </c>
      <c r="B1457" s="59" t="s">
        <v>4109</v>
      </c>
      <c r="C1457" s="59" t="s">
        <v>1669</v>
      </c>
      <c r="D1457" s="59" t="s">
        <v>598</v>
      </c>
      <c r="E1457" s="59" t="s">
        <v>71</v>
      </c>
    </row>
    <row r="1458" spans="1:5">
      <c r="A1458" s="59" t="s">
        <v>4110</v>
      </c>
      <c r="B1458" s="59" t="s">
        <v>4111</v>
      </c>
      <c r="C1458" s="59" t="s">
        <v>1669</v>
      </c>
      <c r="D1458" s="59" t="s">
        <v>598</v>
      </c>
      <c r="E1458" s="59" t="s">
        <v>71</v>
      </c>
    </row>
    <row r="1459" spans="1:5">
      <c r="A1459" s="59" t="s">
        <v>761</v>
      </c>
      <c r="B1459" s="59" t="s">
        <v>762</v>
      </c>
      <c r="C1459" s="59" t="s">
        <v>1669</v>
      </c>
      <c r="D1459" s="59" t="s">
        <v>1477</v>
      </c>
      <c r="E1459" s="59" t="s">
        <v>71</v>
      </c>
    </row>
    <row r="1460" spans="1:5">
      <c r="A1460" s="59" t="s">
        <v>4112</v>
      </c>
      <c r="B1460" s="59" t="s">
        <v>4113</v>
      </c>
      <c r="C1460" s="59" t="s">
        <v>1669</v>
      </c>
      <c r="D1460" s="59" t="s">
        <v>1455</v>
      </c>
      <c r="E1460" s="59" t="s">
        <v>71</v>
      </c>
    </row>
    <row r="1461" spans="1:5">
      <c r="A1461" s="59" t="s">
        <v>515</v>
      </c>
      <c r="B1461" s="59" t="s">
        <v>516</v>
      </c>
      <c r="C1461" s="59" t="s">
        <v>1669</v>
      </c>
      <c r="D1461" s="59" t="s">
        <v>1455</v>
      </c>
      <c r="E1461" s="59" t="s">
        <v>71</v>
      </c>
    </row>
    <row r="1462" spans="1:5">
      <c r="A1462" s="59" t="s">
        <v>515</v>
      </c>
      <c r="B1462" s="59" t="s">
        <v>516</v>
      </c>
      <c r="C1462" s="59" t="s">
        <v>1669</v>
      </c>
      <c r="D1462" s="59" t="s">
        <v>1455</v>
      </c>
      <c r="E1462" s="59" t="s">
        <v>71</v>
      </c>
    </row>
    <row r="1463" spans="1:5">
      <c r="A1463" s="59" t="s">
        <v>515</v>
      </c>
      <c r="B1463" s="59" t="s">
        <v>516</v>
      </c>
      <c r="C1463" s="59" t="s">
        <v>1669</v>
      </c>
      <c r="D1463" s="65" t="s">
        <v>1407</v>
      </c>
      <c r="E1463" s="65" t="s">
        <v>31</v>
      </c>
    </row>
    <row r="1464" spans="1:5">
      <c r="A1464" s="59" t="s">
        <v>515</v>
      </c>
      <c r="B1464" s="59" t="s">
        <v>516</v>
      </c>
      <c r="C1464" s="59" t="s">
        <v>1669</v>
      </c>
      <c r="D1464" s="65" t="s">
        <v>1407</v>
      </c>
      <c r="E1464" s="65" t="s">
        <v>71</v>
      </c>
    </row>
    <row r="1465" spans="1:5">
      <c r="A1465" s="59" t="s">
        <v>515</v>
      </c>
      <c r="B1465" s="59" t="s">
        <v>516</v>
      </c>
      <c r="C1465" s="59" t="s">
        <v>1669</v>
      </c>
      <c r="D1465" s="59" t="s">
        <v>89</v>
      </c>
      <c r="E1465" s="59" t="s">
        <v>71</v>
      </c>
    </row>
    <row r="1466" spans="1:5">
      <c r="A1466" s="59" t="s">
        <v>4114</v>
      </c>
      <c r="B1466" s="59" t="s">
        <v>4115</v>
      </c>
      <c r="C1466" s="59" t="s">
        <v>1669</v>
      </c>
      <c r="D1466" s="59" t="s">
        <v>1455</v>
      </c>
      <c r="E1466" s="59" t="s">
        <v>71</v>
      </c>
    </row>
    <row r="1467" spans="1:5">
      <c r="A1467" s="59" t="s">
        <v>4116</v>
      </c>
      <c r="B1467" s="59" t="s">
        <v>4117</v>
      </c>
      <c r="C1467" s="59" t="s">
        <v>1669</v>
      </c>
      <c r="D1467" s="59" t="s">
        <v>1455</v>
      </c>
      <c r="E1467" s="59" t="s">
        <v>71</v>
      </c>
    </row>
    <row r="1468" spans="1:5">
      <c r="A1468" s="59" t="s">
        <v>4118</v>
      </c>
      <c r="B1468" s="59" t="s">
        <v>4119</v>
      </c>
      <c r="C1468" s="59" t="s">
        <v>1669</v>
      </c>
      <c r="D1468" s="59" t="s">
        <v>1407</v>
      </c>
      <c r="E1468" s="59" t="s">
        <v>31</v>
      </c>
    </row>
    <row r="1469" spans="1:5">
      <c r="A1469" s="59" t="s">
        <v>4120</v>
      </c>
      <c r="B1469" s="59" t="s">
        <v>4121</v>
      </c>
      <c r="C1469" s="59" t="s">
        <v>1669</v>
      </c>
      <c r="D1469" s="59" t="s">
        <v>1458</v>
      </c>
      <c r="E1469" s="59" t="s">
        <v>71</v>
      </c>
    </row>
    <row r="1470" spans="1:5">
      <c r="A1470" s="59" t="s">
        <v>4122</v>
      </c>
      <c r="B1470" s="59" t="s">
        <v>4123</v>
      </c>
      <c r="C1470" s="59" t="s">
        <v>1669</v>
      </c>
      <c r="D1470" s="65" t="s">
        <v>598</v>
      </c>
      <c r="E1470" s="65" t="s">
        <v>71</v>
      </c>
    </row>
    <row r="1471" spans="1:5">
      <c r="A1471" s="59" t="s">
        <v>4124</v>
      </c>
      <c r="B1471" s="59" t="s">
        <v>4125</v>
      </c>
      <c r="C1471" s="59" t="s">
        <v>1669</v>
      </c>
      <c r="D1471" s="59" t="s">
        <v>89</v>
      </c>
      <c r="E1471" s="59" t="s">
        <v>71</v>
      </c>
    </row>
    <row r="1472" spans="1:5">
      <c r="A1472" s="59" t="s">
        <v>4126</v>
      </c>
      <c r="B1472" s="59" t="s">
        <v>4127</v>
      </c>
      <c r="C1472" s="59" t="s">
        <v>1669</v>
      </c>
      <c r="D1472" s="59" t="s">
        <v>1458</v>
      </c>
      <c r="E1472" s="59" t="s">
        <v>71</v>
      </c>
    </row>
    <row r="1473" spans="1:5">
      <c r="A1473" s="59" t="s">
        <v>4128</v>
      </c>
      <c r="B1473" s="59" t="s">
        <v>4129</v>
      </c>
      <c r="C1473" s="59" t="s">
        <v>1669</v>
      </c>
      <c r="D1473" s="59" t="s">
        <v>1458</v>
      </c>
      <c r="E1473" s="59" t="s">
        <v>71</v>
      </c>
    </row>
    <row r="1474" spans="1:5">
      <c r="A1474" s="59" t="s">
        <v>4130</v>
      </c>
      <c r="B1474" s="59" t="s">
        <v>4131</v>
      </c>
      <c r="C1474" s="59" t="s">
        <v>1669</v>
      </c>
      <c r="D1474" s="65" t="s">
        <v>0</v>
      </c>
      <c r="E1474" s="65" t="s">
        <v>122</v>
      </c>
    </row>
    <row r="1475" spans="1:5">
      <c r="A1475" s="59" t="s">
        <v>4132</v>
      </c>
      <c r="B1475" s="59" t="s">
        <v>4133</v>
      </c>
      <c r="C1475" s="59" t="s">
        <v>1669</v>
      </c>
      <c r="D1475" s="59" t="s">
        <v>1458</v>
      </c>
      <c r="E1475" s="59" t="s">
        <v>71</v>
      </c>
    </row>
    <row r="1476" spans="1:5">
      <c r="A1476" s="59" t="s">
        <v>1020</v>
      </c>
      <c r="B1476" s="59" t="s">
        <v>4134</v>
      </c>
      <c r="C1476" s="59" t="s">
        <v>1669</v>
      </c>
      <c r="D1476" s="59" t="s">
        <v>1477</v>
      </c>
      <c r="E1476" s="59" t="s">
        <v>71</v>
      </c>
    </row>
    <row r="1477" spans="1:5">
      <c r="A1477" s="59" t="s">
        <v>4135</v>
      </c>
      <c r="B1477" s="59" t="s">
        <v>4136</v>
      </c>
      <c r="C1477" s="59" t="s">
        <v>1669</v>
      </c>
      <c r="D1477" s="59" t="s">
        <v>1477</v>
      </c>
      <c r="E1477" s="59" t="s">
        <v>1456</v>
      </c>
    </row>
    <row r="1478" spans="1:5">
      <c r="A1478" s="59" t="s">
        <v>4137</v>
      </c>
      <c r="B1478" s="59" t="s">
        <v>4138</v>
      </c>
      <c r="C1478" s="59" t="s">
        <v>1669</v>
      </c>
      <c r="D1478" s="59" t="s">
        <v>1395</v>
      </c>
      <c r="E1478" s="59" t="s">
        <v>71</v>
      </c>
    </row>
    <row r="1479" spans="1:5">
      <c r="A1479" s="59" t="s">
        <v>308</v>
      </c>
      <c r="B1479" s="59" t="s">
        <v>309</v>
      </c>
      <c r="C1479" s="59" t="s">
        <v>1669</v>
      </c>
      <c r="D1479" s="65" t="s">
        <v>1455</v>
      </c>
      <c r="E1479" s="65" t="s">
        <v>71</v>
      </c>
    </row>
    <row r="1480" spans="1:5">
      <c r="A1480" s="59" t="s">
        <v>4139</v>
      </c>
      <c r="B1480" s="59" t="s">
        <v>309</v>
      </c>
      <c r="C1480" s="59" t="s">
        <v>1669</v>
      </c>
      <c r="D1480" s="59" t="s">
        <v>1395</v>
      </c>
      <c r="E1480" s="59" t="s">
        <v>71</v>
      </c>
    </row>
    <row r="1481" spans="1:5">
      <c r="A1481" s="59">
        <v>5166</v>
      </c>
      <c r="B1481" s="59" t="s">
        <v>4140</v>
      </c>
      <c r="C1481" s="59" t="s">
        <v>1669</v>
      </c>
      <c r="D1481" s="65" t="s">
        <v>0</v>
      </c>
      <c r="E1481" s="65" t="s">
        <v>122</v>
      </c>
    </row>
    <row r="1482" spans="1:5">
      <c r="A1482" s="59" t="s">
        <v>4141</v>
      </c>
      <c r="B1482" s="59" t="s">
        <v>4142</v>
      </c>
      <c r="C1482" s="59" t="s">
        <v>1669</v>
      </c>
      <c r="D1482" s="59" t="s">
        <v>1458</v>
      </c>
      <c r="E1482" s="59" t="s">
        <v>71</v>
      </c>
    </row>
    <row r="1483" spans="1:5">
      <c r="A1483" s="59" t="s">
        <v>4143</v>
      </c>
      <c r="B1483" s="59" t="s">
        <v>4144</v>
      </c>
      <c r="C1483" s="59" t="s">
        <v>1669</v>
      </c>
      <c r="D1483" s="59" t="s">
        <v>1371</v>
      </c>
      <c r="E1483" s="59" t="s">
        <v>71</v>
      </c>
    </row>
    <row r="1484" spans="1:5">
      <c r="A1484" s="59" t="s">
        <v>1005</v>
      </c>
      <c r="B1484" s="59" t="s">
        <v>4145</v>
      </c>
      <c r="C1484" s="59" t="s">
        <v>1669</v>
      </c>
      <c r="D1484" s="59" t="s">
        <v>1477</v>
      </c>
      <c r="E1484" s="59" t="s">
        <v>71</v>
      </c>
    </row>
    <row r="1485" spans="1:5">
      <c r="A1485" s="59" t="s">
        <v>4146</v>
      </c>
      <c r="B1485" s="59" t="s">
        <v>4147</v>
      </c>
      <c r="C1485" s="59" t="s">
        <v>1669</v>
      </c>
      <c r="D1485" s="65" t="s">
        <v>0</v>
      </c>
      <c r="E1485" s="65" t="s">
        <v>122</v>
      </c>
    </row>
    <row r="1486" spans="1:5">
      <c r="A1486" s="59" t="s">
        <v>4148</v>
      </c>
      <c r="B1486" s="59" t="s">
        <v>4149</v>
      </c>
      <c r="C1486" s="59" t="s">
        <v>1669</v>
      </c>
      <c r="D1486" s="59" t="s">
        <v>1477</v>
      </c>
      <c r="E1486" s="59" t="s">
        <v>71</v>
      </c>
    </row>
    <row r="1487" spans="1:5">
      <c r="A1487" s="59" t="s">
        <v>4150</v>
      </c>
      <c r="B1487" s="59" t="s">
        <v>4151</v>
      </c>
      <c r="C1487" s="59" t="s">
        <v>1669</v>
      </c>
      <c r="D1487" s="59" t="s">
        <v>1455</v>
      </c>
      <c r="E1487" s="59" t="s">
        <v>71</v>
      </c>
    </row>
    <row r="1488" spans="1:5">
      <c r="A1488" s="59" t="s">
        <v>4152</v>
      </c>
      <c r="B1488" s="59" t="s">
        <v>4153</v>
      </c>
      <c r="C1488" s="59" t="s">
        <v>1669</v>
      </c>
      <c r="D1488" s="59" t="s">
        <v>1395</v>
      </c>
      <c r="E1488" s="59" t="s">
        <v>1456</v>
      </c>
    </row>
    <row r="1489" spans="1:5">
      <c r="A1489" s="59" t="s">
        <v>4154</v>
      </c>
      <c r="B1489" s="59" t="s">
        <v>4155</v>
      </c>
      <c r="C1489" s="59" t="s">
        <v>1669</v>
      </c>
      <c r="D1489" s="59" t="s">
        <v>1395</v>
      </c>
      <c r="E1489" s="59" t="s">
        <v>71</v>
      </c>
    </row>
    <row r="1490" spans="1:5">
      <c r="A1490" s="59" t="s">
        <v>4156</v>
      </c>
      <c r="B1490" s="59" t="s">
        <v>4157</v>
      </c>
      <c r="C1490" s="59" t="s">
        <v>1669</v>
      </c>
      <c r="D1490" s="59" t="s">
        <v>89</v>
      </c>
      <c r="E1490" s="59" t="s">
        <v>1456</v>
      </c>
    </row>
    <row r="1491" spans="1:5">
      <c r="A1491" s="59" t="s">
        <v>4158</v>
      </c>
      <c r="B1491" s="59" t="s">
        <v>4159</v>
      </c>
      <c r="C1491" s="59" t="s">
        <v>1669</v>
      </c>
      <c r="D1491" s="65" t="s">
        <v>89</v>
      </c>
      <c r="E1491" s="65" t="s">
        <v>1456</v>
      </c>
    </row>
    <row r="1492" spans="1:5">
      <c r="A1492" s="59" t="s">
        <v>4160</v>
      </c>
      <c r="B1492" s="59" t="s">
        <v>4161</v>
      </c>
      <c r="C1492" s="59" t="s">
        <v>1669</v>
      </c>
      <c r="D1492" s="65" t="s">
        <v>598</v>
      </c>
      <c r="E1492" s="65" t="s">
        <v>71</v>
      </c>
    </row>
    <row r="1493" spans="1:5">
      <c r="A1493" s="59" t="s">
        <v>4162</v>
      </c>
      <c r="B1493" s="59" t="s">
        <v>4161</v>
      </c>
      <c r="C1493" s="59" t="s">
        <v>1669</v>
      </c>
      <c r="D1493" s="65" t="s">
        <v>598</v>
      </c>
      <c r="E1493" s="65" t="s">
        <v>71</v>
      </c>
    </row>
    <row r="1494" spans="1:5">
      <c r="A1494" s="59" t="s">
        <v>4163</v>
      </c>
      <c r="B1494" s="59" t="s">
        <v>4164</v>
      </c>
      <c r="C1494" s="59" t="s">
        <v>1669</v>
      </c>
      <c r="D1494" s="59" t="s">
        <v>1477</v>
      </c>
      <c r="E1494" s="59" t="s">
        <v>71</v>
      </c>
    </row>
    <row r="1495" spans="1:5">
      <c r="A1495" s="59" t="s">
        <v>4165</v>
      </c>
      <c r="B1495" s="59" t="s">
        <v>4166</v>
      </c>
      <c r="C1495" s="59" t="s">
        <v>1669</v>
      </c>
      <c r="D1495" s="59" t="s">
        <v>1455</v>
      </c>
      <c r="E1495" s="59" t="s">
        <v>71</v>
      </c>
    </row>
    <row r="1496" spans="1:5">
      <c r="A1496" s="59" t="s">
        <v>4167</v>
      </c>
      <c r="B1496" s="59" t="s">
        <v>4168</v>
      </c>
      <c r="C1496" s="59" t="s">
        <v>1669</v>
      </c>
      <c r="D1496" s="59" t="s">
        <v>1455</v>
      </c>
      <c r="E1496" s="59" t="s">
        <v>71</v>
      </c>
    </row>
    <row r="1497" spans="1:5">
      <c r="A1497" s="59" t="s">
        <v>721</v>
      </c>
      <c r="B1497" s="59" t="s">
        <v>719</v>
      </c>
      <c r="C1497" s="59" t="s">
        <v>1669</v>
      </c>
      <c r="D1497" s="65" t="s">
        <v>598</v>
      </c>
      <c r="E1497" s="65" t="s">
        <v>71</v>
      </c>
    </row>
    <row r="1498" spans="1:5">
      <c r="A1498" s="59" t="s">
        <v>4169</v>
      </c>
      <c r="B1498" s="59" t="s">
        <v>4170</v>
      </c>
      <c r="C1498" s="59" t="s">
        <v>1669</v>
      </c>
      <c r="D1498" s="59" t="s">
        <v>1458</v>
      </c>
      <c r="E1498" s="59" t="s">
        <v>71</v>
      </c>
    </row>
    <row r="1499" spans="1:5">
      <c r="A1499" s="59" t="s">
        <v>1019</v>
      </c>
      <c r="B1499" s="59" t="s">
        <v>4171</v>
      </c>
      <c r="C1499" s="59" t="s">
        <v>1669</v>
      </c>
      <c r="D1499" s="59" t="s">
        <v>1371</v>
      </c>
      <c r="E1499" s="59" t="s">
        <v>71</v>
      </c>
    </row>
    <row r="1500" spans="1:5">
      <c r="A1500" s="59" t="s">
        <v>4172</v>
      </c>
      <c r="B1500" s="59" t="s">
        <v>4173</v>
      </c>
      <c r="C1500" s="59" t="s">
        <v>1669</v>
      </c>
      <c r="D1500" s="59" t="s">
        <v>1395</v>
      </c>
      <c r="E1500" s="59" t="s">
        <v>71</v>
      </c>
    </row>
    <row r="1501" spans="1:5">
      <c r="A1501" s="59" t="s">
        <v>4174</v>
      </c>
      <c r="B1501" s="59" t="s">
        <v>4175</v>
      </c>
      <c r="C1501" s="59" t="s">
        <v>1669</v>
      </c>
      <c r="D1501" s="59" t="s">
        <v>1371</v>
      </c>
      <c r="E1501" s="59" t="s">
        <v>71</v>
      </c>
    </row>
    <row r="1502" spans="1:5">
      <c r="A1502" s="59" t="s">
        <v>4176</v>
      </c>
      <c r="B1502" s="59" t="s">
        <v>4177</v>
      </c>
      <c r="C1502" s="59" t="s">
        <v>1669</v>
      </c>
      <c r="D1502" s="59" t="s">
        <v>1455</v>
      </c>
      <c r="E1502" s="59" t="s">
        <v>71</v>
      </c>
    </row>
    <row r="1503" spans="1:5">
      <c r="A1503" s="59" t="s">
        <v>4178</v>
      </c>
      <c r="B1503" s="59" t="s">
        <v>4179</v>
      </c>
      <c r="C1503" s="59" t="s">
        <v>1669</v>
      </c>
      <c r="D1503" s="59" t="s">
        <v>1395</v>
      </c>
      <c r="E1503" s="59" t="s">
        <v>1456</v>
      </c>
    </row>
    <row r="1504" spans="1:5">
      <c r="A1504" s="59" t="s">
        <v>4180</v>
      </c>
      <c r="B1504" s="59" t="s">
        <v>4181</v>
      </c>
      <c r="C1504" s="59" t="s">
        <v>1669</v>
      </c>
      <c r="D1504" s="59" t="s">
        <v>1371</v>
      </c>
      <c r="E1504" s="59" t="s">
        <v>1456</v>
      </c>
    </row>
    <row r="1505" spans="1:5">
      <c r="A1505" s="59" t="s">
        <v>4182</v>
      </c>
      <c r="B1505" s="59" t="s">
        <v>4183</v>
      </c>
      <c r="C1505" s="59" t="s">
        <v>1669</v>
      </c>
      <c r="D1505" s="65" t="s">
        <v>1458</v>
      </c>
      <c r="E1505" s="65" t="s">
        <v>71</v>
      </c>
    </row>
    <row r="1506" spans="1:5">
      <c r="A1506" s="59" t="s">
        <v>4184</v>
      </c>
      <c r="B1506" s="59" t="s">
        <v>4185</v>
      </c>
      <c r="C1506" s="59" t="s">
        <v>1669</v>
      </c>
      <c r="D1506" s="59" t="s">
        <v>1477</v>
      </c>
      <c r="E1506" s="59" t="s">
        <v>71</v>
      </c>
    </row>
    <row r="1507" spans="1:5">
      <c r="A1507" s="59" t="s">
        <v>4186</v>
      </c>
      <c r="B1507" s="59" t="s">
        <v>4187</v>
      </c>
      <c r="C1507" s="59" t="s">
        <v>1669</v>
      </c>
      <c r="D1507" s="59" t="s">
        <v>1395</v>
      </c>
      <c r="E1507" s="59" t="s">
        <v>71</v>
      </c>
    </row>
    <row r="1508" spans="1:5">
      <c r="A1508" s="59" t="s">
        <v>4188</v>
      </c>
      <c r="B1508" s="59" t="s">
        <v>4189</v>
      </c>
      <c r="C1508" s="59" t="s">
        <v>1669</v>
      </c>
      <c r="D1508" s="59" t="s">
        <v>1395</v>
      </c>
      <c r="E1508" s="59" t="s">
        <v>71</v>
      </c>
    </row>
    <row r="1509" spans="1:5">
      <c r="A1509" s="59" t="s">
        <v>4190</v>
      </c>
      <c r="B1509" s="59" t="s">
        <v>4191</v>
      </c>
      <c r="C1509" s="59" t="s">
        <v>1669</v>
      </c>
      <c r="D1509" s="59" t="s">
        <v>1455</v>
      </c>
      <c r="E1509" s="59" t="s">
        <v>71</v>
      </c>
    </row>
    <row r="1510" spans="1:5">
      <c r="A1510" s="59" t="s">
        <v>4192</v>
      </c>
      <c r="B1510" s="59" t="s">
        <v>4193</v>
      </c>
      <c r="C1510" s="59" t="s">
        <v>1669</v>
      </c>
      <c r="D1510" s="59" t="s">
        <v>1458</v>
      </c>
      <c r="E1510" s="59" t="s">
        <v>71</v>
      </c>
    </row>
    <row r="1511" spans="1:5">
      <c r="A1511" s="59" t="s">
        <v>4194</v>
      </c>
      <c r="B1511" s="59" t="s">
        <v>4195</v>
      </c>
      <c r="C1511" s="59" t="s">
        <v>1669</v>
      </c>
      <c r="D1511" s="59" t="s">
        <v>1395</v>
      </c>
      <c r="E1511" s="59" t="s">
        <v>71</v>
      </c>
    </row>
    <row r="1512" spans="1:5">
      <c r="A1512" s="59" t="s">
        <v>4196</v>
      </c>
      <c r="B1512" s="59" t="s">
        <v>4197</v>
      </c>
      <c r="C1512" s="59" t="s">
        <v>1669</v>
      </c>
      <c r="D1512" s="65" t="s">
        <v>89</v>
      </c>
      <c r="E1512" s="65" t="s">
        <v>122</v>
      </c>
    </row>
    <row r="1513" spans="1:5">
      <c r="A1513" s="59" t="s">
        <v>4198</v>
      </c>
      <c r="B1513" s="59" t="s">
        <v>4199</v>
      </c>
      <c r="C1513" s="59" t="s">
        <v>1669</v>
      </c>
      <c r="D1513" s="59" t="s">
        <v>1395</v>
      </c>
      <c r="E1513" s="59" t="s">
        <v>71</v>
      </c>
    </row>
    <row r="1514" spans="1:5">
      <c r="A1514" s="59" t="s">
        <v>4200</v>
      </c>
      <c r="B1514" s="59" t="s">
        <v>4201</v>
      </c>
      <c r="C1514" s="59" t="s">
        <v>1669</v>
      </c>
      <c r="D1514" s="59" t="s">
        <v>1395</v>
      </c>
      <c r="E1514" s="59" t="s">
        <v>1456</v>
      </c>
    </row>
    <row r="1515" spans="1:5">
      <c r="A1515" s="59" t="s">
        <v>4202</v>
      </c>
      <c r="B1515" s="59" t="s">
        <v>4203</v>
      </c>
      <c r="C1515" s="59" t="s">
        <v>1669</v>
      </c>
      <c r="D1515" s="59" t="s">
        <v>1371</v>
      </c>
      <c r="E1515" s="59" t="s">
        <v>71</v>
      </c>
    </row>
    <row r="1516" spans="1:5">
      <c r="A1516" s="59" t="s">
        <v>679</v>
      </c>
      <c r="B1516" s="59" t="s">
        <v>677</v>
      </c>
      <c r="C1516" s="59" t="s">
        <v>1669</v>
      </c>
      <c r="D1516" s="65" t="s">
        <v>598</v>
      </c>
      <c r="E1516" s="65" t="s">
        <v>71</v>
      </c>
    </row>
    <row r="1517" spans="1:5">
      <c r="A1517" s="59" t="s">
        <v>4204</v>
      </c>
      <c r="B1517" s="59" t="s">
        <v>4205</v>
      </c>
      <c r="C1517" s="59" t="s">
        <v>1669</v>
      </c>
      <c r="D1517" s="59" t="s">
        <v>89</v>
      </c>
      <c r="E1517" s="59" t="s">
        <v>1456</v>
      </c>
    </row>
    <row r="1518" spans="1:5">
      <c r="A1518" s="59" t="s">
        <v>4206</v>
      </c>
      <c r="B1518" s="59" t="s">
        <v>4207</v>
      </c>
      <c r="C1518" s="59" t="s">
        <v>1669</v>
      </c>
      <c r="D1518" s="59" t="s">
        <v>1477</v>
      </c>
      <c r="E1518" s="59" t="s">
        <v>71</v>
      </c>
    </row>
    <row r="1519" spans="1:5">
      <c r="A1519" s="59" t="s">
        <v>4208</v>
      </c>
      <c r="B1519" s="59" t="s">
        <v>4209</v>
      </c>
      <c r="C1519" s="59" t="s">
        <v>1669</v>
      </c>
      <c r="D1519" s="59" t="s">
        <v>1371</v>
      </c>
      <c r="E1519" s="59" t="s">
        <v>71</v>
      </c>
    </row>
    <row r="1520" spans="1:5">
      <c r="A1520" s="59" t="s">
        <v>4210</v>
      </c>
      <c r="B1520" s="59" t="s">
        <v>4211</v>
      </c>
      <c r="C1520" s="59" t="s">
        <v>1669</v>
      </c>
      <c r="D1520" s="65" t="s">
        <v>0</v>
      </c>
      <c r="E1520" s="65" t="s">
        <v>122</v>
      </c>
    </row>
    <row r="1521" spans="1:16">
      <c r="A1521" s="59" t="s">
        <v>4212</v>
      </c>
      <c r="B1521" s="59" t="s">
        <v>4213</v>
      </c>
      <c r="C1521" s="59" t="s">
        <v>1669</v>
      </c>
      <c r="D1521" s="59" t="s">
        <v>1458</v>
      </c>
      <c r="E1521" s="59" t="s">
        <v>71</v>
      </c>
    </row>
    <row r="1522" spans="1:16">
      <c r="A1522" s="59" t="s">
        <v>4214</v>
      </c>
      <c r="B1522" s="59" t="s">
        <v>4215</v>
      </c>
      <c r="C1522" s="59" t="s">
        <v>1669</v>
      </c>
      <c r="D1522" s="59" t="s">
        <v>1455</v>
      </c>
      <c r="E1522" s="59" t="s">
        <v>71</v>
      </c>
    </row>
    <row r="1523" spans="1:16">
      <c r="A1523" s="59" t="s">
        <v>4216</v>
      </c>
      <c r="B1523" s="59" t="s">
        <v>4217</v>
      </c>
      <c r="C1523" s="59" t="s">
        <v>1669</v>
      </c>
      <c r="D1523" s="59" t="s">
        <v>1455</v>
      </c>
      <c r="E1523" s="59" t="s">
        <v>71</v>
      </c>
    </row>
    <row r="1524" spans="1:16">
      <c r="A1524" s="59" t="s">
        <v>4218</v>
      </c>
      <c r="B1524" s="59" t="s">
        <v>4219</v>
      </c>
      <c r="C1524" s="59" t="s">
        <v>1669</v>
      </c>
      <c r="D1524" s="59" t="s">
        <v>1458</v>
      </c>
      <c r="E1524" s="59" t="s">
        <v>71</v>
      </c>
    </row>
    <row r="1525" spans="1:16">
      <c r="A1525" s="59" t="s">
        <v>4220</v>
      </c>
      <c r="B1525" s="59" t="s">
        <v>4221</v>
      </c>
      <c r="C1525" s="59" t="s">
        <v>1669</v>
      </c>
      <c r="D1525" s="59" t="s">
        <v>1458</v>
      </c>
      <c r="E1525" s="59" t="s">
        <v>71</v>
      </c>
    </row>
    <row r="1526" spans="1:16">
      <c r="A1526" s="59" t="s">
        <v>4222</v>
      </c>
      <c r="B1526" s="59" t="s">
        <v>4223</v>
      </c>
      <c r="C1526" s="59" t="s">
        <v>1669</v>
      </c>
      <c r="D1526" s="59" t="s">
        <v>1455</v>
      </c>
      <c r="E1526" s="59" t="s">
        <v>71</v>
      </c>
    </row>
    <row r="1527" spans="1:16">
      <c r="A1527" s="59" t="s">
        <v>4224</v>
      </c>
      <c r="B1527" s="59" t="s">
        <v>4225</v>
      </c>
      <c r="C1527" s="59" t="s">
        <v>1669</v>
      </c>
      <c r="D1527" s="59" t="s">
        <v>1458</v>
      </c>
      <c r="E1527" s="59" t="s">
        <v>71</v>
      </c>
    </row>
    <row r="1528" spans="1:16">
      <c r="A1528" s="59" t="s">
        <v>4226</v>
      </c>
      <c r="B1528" s="59" t="s">
        <v>4227</v>
      </c>
      <c r="C1528" s="59" t="s">
        <v>1669</v>
      </c>
      <c r="D1528" s="59" t="s">
        <v>1395</v>
      </c>
      <c r="E1528" s="59" t="s">
        <v>71</v>
      </c>
    </row>
    <row r="1529" spans="1:16">
      <c r="A1529" s="59" t="s">
        <v>4228</v>
      </c>
      <c r="B1529" s="59" t="s">
        <v>4229</v>
      </c>
      <c r="C1529" s="59" t="s">
        <v>1669</v>
      </c>
      <c r="D1529" s="65" t="s">
        <v>89</v>
      </c>
      <c r="E1529" s="65" t="s">
        <v>1456</v>
      </c>
    </row>
    <row r="1530" spans="1:16">
      <c r="A1530" s="59" t="s">
        <v>4230</v>
      </c>
      <c r="B1530" s="59" t="s">
        <v>4231</v>
      </c>
      <c r="C1530" s="59" t="s">
        <v>1669</v>
      </c>
      <c r="D1530" s="59" t="s">
        <v>89</v>
      </c>
      <c r="E1530" s="59" t="s">
        <v>71</v>
      </c>
    </row>
    <row r="1531" spans="1:16">
      <c r="A1531" s="59" t="s">
        <v>4232</v>
      </c>
      <c r="B1531" s="59" t="s">
        <v>4233</v>
      </c>
      <c r="C1531" s="59" t="s">
        <v>1669</v>
      </c>
      <c r="D1531" s="59" t="s">
        <v>1371</v>
      </c>
      <c r="E1531" s="59" t="s">
        <v>71</v>
      </c>
    </row>
    <row r="1532" spans="1:16">
      <c r="A1532" s="59" t="s">
        <v>4234</v>
      </c>
      <c r="B1532" s="59" t="s">
        <v>4235</v>
      </c>
      <c r="C1532" s="59" t="s">
        <v>1669</v>
      </c>
      <c r="D1532" s="59" t="s">
        <v>1477</v>
      </c>
      <c r="E1532" s="59" t="s">
        <v>1456</v>
      </c>
      <c r="F1532" s="65"/>
      <c r="G1532" s="65"/>
      <c r="H1532" s="59"/>
      <c r="I1532" s="59"/>
      <c r="J1532" s="65"/>
      <c r="K1532" s="65"/>
      <c r="L1532" s="65"/>
      <c r="M1532" s="65"/>
      <c r="N1532" s="65"/>
      <c r="O1532" s="65"/>
      <c r="P1532" s="65"/>
    </row>
    <row r="1533" spans="1:16">
      <c r="A1533" s="59" t="s">
        <v>4236</v>
      </c>
      <c r="B1533" s="59" t="s">
        <v>4237</v>
      </c>
      <c r="C1533" s="59" t="s">
        <v>1669</v>
      </c>
      <c r="D1533" s="59" t="s">
        <v>1455</v>
      </c>
      <c r="E1533" s="59" t="s">
        <v>1456</v>
      </c>
      <c r="F1533" s="65"/>
      <c r="G1533" s="65"/>
      <c r="H1533" s="59"/>
      <c r="I1533" s="59"/>
      <c r="J1533" s="65"/>
      <c r="K1533" s="65"/>
      <c r="L1533" s="65"/>
      <c r="M1533" s="65"/>
      <c r="N1533" s="65"/>
      <c r="O1533" s="65"/>
      <c r="P1533" s="65"/>
    </row>
    <row r="1534" spans="1:16">
      <c r="A1534" s="59" t="s">
        <v>4238</v>
      </c>
      <c r="B1534" s="59" t="s">
        <v>4239</v>
      </c>
      <c r="C1534" s="59" t="s">
        <v>1669</v>
      </c>
      <c r="D1534" s="59" t="s">
        <v>1458</v>
      </c>
      <c r="E1534" s="59" t="s">
        <v>71</v>
      </c>
      <c r="F1534" s="65"/>
      <c r="G1534" s="65"/>
      <c r="H1534" s="59"/>
      <c r="I1534" s="59"/>
      <c r="J1534" s="65"/>
      <c r="K1534" s="65"/>
      <c r="L1534" s="65"/>
      <c r="M1534" s="65"/>
      <c r="N1534" s="65"/>
      <c r="O1534" s="65"/>
      <c r="P1534" s="65"/>
    </row>
    <row r="1535" spans="1:16">
      <c r="A1535" s="59" t="s">
        <v>4240</v>
      </c>
      <c r="B1535" s="59" t="s">
        <v>4241</v>
      </c>
      <c r="C1535" s="59" t="s">
        <v>1669</v>
      </c>
      <c r="D1535" s="59" t="s">
        <v>1455</v>
      </c>
      <c r="E1535" s="59" t="s">
        <v>71</v>
      </c>
      <c r="F1535" s="65"/>
      <c r="G1535" s="65"/>
      <c r="H1535" s="59"/>
      <c r="I1535" s="59"/>
      <c r="J1535" s="66"/>
      <c r="K1535" s="65"/>
      <c r="L1535" s="65"/>
      <c r="M1535" s="65"/>
      <c r="N1535" s="65"/>
      <c r="O1535" s="65"/>
      <c r="P1535" s="65"/>
    </row>
    <row r="1536" spans="1:16">
      <c r="A1536" s="59" t="s">
        <v>4242</v>
      </c>
      <c r="B1536" s="59" t="s">
        <v>4243</v>
      </c>
      <c r="C1536" s="59" t="s">
        <v>1669</v>
      </c>
      <c r="D1536" s="59" t="s">
        <v>1371</v>
      </c>
      <c r="E1536" s="59" t="s">
        <v>71</v>
      </c>
      <c r="F1536" s="65"/>
      <c r="G1536" s="65"/>
      <c r="H1536" s="59"/>
      <c r="I1536" s="59"/>
      <c r="J1536" s="65"/>
      <c r="K1536" s="65"/>
      <c r="L1536" s="65"/>
      <c r="M1536" s="65"/>
      <c r="N1536" s="65"/>
      <c r="O1536" s="65"/>
      <c r="P1536" s="65"/>
    </row>
    <row r="1537" spans="1:16">
      <c r="A1537" s="59" t="s">
        <v>4244</v>
      </c>
      <c r="B1537" s="59" t="s">
        <v>4245</v>
      </c>
      <c r="C1537" s="59" t="s">
        <v>1669</v>
      </c>
      <c r="D1537" s="65" t="s">
        <v>1455</v>
      </c>
      <c r="E1537" s="65" t="s">
        <v>71</v>
      </c>
      <c r="F1537" s="65"/>
      <c r="G1537" s="65"/>
      <c r="H1537" s="65"/>
      <c r="I1537" s="59"/>
      <c r="J1537" s="66"/>
      <c r="K1537" s="65"/>
      <c r="L1537" s="65"/>
      <c r="M1537" s="65"/>
      <c r="N1537" s="65"/>
      <c r="O1537" s="65"/>
      <c r="P1537" s="65"/>
    </row>
    <row r="1538" spans="1:16">
      <c r="A1538" s="59" t="s">
        <v>4246</v>
      </c>
      <c r="B1538" s="59" t="s">
        <v>4247</v>
      </c>
      <c r="C1538" s="59" t="s">
        <v>1669</v>
      </c>
      <c r="D1538" s="59" t="s">
        <v>1477</v>
      </c>
      <c r="E1538" s="59" t="s">
        <v>71</v>
      </c>
      <c r="F1538" s="65"/>
      <c r="G1538" s="65"/>
      <c r="H1538" s="59"/>
      <c r="I1538" s="59"/>
      <c r="J1538" s="65"/>
      <c r="K1538" s="65"/>
      <c r="L1538" s="65"/>
      <c r="M1538" s="65"/>
      <c r="N1538" s="65"/>
      <c r="O1538" s="65"/>
      <c r="P1538" s="65" t="s">
        <v>4248</v>
      </c>
    </row>
    <row r="1539" spans="1:16">
      <c r="A1539" s="59" t="s">
        <v>1009</v>
      </c>
      <c r="B1539" s="59" t="s">
        <v>4249</v>
      </c>
      <c r="C1539" s="59" t="s">
        <v>1669</v>
      </c>
      <c r="D1539" s="59" t="s">
        <v>1395</v>
      </c>
      <c r="E1539" s="59" t="s">
        <v>71</v>
      </c>
      <c r="F1539" s="65"/>
      <c r="G1539" s="65"/>
      <c r="H1539" s="59"/>
      <c r="I1539" s="59"/>
      <c r="J1539" s="65"/>
      <c r="K1539" s="65"/>
      <c r="L1539" s="65"/>
      <c r="M1539" s="65"/>
      <c r="N1539" s="65"/>
      <c r="O1539" s="65"/>
      <c r="P1539" s="65"/>
    </row>
    <row r="1540" spans="1:16">
      <c r="A1540" s="59" t="s">
        <v>4250</v>
      </c>
      <c r="B1540" s="59" t="s">
        <v>4251</v>
      </c>
      <c r="C1540" s="59" t="s">
        <v>1669</v>
      </c>
      <c r="D1540" s="59" t="s">
        <v>1477</v>
      </c>
      <c r="E1540" s="59" t="s">
        <v>71</v>
      </c>
      <c r="F1540" s="65"/>
      <c r="G1540" s="65"/>
      <c r="H1540" s="59"/>
      <c r="I1540" s="59"/>
      <c r="J1540" s="65"/>
      <c r="K1540" s="65"/>
      <c r="L1540" s="65"/>
      <c r="M1540" s="65"/>
      <c r="N1540" s="65"/>
      <c r="O1540" s="65"/>
      <c r="P1540" s="65"/>
    </row>
    <row r="1541" spans="1:16">
      <c r="A1541" s="59" t="s">
        <v>4252</v>
      </c>
      <c r="B1541" s="59" t="s">
        <v>4253</v>
      </c>
      <c r="C1541" s="59" t="s">
        <v>1669</v>
      </c>
      <c r="D1541" s="59" t="s">
        <v>1455</v>
      </c>
      <c r="E1541" s="59" t="s">
        <v>1456</v>
      </c>
      <c r="F1541" s="65"/>
      <c r="G1541" s="65"/>
      <c r="H1541" s="59"/>
      <c r="I1541" s="59"/>
      <c r="J1541" s="65"/>
      <c r="K1541" s="65"/>
      <c r="L1541" s="65"/>
      <c r="M1541" s="65"/>
      <c r="N1541" s="65"/>
      <c r="O1541" s="65"/>
      <c r="P1541" s="65"/>
    </row>
    <row r="1542" spans="1:16">
      <c r="A1542" s="59" t="s">
        <v>953</v>
      </c>
      <c r="B1542" s="59" t="s">
        <v>4254</v>
      </c>
      <c r="C1542" s="59" t="s">
        <v>1669</v>
      </c>
      <c r="D1542" s="59" t="s">
        <v>1477</v>
      </c>
      <c r="E1542" s="59" t="s">
        <v>71</v>
      </c>
      <c r="F1542" s="65"/>
      <c r="G1542" s="65"/>
      <c r="H1542" s="59"/>
      <c r="I1542" s="59"/>
      <c r="J1542" s="65"/>
      <c r="K1542" s="65"/>
      <c r="L1542" s="65"/>
      <c r="M1542" s="65"/>
      <c r="N1542" s="65"/>
      <c r="O1542" s="65"/>
      <c r="P1542" s="65"/>
    </row>
    <row r="1543" spans="1:16">
      <c r="A1543" s="59" t="s">
        <v>4255</v>
      </c>
      <c r="B1543" s="59" t="s">
        <v>4256</v>
      </c>
      <c r="C1543" s="59" t="s">
        <v>1669</v>
      </c>
      <c r="D1543" s="59" t="s">
        <v>1458</v>
      </c>
      <c r="E1543" s="59" t="s">
        <v>71</v>
      </c>
      <c r="F1543" s="65"/>
      <c r="G1543" s="65"/>
      <c r="H1543" s="59"/>
      <c r="I1543" s="59"/>
      <c r="J1543" s="65"/>
      <c r="K1543" s="65"/>
      <c r="L1543" s="65"/>
      <c r="M1543" s="65"/>
      <c r="N1543" s="65"/>
      <c r="O1543" s="65"/>
      <c r="P1543" s="65"/>
    </row>
    <row r="1544" spans="1:16">
      <c r="A1544" s="59" t="s">
        <v>4257</v>
      </c>
      <c r="B1544" s="59" t="s">
        <v>4258</v>
      </c>
      <c r="C1544" s="59" t="s">
        <v>1669</v>
      </c>
      <c r="D1544" s="59" t="s">
        <v>1477</v>
      </c>
      <c r="E1544" s="59" t="s">
        <v>71</v>
      </c>
      <c r="F1544" s="65"/>
      <c r="G1544" s="65"/>
      <c r="H1544" s="59"/>
      <c r="I1544" s="59"/>
      <c r="J1544" s="65"/>
      <c r="K1544" s="65"/>
      <c r="L1544" s="65"/>
      <c r="M1544" s="65"/>
      <c r="N1544" s="65"/>
      <c r="O1544" s="65"/>
      <c r="P1544" s="65"/>
    </row>
    <row r="1545" spans="1:16">
      <c r="A1545" s="59" t="s">
        <v>4259</v>
      </c>
      <c r="B1545" s="59" t="s">
        <v>4260</v>
      </c>
      <c r="C1545" s="59" t="s">
        <v>1669</v>
      </c>
      <c r="D1545" s="59" t="s">
        <v>1458</v>
      </c>
      <c r="E1545" s="59" t="s">
        <v>71</v>
      </c>
      <c r="F1545" s="65"/>
      <c r="G1545" s="65"/>
      <c r="H1545" s="59"/>
      <c r="I1545" s="59"/>
      <c r="J1545" s="65"/>
      <c r="K1545" s="65"/>
      <c r="L1545" s="65"/>
      <c r="M1545" s="65"/>
      <c r="N1545" s="65"/>
      <c r="O1545" s="65"/>
      <c r="P1545" s="65"/>
    </row>
    <row r="1546" spans="1:16">
      <c r="A1546" s="59" t="s">
        <v>4261</v>
      </c>
      <c r="B1546" s="59" t="s">
        <v>4262</v>
      </c>
      <c r="C1546" s="59" t="s">
        <v>1669</v>
      </c>
      <c r="D1546" s="65" t="s">
        <v>0</v>
      </c>
      <c r="E1546" s="65" t="s">
        <v>122</v>
      </c>
      <c r="F1546" s="65"/>
      <c r="G1546" s="65"/>
      <c r="H1546" s="59"/>
      <c r="I1546" s="59"/>
      <c r="J1546" s="65"/>
      <c r="K1546" s="65"/>
      <c r="L1546" s="65"/>
      <c r="M1546" s="65"/>
      <c r="N1546" s="65"/>
      <c r="O1546" s="65"/>
      <c r="P1546" s="65"/>
    </row>
    <row r="1547" spans="1:16">
      <c r="A1547" s="59" t="s">
        <v>4263</v>
      </c>
      <c r="B1547" s="59" t="s">
        <v>4264</v>
      </c>
      <c r="C1547" s="59" t="s">
        <v>1669</v>
      </c>
      <c r="D1547" s="59" t="s">
        <v>1395</v>
      </c>
      <c r="E1547" s="59" t="s">
        <v>71</v>
      </c>
      <c r="F1547" s="65"/>
      <c r="G1547" s="65"/>
      <c r="H1547" s="59"/>
      <c r="I1547" s="59"/>
      <c r="J1547" s="65"/>
      <c r="K1547" s="65"/>
      <c r="L1547" s="65"/>
      <c r="M1547" s="65"/>
      <c r="N1547" s="65"/>
      <c r="O1547" s="65"/>
      <c r="P1547" s="65"/>
    </row>
    <row r="1548" spans="1:16">
      <c r="A1548" s="59" t="s">
        <v>4265</v>
      </c>
      <c r="B1548" s="59" t="s">
        <v>4266</v>
      </c>
      <c r="C1548" s="59" t="s">
        <v>1669</v>
      </c>
      <c r="D1548" s="59" t="s">
        <v>89</v>
      </c>
      <c r="E1548" s="59" t="s">
        <v>1456</v>
      </c>
    </row>
    <row r="1549" spans="1:16">
      <c r="A1549" s="59" t="s">
        <v>4267</v>
      </c>
      <c r="B1549" s="59" t="s">
        <v>4268</v>
      </c>
      <c r="C1549" s="59" t="s">
        <v>1669</v>
      </c>
      <c r="D1549" s="59" t="s">
        <v>1477</v>
      </c>
      <c r="E1549" s="59" t="s">
        <v>1456</v>
      </c>
    </row>
    <row r="1550" spans="1:16">
      <c r="A1550" s="59" t="s">
        <v>4269</v>
      </c>
      <c r="B1550" s="59" t="s">
        <v>4270</v>
      </c>
      <c r="C1550" s="59" t="s">
        <v>1669</v>
      </c>
      <c r="D1550" s="59" t="s">
        <v>1395</v>
      </c>
      <c r="E1550" s="59" t="s">
        <v>71</v>
      </c>
    </row>
    <row r="1551" spans="1:16">
      <c r="A1551" s="59" t="s">
        <v>959</v>
      </c>
      <c r="B1551" s="59" t="s">
        <v>4271</v>
      </c>
      <c r="C1551" s="59" t="s">
        <v>1669</v>
      </c>
      <c r="D1551" s="59" t="s">
        <v>1477</v>
      </c>
      <c r="E1551" s="59" t="s">
        <v>71</v>
      </c>
    </row>
    <row r="1552" spans="1:16">
      <c r="A1552" s="59" t="s">
        <v>4272</v>
      </c>
      <c r="B1552" s="59" t="s">
        <v>4273</v>
      </c>
      <c r="C1552" s="59" t="s">
        <v>1669</v>
      </c>
      <c r="D1552" s="59" t="s">
        <v>1455</v>
      </c>
      <c r="E1552" s="59" t="s">
        <v>71</v>
      </c>
    </row>
    <row r="1553" spans="1:5">
      <c r="A1553" s="59" t="s">
        <v>4274</v>
      </c>
      <c r="B1553" s="59" t="s">
        <v>4275</v>
      </c>
      <c r="C1553" s="59" t="s">
        <v>1669</v>
      </c>
      <c r="D1553" s="59" t="s">
        <v>1371</v>
      </c>
      <c r="E1553" s="59" t="s">
        <v>71</v>
      </c>
    </row>
    <row r="1554" spans="1:5">
      <c r="A1554" s="59" t="s">
        <v>4276</v>
      </c>
      <c r="B1554" s="59" t="s">
        <v>4277</v>
      </c>
      <c r="C1554" s="59" t="s">
        <v>1669</v>
      </c>
      <c r="D1554" s="59" t="s">
        <v>1371</v>
      </c>
      <c r="E1554" s="59" t="s">
        <v>71</v>
      </c>
    </row>
    <row r="1555" spans="1:5">
      <c r="A1555" s="59" t="s">
        <v>4278</v>
      </c>
      <c r="B1555" s="59" t="s">
        <v>4279</v>
      </c>
      <c r="C1555" s="59" t="s">
        <v>1669</v>
      </c>
      <c r="D1555" s="59" t="s">
        <v>1458</v>
      </c>
      <c r="E1555" s="59" t="s">
        <v>71</v>
      </c>
    </row>
    <row r="1556" spans="1:5">
      <c r="A1556" s="59" t="s">
        <v>4280</v>
      </c>
      <c r="B1556" s="59" t="s">
        <v>4281</v>
      </c>
      <c r="C1556" s="59" t="s">
        <v>1669</v>
      </c>
      <c r="D1556" s="65" t="s">
        <v>1458</v>
      </c>
      <c r="E1556" s="65" t="s">
        <v>71</v>
      </c>
    </row>
    <row r="1557" spans="1:5">
      <c r="A1557" s="59" t="s">
        <v>4282</v>
      </c>
      <c r="B1557" s="59" t="s">
        <v>4283</v>
      </c>
      <c r="C1557" s="59" t="s">
        <v>1669</v>
      </c>
      <c r="D1557" s="59" t="s">
        <v>1477</v>
      </c>
      <c r="E1557" s="59" t="s">
        <v>71</v>
      </c>
    </row>
    <row r="1558" spans="1:5">
      <c r="A1558" s="59" t="s">
        <v>4284</v>
      </c>
      <c r="B1558" s="59" t="s">
        <v>512</v>
      </c>
      <c r="C1558" s="59" t="s">
        <v>1669</v>
      </c>
      <c r="D1558" s="59" t="s">
        <v>1477</v>
      </c>
      <c r="E1558" s="59" t="s">
        <v>1456</v>
      </c>
    </row>
    <row r="1559" spans="1:5">
      <c r="A1559" s="59" t="s">
        <v>4285</v>
      </c>
      <c r="B1559" s="59" t="s">
        <v>4286</v>
      </c>
      <c r="C1559" s="59" t="s">
        <v>1669</v>
      </c>
      <c r="D1559" s="59" t="s">
        <v>1458</v>
      </c>
      <c r="E1559" s="59" t="s">
        <v>71</v>
      </c>
    </row>
    <row r="1560" spans="1:5">
      <c r="A1560" s="59" t="s">
        <v>4287</v>
      </c>
      <c r="B1560" s="59" t="s">
        <v>4288</v>
      </c>
      <c r="C1560" s="59" t="s">
        <v>1669</v>
      </c>
      <c r="D1560" s="59" t="s">
        <v>1455</v>
      </c>
      <c r="E1560" s="59" t="s">
        <v>1456</v>
      </c>
    </row>
    <row r="1561" spans="1:5">
      <c r="A1561" s="59" t="s">
        <v>4289</v>
      </c>
      <c r="B1561" s="59" t="s">
        <v>4290</v>
      </c>
      <c r="C1561" s="59" t="s">
        <v>1669</v>
      </c>
      <c r="D1561" s="59" t="s">
        <v>89</v>
      </c>
      <c r="E1561" s="59" t="s">
        <v>1456</v>
      </c>
    </row>
    <row r="1562" spans="1:5">
      <c r="A1562" s="59" t="s">
        <v>1023</v>
      </c>
      <c r="B1562" s="59" t="s">
        <v>4291</v>
      </c>
      <c r="C1562" s="59" t="s">
        <v>1669</v>
      </c>
      <c r="D1562" s="59" t="s">
        <v>1395</v>
      </c>
      <c r="E1562" s="59" t="s">
        <v>71</v>
      </c>
    </row>
    <row r="1563" spans="1:5">
      <c r="A1563" s="59" t="s">
        <v>4292</v>
      </c>
      <c r="B1563" s="59" t="s">
        <v>4293</v>
      </c>
      <c r="C1563" s="59" t="s">
        <v>1669</v>
      </c>
      <c r="D1563" s="59" t="s">
        <v>89</v>
      </c>
      <c r="E1563" s="59" t="s">
        <v>71</v>
      </c>
    </row>
    <row r="1564" spans="1:5">
      <c r="A1564" s="59" t="s">
        <v>4294</v>
      </c>
      <c r="B1564" s="59" t="s">
        <v>4295</v>
      </c>
      <c r="C1564" s="59" t="s">
        <v>1669</v>
      </c>
      <c r="D1564" s="65" t="s">
        <v>0</v>
      </c>
      <c r="E1564" s="65" t="s">
        <v>122</v>
      </c>
    </row>
    <row r="1565" spans="1:5">
      <c r="A1565" s="59" t="s">
        <v>4296</v>
      </c>
      <c r="B1565" s="59" t="s">
        <v>4297</v>
      </c>
      <c r="C1565" s="59" t="s">
        <v>1669</v>
      </c>
      <c r="D1565" s="59" t="s">
        <v>1477</v>
      </c>
      <c r="E1565" s="59" t="s">
        <v>71</v>
      </c>
    </row>
    <row r="1566" spans="1:5">
      <c r="A1566" s="59" t="s">
        <v>4298</v>
      </c>
      <c r="B1566" s="59" t="s">
        <v>4299</v>
      </c>
      <c r="C1566" s="59" t="s">
        <v>1669</v>
      </c>
      <c r="D1566" s="59" t="s">
        <v>1371</v>
      </c>
      <c r="E1566" s="59" t="s">
        <v>1456</v>
      </c>
    </row>
    <row r="1567" spans="1:5">
      <c r="A1567" s="59" t="s">
        <v>4300</v>
      </c>
      <c r="B1567" s="59" t="s">
        <v>4301</v>
      </c>
      <c r="C1567" s="59" t="s">
        <v>1669</v>
      </c>
      <c r="D1567" s="59" t="s">
        <v>89</v>
      </c>
      <c r="E1567" s="59" t="s">
        <v>71</v>
      </c>
    </row>
    <row r="1568" spans="1:5">
      <c r="A1568" s="59" t="s">
        <v>4302</v>
      </c>
      <c r="B1568" s="59" t="s">
        <v>4303</v>
      </c>
      <c r="C1568" s="59" t="s">
        <v>1669</v>
      </c>
      <c r="D1568" s="59" t="s">
        <v>1477</v>
      </c>
      <c r="E1568" s="59" t="s">
        <v>1456</v>
      </c>
    </row>
    <row r="1569" spans="1:5">
      <c r="A1569" s="59" t="s">
        <v>4304</v>
      </c>
      <c r="B1569" s="59" t="s">
        <v>4305</v>
      </c>
      <c r="C1569" s="59" t="s">
        <v>1669</v>
      </c>
      <c r="D1569" s="59" t="s">
        <v>1477</v>
      </c>
      <c r="E1569" s="59" t="s">
        <v>71</v>
      </c>
    </row>
    <row r="1570" spans="1:5">
      <c r="A1570" s="59" t="s">
        <v>4306</v>
      </c>
      <c r="B1570" s="59" t="s">
        <v>4307</v>
      </c>
      <c r="C1570" s="59" t="s">
        <v>1669</v>
      </c>
      <c r="D1570" s="59" t="s">
        <v>1477</v>
      </c>
      <c r="E1570" s="59" t="s">
        <v>71</v>
      </c>
    </row>
    <row r="1571" spans="1:5">
      <c r="A1571" s="59" t="s">
        <v>4308</v>
      </c>
      <c r="B1571" s="59" t="s">
        <v>4309</v>
      </c>
      <c r="C1571" s="59" t="s">
        <v>1669</v>
      </c>
      <c r="D1571" s="59" t="s">
        <v>1477</v>
      </c>
      <c r="E1571" s="59" t="s">
        <v>71</v>
      </c>
    </row>
    <row r="1572" spans="1:5">
      <c r="A1572" s="59" t="s">
        <v>3107</v>
      </c>
      <c r="B1572" s="59"/>
      <c r="C1572" s="59" t="s">
        <v>1669</v>
      </c>
      <c r="D1572" s="59"/>
      <c r="E1572" s="59"/>
    </row>
    <row r="1573" spans="1:5">
      <c r="A1573" s="59" t="s">
        <v>4310</v>
      </c>
      <c r="B1573" s="59"/>
      <c r="C1573" s="59" t="s">
        <v>1669</v>
      </c>
      <c r="D1573" s="65" t="s">
        <v>1371</v>
      </c>
      <c r="E1573" s="65" t="s">
        <v>122</v>
      </c>
    </row>
    <row r="1574" spans="1:5">
      <c r="A1574" s="59" t="s">
        <v>4311</v>
      </c>
      <c r="B1574" s="59" t="s">
        <v>4312</v>
      </c>
      <c r="C1574" s="59" t="s">
        <v>1669</v>
      </c>
      <c r="D1574" s="65" t="s">
        <v>306</v>
      </c>
      <c r="E1574" s="65" t="s">
        <v>122</v>
      </c>
    </row>
    <row r="1575" spans="1:5">
      <c r="A1575" s="59" t="s">
        <v>4313</v>
      </c>
      <c r="B1575" s="59" t="s">
        <v>4314</v>
      </c>
      <c r="C1575" s="59" t="s">
        <v>1669</v>
      </c>
      <c r="D1575" s="65" t="s">
        <v>598</v>
      </c>
      <c r="E1575" s="65" t="s">
        <v>71</v>
      </c>
    </row>
    <row r="1576" spans="1:5">
      <c r="A1576" s="59" t="s">
        <v>4315</v>
      </c>
      <c r="B1576" s="59" t="s">
        <v>4316</v>
      </c>
      <c r="C1576" s="59" t="s">
        <v>1669</v>
      </c>
      <c r="D1576" s="65" t="s">
        <v>598</v>
      </c>
      <c r="E1576" s="65" t="s">
        <v>71</v>
      </c>
    </row>
    <row r="1577" spans="1:5">
      <c r="A1577" s="59" t="s">
        <v>4317</v>
      </c>
      <c r="B1577" s="59" t="s">
        <v>1397</v>
      </c>
      <c r="C1577" s="59" t="s">
        <v>1669</v>
      </c>
      <c r="D1577" s="65" t="s">
        <v>0</v>
      </c>
      <c r="E1577" s="65" t="s">
        <v>71</v>
      </c>
    </row>
    <row r="1578" spans="1:5">
      <c r="A1578" s="59" t="s">
        <v>4318</v>
      </c>
      <c r="B1578" s="59" t="s">
        <v>4319</v>
      </c>
      <c r="C1578" s="59" t="s">
        <v>1669</v>
      </c>
      <c r="D1578" s="65" t="s">
        <v>1477</v>
      </c>
      <c r="E1578" s="65" t="s">
        <v>71</v>
      </c>
    </row>
    <row r="1579" spans="1:5">
      <c r="A1579" s="59" t="s">
        <v>4320</v>
      </c>
      <c r="B1579" s="59" t="s">
        <v>4321</v>
      </c>
      <c r="C1579" s="59" t="s">
        <v>1669</v>
      </c>
      <c r="D1579" s="65" t="s">
        <v>0</v>
      </c>
      <c r="E1579" s="65" t="s">
        <v>122</v>
      </c>
    </row>
    <row r="1580" spans="1:5">
      <c r="A1580" s="59" t="s">
        <v>1380</v>
      </c>
      <c r="B1580" s="59" t="s">
        <v>4322</v>
      </c>
      <c r="C1580" s="59" t="s">
        <v>1669</v>
      </c>
      <c r="D1580" s="65" t="s">
        <v>0</v>
      </c>
      <c r="E1580" s="65" t="s">
        <v>122</v>
      </c>
    </row>
    <row r="1581" spans="1:5">
      <c r="A1581" s="59" t="s">
        <v>4323</v>
      </c>
      <c r="B1581" s="59" t="s">
        <v>441</v>
      </c>
      <c r="C1581" s="59" t="s">
        <v>1669</v>
      </c>
      <c r="D1581" s="65" t="s">
        <v>1395</v>
      </c>
      <c r="E1581" s="65" t="s">
        <v>1456</v>
      </c>
    </row>
    <row r="1582" spans="1:5">
      <c r="A1582" s="59" t="s">
        <v>4324</v>
      </c>
      <c r="B1582" s="59" t="s">
        <v>4325</v>
      </c>
      <c r="C1582" s="59" t="s">
        <v>1669</v>
      </c>
      <c r="D1582" s="65" t="s">
        <v>1477</v>
      </c>
      <c r="E1582" s="65" t="s">
        <v>71</v>
      </c>
    </row>
    <row r="1583" spans="1:5">
      <c r="A1583" s="59" t="s">
        <v>4326</v>
      </c>
      <c r="B1583" s="59" t="s">
        <v>4327</v>
      </c>
      <c r="C1583" s="59" t="s">
        <v>1669</v>
      </c>
      <c r="D1583" s="59" t="s">
        <v>1455</v>
      </c>
      <c r="E1583" s="59" t="s">
        <v>1456</v>
      </c>
    </row>
    <row r="1584" spans="1:5">
      <c r="A1584" s="59" t="s">
        <v>4328</v>
      </c>
      <c r="B1584" s="59" t="s">
        <v>4329</v>
      </c>
      <c r="C1584" s="59" t="s">
        <v>1669</v>
      </c>
      <c r="D1584" s="65" t="s">
        <v>0</v>
      </c>
      <c r="E1584" s="65" t="s">
        <v>122</v>
      </c>
    </row>
    <row r="1585" spans="1:5">
      <c r="A1585" s="59" t="s">
        <v>1004</v>
      </c>
      <c r="B1585" s="59" t="s">
        <v>4330</v>
      </c>
      <c r="C1585" s="59" t="s">
        <v>1669</v>
      </c>
      <c r="D1585" s="59" t="s">
        <v>1371</v>
      </c>
      <c r="E1585" s="59" t="s">
        <v>71</v>
      </c>
    </row>
    <row r="1586" spans="1:5">
      <c r="A1586" s="59" t="s">
        <v>269</v>
      </c>
      <c r="B1586" s="59" t="s">
        <v>270</v>
      </c>
      <c r="C1586" s="59" t="s">
        <v>1669</v>
      </c>
      <c r="D1586" s="59" t="s">
        <v>1477</v>
      </c>
      <c r="E1586" s="59" t="s">
        <v>71</v>
      </c>
    </row>
    <row r="1587" spans="1:5">
      <c r="A1587" s="59" t="s">
        <v>989</v>
      </c>
      <c r="B1587" s="59" t="s">
        <v>2908</v>
      </c>
      <c r="C1587" s="59" t="s">
        <v>1669</v>
      </c>
      <c r="D1587" s="59" t="s">
        <v>1458</v>
      </c>
      <c r="E1587" s="59" t="s">
        <v>71</v>
      </c>
    </row>
    <row r="1588" spans="1:5">
      <c r="A1588" s="59" t="s">
        <v>4331</v>
      </c>
      <c r="B1588" s="59" t="s">
        <v>4332</v>
      </c>
      <c r="C1588" s="59" t="s">
        <v>1669</v>
      </c>
      <c r="D1588" s="59" t="s">
        <v>1458</v>
      </c>
      <c r="E1588" s="59" t="s">
        <v>71</v>
      </c>
    </row>
    <row r="1589" spans="1:5">
      <c r="A1589" s="59" t="s">
        <v>4333</v>
      </c>
      <c r="B1589" s="59" t="s">
        <v>4334</v>
      </c>
      <c r="C1589" s="59" t="s">
        <v>1669</v>
      </c>
      <c r="D1589" s="59" t="s">
        <v>1395</v>
      </c>
      <c r="E1589" s="59" t="s">
        <v>1456</v>
      </c>
    </row>
    <row r="1590" spans="1:5">
      <c r="A1590" s="59" t="s">
        <v>4335</v>
      </c>
      <c r="B1590" s="59" t="s">
        <v>4336</v>
      </c>
      <c r="C1590" s="59" t="s">
        <v>1669</v>
      </c>
      <c r="D1590" s="59" t="s">
        <v>1458</v>
      </c>
      <c r="E1590" s="59" t="s">
        <v>71</v>
      </c>
    </row>
    <row r="1591" spans="1:5">
      <c r="A1591" s="59" t="s">
        <v>4337</v>
      </c>
      <c r="B1591" s="59" t="s">
        <v>4338</v>
      </c>
      <c r="C1591" s="59" t="s">
        <v>1669</v>
      </c>
      <c r="D1591" s="59" t="s">
        <v>1395</v>
      </c>
      <c r="E1591" s="59" t="s">
        <v>71</v>
      </c>
    </row>
    <row r="1592" spans="1:5">
      <c r="A1592" s="59" t="s">
        <v>4339</v>
      </c>
      <c r="B1592" s="59" t="s">
        <v>3647</v>
      </c>
      <c r="C1592" s="59" t="s">
        <v>1669</v>
      </c>
      <c r="D1592" s="59" t="s">
        <v>1458</v>
      </c>
      <c r="E1592" s="59" t="s">
        <v>71</v>
      </c>
    </row>
    <row r="1593" spans="1:5">
      <c r="A1593" s="59" t="s">
        <v>4340</v>
      </c>
      <c r="B1593" s="59" t="s">
        <v>4341</v>
      </c>
      <c r="C1593" s="59" t="s">
        <v>1669</v>
      </c>
      <c r="D1593" s="59" t="s">
        <v>1477</v>
      </c>
      <c r="E1593" s="59" t="s">
        <v>71</v>
      </c>
    </row>
    <row r="1594" spans="1:5">
      <c r="A1594" s="59" t="s">
        <v>4342</v>
      </c>
      <c r="B1594" s="59" t="s">
        <v>4343</v>
      </c>
      <c r="C1594" s="59" t="s">
        <v>1669</v>
      </c>
      <c r="D1594" s="59" t="s">
        <v>1395</v>
      </c>
      <c r="E1594" s="59" t="s">
        <v>71</v>
      </c>
    </row>
    <row r="1595" spans="1:5">
      <c r="A1595" s="59" t="s">
        <v>4344</v>
      </c>
      <c r="B1595" s="59" t="s">
        <v>4345</v>
      </c>
      <c r="C1595" s="59" t="s">
        <v>1669</v>
      </c>
      <c r="D1595" s="59" t="s">
        <v>1458</v>
      </c>
      <c r="E1595" s="59" t="s">
        <v>71</v>
      </c>
    </row>
    <row r="1596" spans="1:5">
      <c r="A1596" s="59" t="s">
        <v>4346</v>
      </c>
      <c r="B1596" s="59" t="s">
        <v>2560</v>
      </c>
      <c r="C1596" s="59" t="s">
        <v>1669</v>
      </c>
      <c r="D1596" s="65" t="s">
        <v>1455</v>
      </c>
      <c r="E1596" s="65" t="s">
        <v>71</v>
      </c>
    </row>
    <row r="1597" spans="1:5">
      <c r="A1597" s="59" t="s">
        <v>925</v>
      </c>
      <c r="B1597" s="59" t="s">
        <v>3472</v>
      </c>
      <c r="C1597" s="59" t="s">
        <v>1669</v>
      </c>
      <c r="D1597" s="59" t="s">
        <v>89</v>
      </c>
      <c r="E1597" s="59" t="s">
        <v>71</v>
      </c>
    </row>
    <row r="1598" spans="1:5">
      <c r="A1598" s="59" t="s">
        <v>468</v>
      </c>
      <c r="B1598" s="59" t="s">
        <v>469</v>
      </c>
      <c r="C1598" s="59" t="s">
        <v>1669</v>
      </c>
      <c r="D1598" s="59" t="s">
        <v>1455</v>
      </c>
      <c r="E1598" s="59" t="s">
        <v>1456</v>
      </c>
    </row>
    <row r="1599" spans="1:5">
      <c r="A1599" s="59" t="s">
        <v>4347</v>
      </c>
      <c r="B1599" s="59" t="s">
        <v>1370</v>
      </c>
      <c r="C1599" s="59" t="s">
        <v>1669</v>
      </c>
      <c r="D1599" s="59" t="s">
        <v>1477</v>
      </c>
      <c r="E1599" s="59" t="s">
        <v>122</v>
      </c>
    </row>
    <row r="1600" spans="1:5">
      <c r="A1600" s="59" t="s">
        <v>4348</v>
      </c>
      <c r="B1600" s="59" t="s">
        <v>4349</v>
      </c>
      <c r="C1600" s="59" t="s">
        <v>1669</v>
      </c>
      <c r="D1600" s="59" t="s">
        <v>1458</v>
      </c>
      <c r="E1600" s="59" t="s">
        <v>71</v>
      </c>
    </row>
    <row r="1601" spans="1:5">
      <c r="A1601" s="59" t="s">
        <v>4350</v>
      </c>
      <c r="B1601" s="59" t="s">
        <v>4351</v>
      </c>
      <c r="C1601" s="59" t="s">
        <v>1669</v>
      </c>
      <c r="D1601" s="59" t="s">
        <v>1395</v>
      </c>
      <c r="E1601" s="59" t="s">
        <v>71</v>
      </c>
    </row>
    <row r="1602" spans="1:5">
      <c r="A1602" s="59" t="s">
        <v>4352</v>
      </c>
      <c r="B1602" s="59" t="s">
        <v>4353</v>
      </c>
      <c r="C1602" s="59" t="s">
        <v>1669</v>
      </c>
      <c r="D1602" s="59" t="s">
        <v>1371</v>
      </c>
      <c r="E1602" s="59" t="s">
        <v>71</v>
      </c>
    </row>
    <row r="1603" spans="1:5">
      <c r="A1603" s="59" t="s">
        <v>4354</v>
      </c>
      <c r="B1603" s="59" t="s">
        <v>4138</v>
      </c>
      <c r="C1603" s="59" t="s">
        <v>1669</v>
      </c>
      <c r="D1603" s="59" t="s">
        <v>1395</v>
      </c>
      <c r="E1603" s="59" t="s">
        <v>71</v>
      </c>
    </row>
    <row r="1604" spans="1:5">
      <c r="A1604" s="59" t="s">
        <v>978</v>
      </c>
      <c r="B1604" s="59" t="s">
        <v>4355</v>
      </c>
      <c r="C1604" s="59" t="s">
        <v>1669</v>
      </c>
      <c r="D1604" s="59" t="s">
        <v>1371</v>
      </c>
      <c r="E1604" s="59" t="s">
        <v>71</v>
      </c>
    </row>
    <row r="1605" spans="1:5">
      <c r="A1605" s="59" t="s">
        <v>739</v>
      </c>
      <c r="B1605" s="59" t="s">
        <v>123</v>
      </c>
      <c r="C1605" s="59" t="s">
        <v>351</v>
      </c>
      <c r="D1605" t="s">
        <v>124</v>
      </c>
      <c r="E1605" s="59" t="s">
        <v>122</v>
      </c>
    </row>
    <row r="1606" spans="1:5">
      <c r="A1606" s="59" t="s">
        <v>963</v>
      </c>
      <c r="B1606" s="59" t="s">
        <v>123</v>
      </c>
      <c r="C1606" s="59" t="s">
        <v>966</v>
      </c>
      <c r="D1606" s="59" t="s">
        <v>124</v>
      </c>
      <c r="E1606" s="59" t="s">
        <v>122</v>
      </c>
    </row>
    <row r="1607" spans="1:5">
      <c r="A1607" s="59" t="s">
        <v>4356</v>
      </c>
      <c r="B1607" s="59" t="s">
        <v>123</v>
      </c>
      <c r="C1607" s="59" t="s">
        <v>1374</v>
      </c>
      <c r="D1607" s="59" t="s">
        <v>124</v>
      </c>
      <c r="E1607" s="59" t="s">
        <v>122</v>
      </c>
    </row>
    <row r="1608" spans="1:5">
      <c r="A1608" s="59" t="s">
        <v>4357</v>
      </c>
      <c r="B1608" s="59" t="s">
        <v>123</v>
      </c>
      <c r="C1608" s="59" t="s">
        <v>1375</v>
      </c>
      <c r="D1608" s="59" t="s">
        <v>124</v>
      </c>
      <c r="E1608" s="59" t="s">
        <v>122</v>
      </c>
    </row>
    <row r="1609" spans="1:5">
      <c r="A1609" s="59" t="s">
        <v>961</v>
      </c>
      <c r="B1609" s="59" t="s">
        <v>125</v>
      </c>
      <c r="C1609" s="59" t="s">
        <v>928</v>
      </c>
      <c r="D1609" s="59" t="s">
        <v>124</v>
      </c>
      <c r="E1609" s="59" t="s">
        <v>122</v>
      </c>
    </row>
    <row r="1610" spans="1:5">
      <c r="A1610" s="59" t="s">
        <v>4357</v>
      </c>
      <c r="B1610" s="59" t="s">
        <v>123</v>
      </c>
      <c r="C1610" s="59" t="s">
        <v>1376</v>
      </c>
      <c r="D1610" s="59" t="s">
        <v>124</v>
      </c>
      <c r="E1610" s="59" t="s">
        <v>122</v>
      </c>
    </row>
    <row r="1611" spans="1:5">
      <c r="A1611" s="59" t="s">
        <v>4358</v>
      </c>
      <c r="B1611" s="59" t="s">
        <v>125</v>
      </c>
      <c r="C1611" s="59" t="s">
        <v>1377</v>
      </c>
      <c r="D1611" s="59" t="s">
        <v>124</v>
      </c>
      <c r="E1611" s="59" t="s">
        <v>122</v>
      </c>
    </row>
    <row r="1612" spans="1:5">
      <c r="A1612" s="59" t="s">
        <v>948</v>
      </c>
      <c r="B1612" s="59" t="s">
        <v>125</v>
      </c>
      <c r="C1612" s="59" t="s">
        <v>354</v>
      </c>
      <c r="D1612" s="59" t="s">
        <v>124</v>
      </c>
      <c r="E1612" s="59" t="s">
        <v>122</v>
      </c>
    </row>
    <row r="1613" spans="1:5">
      <c r="A1613" s="59" t="s">
        <v>948</v>
      </c>
      <c r="B1613" s="59" t="s">
        <v>125</v>
      </c>
      <c r="C1613" s="59" t="s">
        <v>947</v>
      </c>
      <c r="D1613" s="59" t="s">
        <v>124</v>
      </c>
      <c r="E1613" s="59" t="s">
        <v>122</v>
      </c>
    </row>
    <row r="1614" spans="1:5">
      <c r="A1614" s="59" t="s">
        <v>1006</v>
      </c>
      <c r="B1614" s="59" t="s">
        <v>125</v>
      </c>
      <c r="C1614" s="59" t="s">
        <v>4359</v>
      </c>
      <c r="D1614" s="59" t="s">
        <v>124</v>
      </c>
      <c r="E1614" s="59" t="s">
        <v>122</v>
      </c>
    </row>
    <row r="1615" spans="1:5">
      <c r="A1615" s="59" t="s">
        <v>402</v>
      </c>
      <c r="B1615" s="59" t="s">
        <v>1752</v>
      </c>
      <c r="C1615" s="59" t="s">
        <v>123</v>
      </c>
      <c r="D1615" s="59" t="s">
        <v>124</v>
      </c>
      <c r="E1615" s="59" t="s">
        <v>122</v>
      </c>
    </row>
    <row r="1616" spans="1:5">
      <c r="A1616" s="59" t="s">
        <v>1390</v>
      </c>
      <c r="B1616" s="59" t="s">
        <v>1753</v>
      </c>
      <c r="C1616" s="59" t="s">
        <v>123</v>
      </c>
      <c r="D1616" s="59" t="s">
        <v>124</v>
      </c>
      <c r="E1616" s="59" t="s">
        <v>122</v>
      </c>
    </row>
    <row r="1617" spans="1:5">
      <c r="A1617" s="59" t="s">
        <v>1000</v>
      </c>
      <c r="B1617" s="59" t="s">
        <v>1754</v>
      </c>
      <c r="C1617" s="59" t="s">
        <v>123</v>
      </c>
      <c r="D1617" s="59" t="s">
        <v>124</v>
      </c>
      <c r="E1617" s="59" t="s">
        <v>122</v>
      </c>
    </row>
    <row r="1618" spans="1:5">
      <c r="A1618" s="59" t="s">
        <v>1000</v>
      </c>
      <c r="B1618" s="59" t="s">
        <v>1755</v>
      </c>
      <c r="C1618" s="59" t="s">
        <v>123</v>
      </c>
      <c r="D1618" s="59" t="s">
        <v>124</v>
      </c>
      <c r="E1618" s="59" t="s">
        <v>122</v>
      </c>
    </row>
    <row r="1619" spans="1:5">
      <c r="A1619" s="59" t="s">
        <v>1391</v>
      </c>
      <c r="B1619" s="59" t="s">
        <v>1756</v>
      </c>
      <c r="C1619" s="59" t="s">
        <v>123</v>
      </c>
      <c r="D1619" s="59" t="s">
        <v>124</v>
      </c>
      <c r="E1619" s="59" t="s">
        <v>122</v>
      </c>
    </row>
    <row r="1620" spans="1:5">
      <c r="A1620" s="59" t="s">
        <v>946</v>
      </c>
      <c r="B1620" s="59" t="s">
        <v>1757</v>
      </c>
      <c r="C1620" s="59" t="s">
        <v>123</v>
      </c>
      <c r="D1620" s="59" t="s">
        <v>124</v>
      </c>
      <c r="E1620" s="59" t="s">
        <v>122</v>
      </c>
    </row>
    <row r="1621" spans="1:5">
      <c r="A1621" s="59" t="s">
        <v>144</v>
      </c>
      <c r="B1621" s="59" t="s">
        <v>1758</v>
      </c>
      <c r="C1621" s="59" t="s">
        <v>123</v>
      </c>
      <c r="D1621" s="59" t="s">
        <v>124</v>
      </c>
      <c r="E1621" s="59" t="s">
        <v>122</v>
      </c>
    </row>
    <row r="1622" spans="1:5">
      <c r="A1622" s="59" t="s">
        <v>472</v>
      </c>
      <c r="B1622" s="59" t="s">
        <v>1759</v>
      </c>
      <c r="C1622" s="59" t="s">
        <v>123</v>
      </c>
      <c r="D1622" s="59" t="s">
        <v>124</v>
      </c>
      <c r="E1622" s="59" t="s">
        <v>122</v>
      </c>
    </row>
    <row r="1623" spans="1:5">
      <c r="A1623" s="59" t="s">
        <v>1392</v>
      </c>
      <c r="B1623" s="59" t="s">
        <v>1760</v>
      </c>
      <c r="C1623" s="59" t="s">
        <v>123</v>
      </c>
      <c r="D1623" s="59" t="s">
        <v>124</v>
      </c>
      <c r="E1623" s="59" t="s">
        <v>122</v>
      </c>
    </row>
    <row r="1624" spans="1:5">
      <c r="A1624" s="59" t="s">
        <v>940</v>
      </c>
      <c r="B1624" s="59" t="s">
        <v>1761</v>
      </c>
      <c r="C1624" s="59" t="s">
        <v>123</v>
      </c>
      <c r="D1624" s="59" t="s">
        <v>124</v>
      </c>
      <c r="E1624" s="59" t="s">
        <v>122</v>
      </c>
    </row>
    <row r="1625" spans="1:5">
      <c r="A1625" s="59" t="s">
        <v>1393</v>
      </c>
      <c r="B1625" s="59" t="s">
        <v>1762</v>
      </c>
      <c r="C1625" s="59" t="s">
        <v>123</v>
      </c>
      <c r="D1625" s="59" t="s">
        <v>124</v>
      </c>
      <c r="E1625" s="59" t="s">
        <v>122</v>
      </c>
    </row>
    <row r="1626" spans="1:5">
      <c r="A1626" s="59" t="s">
        <v>967</v>
      </c>
      <c r="B1626" s="59" t="s">
        <v>1763</v>
      </c>
      <c r="C1626" s="59" t="s">
        <v>123</v>
      </c>
      <c r="D1626" s="59" t="s">
        <v>124</v>
      </c>
      <c r="E1626" s="59" t="s">
        <v>122</v>
      </c>
    </row>
    <row r="1627" spans="1:5">
      <c r="A1627" s="59" t="s">
        <v>867</v>
      </c>
      <c r="B1627" s="59" t="s">
        <v>868</v>
      </c>
      <c r="C1627" s="59" t="s">
        <v>123</v>
      </c>
      <c r="D1627" s="59" t="s">
        <v>124</v>
      </c>
      <c r="E1627" s="59" t="s">
        <v>122</v>
      </c>
    </row>
    <row r="1628" spans="1:5">
      <c r="A1628" s="59" t="s">
        <v>1394</v>
      </c>
      <c r="B1628" s="59" t="s">
        <v>1764</v>
      </c>
      <c r="C1628" s="59" t="s">
        <v>123</v>
      </c>
      <c r="D1628" s="59" t="s">
        <v>124</v>
      </c>
      <c r="E1628" s="59" t="s">
        <v>122</v>
      </c>
    </row>
    <row r="1629" spans="1:5">
      <c r="A1629" s="59" t="s">
        <v>1378</v>
      </c>
      <c r="B1629" s="59" t="s">
        <v>1736</v>
      </c>
      <c r="C1629" s="59" t="s">
        <v>125</v>
      </c>
      <c r="D1629" s="59" t="s">
        <v>124</v>
      </c>
      <c r="E1629" s="59" t="s">
        <v>122</v>
      </c>
    </row>
    <row r="1630" spans="1:5">
      <c r="A1630" s="59" t="s">
        <v>1379</v>
      </c>
      <c r="B1630" s="59" t="s">
        <v>1738</v>
      </c>
      <c r="C1630" s="59" t="s">
        <v>125</v>
      </c>
      <c r="D1630" s="59" t="s">
        <v>124</v>
      </c>
      <c r="E1630" s="59" t="s">
        <v>122</v>
      </c>
    </row>
    <row r="1631" spans="1:5">
      <c r="A1631" s="59" t="s">
        <v>1380</v>
      </c>
      <c r="B1631" s="59" t="s">
        <v>1739</v>
      </c>
      <c r="C1631" s="59" t="s">
        <v>125</v>
      </c>
      <c r="D1631" s="59" t="s">
        <v>124</v>
      </c>
      <c r="E1631" s="59" t="s">
        <v>122</v>
      </c>
    </row>
    <row r="1632" spans="1:5">
      <c r="A1632" s="59" t="s">
        <v>1381</v>
      </c>
      <c r="B1632" s="59" t="s">
        <v>1740</v>
      </c>
      <c r="C1632" s="59" t="s">
        <v>125</v>
      </c>
      <c r="D1632" s="59" t="s">
        <v>124</v>
      </c>
      <c r="E1632" s="59" t="s">
        <v>122</v>
      </c>
    </row>
    <row r="1633" spans="1:5">
      <c r="A1633" s="59" t="s">
        <v>202</v>
      </c>
      <c r="B1633" s="59" t="s">
        <v>1741</v>
      </c>
      <c r="C1633" s="59" t="s">
        <v>125</v>
      </c>
      <c r="D1633" s="59" t="s">
        <v>124</v>
      </c>
      <c r="E1633" s="59" t="s">
        <v>122</v>
      </c>
    </row>
    <row r="1634" spans="1:5">
      <c r="A1634" s="59" t="s">
        <v>347</v>
      </c>
      <c r="B1634" s="59" t="s">
        <v>348</v>
      </c>
      <c r="C1634" s="59" t="s">
        <v>125</v>
      </c>
      <c r="D1634" s="59" t="s">
        <v>124</v>
      </c>
      <c r="E1634" s="59" t="s">
        <v>122</v>
      </c>
    </row>
    <row r="1635" spans="1:5">
      <c r="A1635" s="59" t="s">
        <v>1382</v>
      </c>
      <c r="B1635" s="59" t="s">
        <v>1742</v>
      </c>
      <c r="C1635" s="59" t="s">
        <v>125</v>
      </c>
      <c r="D1635" s="59" t="s">
        <v>124</v>
      </c>
      <c r="E1635" s="59" t="s">
        <v>122</v>
      </c>
    </row>
    <row r="1636" spans="1:5">
      <c r="A1636" s="59" t="s">
        <v>1383</v>
      </c>
      <c r="B1636" s="59" t="s">
        <v>1743</v>
      </c>
      <c r="C1636" s="59" t="s">
        <v>125</v>
      </c>
      <c r="D1636" s="59" t="s">
        <v>124</v>
      </c>
      <c r="E1636" s="59" t="s">
        <v>122</v>
      </c>
    </row>
    <row r="1637" spans="1:5">
      <c r="A1637" s="59" t="s">
        <v>1384</v>
      </c>
      <c r="B1637" s="59" t="s">
        <v>1744</v>
      </c>
      <c r="C1637" s="59" t="s">
        <v>125</v>
      </c>
      <c r="D1637" s="59" t="s">
        <v>124</v>
      </c>
      <c r="E1637" s="59" t="s">
        <v>122</v>
      </c>
    </row>
    <row r="1638" spans="1:5">
      <c r="A1638" s="59" t="s">
        <v>1385</v>
      </c>
      <c r="B1638" s="59" t="s">
        <v>1745</v>
      </c>
      <c r="C1638" s="59" t="s">
        <v>125</v>
      </c>
      <c r="D1638" s="59" t="s">
        <v>124</v>
      </c>
      <c r="E1638" s="59" t="s">
        <v>122</v>
      </c>
    </row>
    <row r="1639" spans="1:5">
      <c r="A1639" s="59" t="s">
        <v>1386</v>
      </c>
      <c r="B1639" s="59" t="s">
        <v>1746</v>
      </c>
      <c r="C1639" s="59" t="s">
        <v>125</v>
      </c>
      <c r="D1639" s="59" t="s">
        <v>124</v>
      </c>
      <c r="E1639" s="59" t="s">
        <v>122</v>
      </c>
    </row>
    <row r="1640" spans="1:5">
      <c r="A1640" s="59" t="s">
        <v>1387</v>
      </c>
      <c r="B1640" s="59" t="s">
        <v>1747</v>
      </c>
      <c r="C1640" s="59" t="s">
        <v>125</v>
      </c>
      <c r="D1640" s="59" t="s">
        <v>124</v>
      </c>
      <c r="E1640" s="59" t="s">
        <v>122</v>
      </c>
    </row>
    <row r="1641" spans="1:5">
      <c r="A1641" s="59" t="s">
        <v>1388</v>
      </c>
      <c r="B1641" s="59" t="s">
        <v>1748</v>
      </c>
      <c r="C1641" s="59" t="s">
        <v>125</v>
      </c>
      <c r="D1641" s="59" t="s">
        <v>124</v>
      </c>
      <c r="E1641" s="59" t="s">
        <v>122</v>
      </c>
    </row>
    <row r="1642" spans="1:5">
      <c r="A1642" s="59" t="s">
        <v>1389</v>
      </c>
      <c r="B1642" s="59" t="s">
        <v>1749</v>
      </c>
      <c r="C1642" s="59" t="s">
        <v>125</v>
      </c>
      <c r="D1642" s="59" t="s">
        <v>124</v>
      </c>
      <c r="E1642" s="59" t="s">
        <v>122</v>
      </c>
    </row>
    <row r="1643" spans="1:5">
      <c r="A1643" s="59" t="s">
        <v>1750</v>
      </c>
      <c r="B1643" s="59" t="s">
        <v>132</v>
      </c>
      <c r="C1643" s="59" t="s">
        <v>1751</v>
      </c>
      <c r="D1643" s="59" t="s">
        <v>124</v>
      </c>
      <c r="E1643" s="59" t="s">
        <v>122</v>
      </c>
    </row>
    <row r="1644" spans="1:5">
      <c r="A1644" s="59" t="s">
        <v>4360</v>
      </c>
      <c r="B1644" s="59" t="s">
        <v>4361</v>
      </c>
      <c r="C1644" s="59" t="s">
        <v>1669</v>
      </c>
      <c r="D1644" s="59" t="s">
        <v>1395</v>
      </c>
      <c r="E1644" s="59" t="s">
        <v>71</v>
      </c>
    </row>
    <row r="1645" spans="1:5">
      <c r="A1645" s="59" t="s">
        <v>2185</v>
      </c>
      <c r="B1645" s="59" t="s">
        <v>2186</v>
      </c>
      <c r="C1645" s="59" t="s">
        <v>1669</v>
      </c>
      <c r="D1645" s="65" t="s">
        <v>1458</v>
      </c>
      <c r="E1645" s="65" t="s">
        <v>122</v>
      </c>
    </row>
    <row r="1646" spans="1:5">
      <c r="A1646" s="59" t="s">
        <v>4362</v>
      </c>
      <c r="B1646" s="59" t="s">
        <v>4363</v>
      </c>
      <c r="C1646" s="59" t="s">
        <v>1669</v>
      </c>
      <c r="D1646" s="65" t="s">
        <v>1455</v>
      </c>
      <c r="E1646" s="65" t="s">
        <v>71</v>
      </c>
    </row>
    <row r="1647" spans="1:5">
      <c r="A1647" s="59" t="s">
        <v>4364</v>
      </c>
      <c r="B1647" s="59" t="s">
        <v>4365</v>
      </c>
      <c r="C1647" s="59" t="s">
        <v>1669</v>
      </c>
      <c r="D1647" s="59" t="s">
        <v>1477</v>
      </c>
      <c r="E1647" s="59" t="s">
        <v>71</v>
      </c>
    </row>
    <row r="1648" spans="1:5">
      <c r="A1648" s="59" t="s">
        <v>4366</v>
      </c>
      <c r="B1648" s="59" t="s">
        <v>4367</v>
      </c>
      <c r="C1648" s="59" t="s">
        <v>1669</v>
      </c>
      <c r="D1648" s="59" t="s">
        <v>1458</v>
      </c>
      <c r="E1648" s="59" t="s">
        <v>71</v>
      </c>
    </row>
    <row r="1649" spans="1:5">
      <c r="A1649" s="59" t="s">
        <v>4368</v>
      </c>
      <c r="B1649" s="59" t="s">
        <v>4369</v>
      </c>
      <c r="C1649" s="59" t="s">
        <v>1669</v>
      </c>
      <c r="D1649" s="65" t="s">
        <v>1458</v>
      </c>
      <c r="E1649" s="65" t="s">
        <v>71</v>
      </c>
    </row>
    <row r="1650" spans="1:5">
      <c r="A1650" s="59" t="s">
        <v>4370</v>
      </c>
      <c r="B1650" s="59" t="s">
        <v>4371</v>
      </c>
      <c r="C1650" s="59" t="s">
        <v>1669</v>
      </c>
      <c r="D1650" s="59" t="s">
        <v>1455</v>
      </c>
      <c r="E1650" s="59" t="s">
        <v>1456</v>
      </c>
    </row>
    <row r="1651" spans="1:5">
      <c r="A1651" s="59" t="s">
        <v>4372</v>
      </c>
      <c r="B1651" s="59" t="s">
        <v>4373</v>
      </c>
      <c r="C1651" s="59" t="s">
        <v>1669</v>
      </c>
      <c r="D1651" s="59" t="s">
        <v>1477</v>
      </c>
      <c r="E1651" s="59" t="s">
        <v>71</v>
      </c>
    </row>
    <row r="1652" spans="1:5">
      <c r="A1652" s="59" t="s">
        <v>4374</v>
      </c>
      <c r="B1652" s="59" t="s">
        <v>4375</v>
      </c>
      <c r="C1652" s="59" t="s">
        <v>1669</v>
      </c>
      <c r="D1652" s="59" t="s">
        <v>1458</v>
      </c>
      <c r="E1652" s="59" t="s">
        <v>71</v>
      </c>
    </row>
    <row r="1653" spans="1:5">
      <c r="A1653" s="59" t="s">
        <v>998</v>
      </c>
      <c r="B1653" s="59" t="s">
        <v>4376</v>
      </c>
      <c r="C1653" s="59" t="s">
        <v>1669</v>
      </c>
      <c r="D1653" s="59" t="s">
        <v>1371</v>
      </c>
      <c r="E1653" s="59" t="s">
        <v>71</v>
      </c>
    </row>
    <row r="1654" spans="1:5">
      <c r="A1654" s="59" t="s">
        <v>4377</v>
      </c>
      <c r="B1654" s="59" t="s">
        <v>4378</v>
      </c>
      <c r="C1654" s="59" t="s">
        <v>1669</v>
      </c>
      <c r="D1654" s="65" t="s">
        <v>598</v>
      </c>
      <c r="E1654" s="65" t="s">
        <v>71</v>
      </c>
    </row>
    <row r="1655" spans="1:5">
      <c r="A1655" s="59" t="s">
        <v>477</v>
      </c>
      <c r="B1655" s="59" t="s">
        <v>478</v>
      </c>
      <c r="C1655" s="59" t="s">
        <v>1669</v>
      </c>
      <c r="D1655" s="59" t="s">
        <v>1395</v>
      </c>
      <c r="E1655" s="59" t="s">
        <v>1456</v>
      </c>
    </row>
    <row r="1656" spans="1:5">
      <c r="A1656" s="59" t="s">
        <v>4379</v>
      </c>
      <c r="B1656" s="59" t="s">
        <v>4380</v>
      </c>
      <c r="C1656" s="59" t="s">
        <v>1669</v>
      </c>
      <c r="D1656" s="59" t="s">
        <v>1458</v>
      </c>
      <c r="E1656" s="59" t="s">
        <v>71</v>
      </c>
    </row>
    <row r="1657" spans="1:5">
      <c r="A1657" s="59" t="s">
        <v>4381</v>
      </c>
      <c r="B1657" s="59" t="s">
        <v>4382</v>
      </c>
      <c r="C1657" s="59" t="s">
        <v>1669</v>
      </c>
      <c r="D1657" s="65" t="s">
        <v>598</v>
      </c>
      <c r="E1657" s="65" t="s">
        <v>71</v>
      </c>
    </row>
    <row r="1658" spans="1:5">
      <c r="A1658" s="59" t="s">
        <v>1387</v>
      </c>
      <c r="B1658" s="59" t="s">
        <v>4383</v>
      </c>
      <c r="C1658" s="59" t="s">
        <v>1669</v>
      </c>
      <c r="D1658" s="65" t="s">
        <v>0</v>
      </c>
      <c r="E1658" s="65" t="s">
        <v>122</v>
      </c>
    </row>
    <row r="1659" spans="1:5">
      <c r="A1659" s="59" t="s">
        <v>4384</v>
      </c>
      <c r="B1659" s="59" t="s">
        <v>4385</v>
      </c>
      <c r="C1659" s="59" t="s">
        <v>1669</v>
      </c>
      <c r="D1659" s="65" t="s">
        <v>1458</v>
      </c>
      <c r="E1659" s="65" t="s">
        <v>71</v>
      </c>
    </row>
    <row r="1660" spans="1:5">
      <c r="A1660" s="59" t="s">
        <v>4386</v>
      </c>
      <c r="B1660" s="59" t="s">
        <v>4387</v>
      </c>
      <c r="C1660" s="59" t="s">
        <v>1669</v>
      </c>
      <c r="D1660" s="65" t="s">
        <v>598</v>
      </c>
      <c r="E1660" s="65" t="s">
        <v>71</v>
      </c>
    </row>
    <row r="1661" spans="1:5">
      <c r="A1661" s="59" t="s">
        <v>4388</v>
      </c>
      <c r="B1661" s="59" t="s">
        <v>4389</v>
      </c>
      <c r="C1661" s="59" t="s">
        <v>1669</v>
      </c>
      <c r="D1661" s="59" t="s">
        <v>4390</v>
      </c>
      <c r="E1661" s="59" t="s">
        <v>71</v>
      </c>
    </row>
    <row r="1662" spans="1:5">
      <c r="A1662" s="59" t="s">
        <v>955</v>
      </c>
      <c r="B1662" s="59" t="s">
        <v>4391</v>
      </c>
      <c r="C1662" s="59" t="s">
        <v>1669</v>
      </c>
      <c r="D1662" s="59" t="s">
        <v>1458</v>
      </c>
      <c r="E1662" s="59" t="s">
        <v>71</v>
      </c>
    </row>
    <row r="1663" spans="1:5">
      <c r="A1663" s="59" t="s">
        <v>4392</v>
      </c>
      <c r="B1663" s="59" t="s">
        <v>4393</v>
      </c>
      <c r="C1663" s="59" t="s">
        <v>1669</v>
      </c>
      <c r="D1663" s="59" t="s">
        <v>1455</v>
      </c>
      <c r="E1663" s="59" t="s">
        <v>1456</v>
      </c>
    </row>
    <row r="1664" spans="1:5">
      <c r="A1664" s="59" t="s">
        <v>4394</v>
      </c>
      <c r="B1664" s="59" t="s">
        <v>4395</v>
      </c>
      <c r="C1664" s="59" t="s">
        <v>1669</v>
      </c>
      <c r="D1664" s="65" t="s">
        <v>0</v>
      </c>
      <c r="E1664" s="65" t="s">
        <v>122</v>
      </c>
    </row>
    <row r="1665" spans="1:5">
      <c r="A1665" s="59" t="s">
        <v>999</v>
      </c>
      <c r="B1665" s="59" t="s">
        <v>4396</v>
      </c>
      <c r="C1665" s="59" t="s">
        <v>1669</v>
      </c>
      <c r="D1665" s="65" t="s">
        <v>1458</v>
      </c>
      <c r="E1665" s="65" t="s">
        <v>71</v>
      </c>
    </row>
    <row r="1666" spans="1:5">
      <c r="A1666" s="59" t="s">
        <v>4397</v>
      </c>
      <c r="B1666" s="59" t="s">
        <v>4398</v>
      </c>
      <c r="C1666" s="59" t="s">
        <v>1669</v>
      </c>
      <c r="D1666" s="65" t="s">
        <v>598</v>
      </c>
      <c r="E1666" s="65" t="s">
        <v>71</v>
      </c>
    </row>
    <row r="1667" spans="1:5">
      <c r="A1667" s="59" t="s">
        <v>4399</v>
      </c>
      <c r="B1667" s="59" t="s">
        <v>4400</v>
      </c>
      <c r="C1667" s="59" t="s">
        <v>1669</v>
      </c>
      <c r="D1667" s="65" t="s">
        <v>1477</v>
      </c>
      <c r="E1667" s="65" t="s">
        <v>71</v>
      </c>
    </row>
    <row r="1668" spans="1:5">
      <c r="A1668" s="59" t="s">
        <v>4401</v>
      </c>
      <c r="B1668" s="59" t="s">
        <v>4402</v>
      </c>
      <c r="C1668" s="59" t="s">
        <v>1669</v>
      </c>
      <c r="D1668" s="65" t="s">
        <v>1477</v>
      </c>
      <c r="E1668" s="65" t="s">
        <v>71</v>
      </c>
    </row>
    <row r="1669" spans="1:5">
      <c r="A1669" s="59" t="s">
        <v>4403</v>
      </c>
      <c r="B1669" s="59" t="s">
        <v>4404</v>
      </c>
      <c r="C1669" s="59" t="s">
        <v>1669</v>
      </c>
      <c r="D1669" s="59" t="s">
        <v>1455</v>
      </c>
      <c r="E1669" s="59" t="s">
        <v>71</v>
      </c>
    </row>
    <row r="1670" spans="1:5">
      <c r="A1670" s="59" t="s">
        <v>978</v>
      </c>
      <c r="B1670" s="59" t="s">
        <v>4396</v>
      </c>
      <c r="C1670" s="59" t="s">
        <v>1669</v>
      </c>
      <c r="D1670" s="65" t="s">
        <v>1458</v>
      </c>
      <c r="E1670" s="65" t="s">
        <v>71</v>
      </c>
    </row>
    <row r="1671" spans="1:5">
      <c r="A1671" s="59" t="s">
        <v>4405</v>
      </c>
      <c r="B1671" s="59" t="s">
        <v>4406</v>
      </c>
      <c r="C1671" s="59" t="s">
        <v>1669</v>
      </c>
      <c r="D1671" s="59" t="s">
        <v>1477</v>
      </c>
      <c r="E1671" s="59" t="s">
        <v>71</v>
      </c>
    </row>
    <row r="1672" spans="1:5">
      <c r="A1672" s="59" t="s">
        <v>4407</v>
      </c>
      <c r="B1672" s="59" t="s">
        <v>1400</v>
      </c>
      <c r="C1672" s="59" t="s">
        <v>1669</v>
      </c>
      <c r="D1672" s="59" t="s">
        <v>4408</v>
      </c>
      <c r="E1672" s="59" t="s">
        <v>122</v>
      </c>
    </row>
    <row r="1673" spans="1:5">
      <c r="A1673" s="59" t="s">
        <v>4409</v>
      </c>
      <c r="B1673" s="59" t="s">
        <v>4410</v>
      </c>
      <c r="C1673" s="59" t="s">
        <v>1669</v>
      </c>
      <c r="D1673" s="59" t="s">
        <v>1477</v>
      </c>
      <c r="E1673" s="59" t="s">
        <v>71</v>
      </c>
    </row>
    <row r="1674" spans="1:5">
      <c r="A1674" s="59" t="s">
        <v>4411</v>
      </c>
      <c r="B1674" s="59" t="s">
        <v>4412</v>
      </c>
      <c r="C1674" s="59" t="s">
        <v>1669</v>
      </c>
      <c r="D1674" s="59" t="s">
        <v>1477</v>
      </c>
      <c r="E1674" s="59" t="s">
        <v>71</v>
      </c>
    </row>
    <row r="1675" spans="1:5">
      <c r="A1675" s="59" t="s">
        <v>4413</v>
      </c>
      <c r="B1675" s="59" t="s">
        <v>4414</v>
      </c>
      <c r="C1675" s="59" t="s">
        <v>1669</v>
      </c>
      <c r="D1675" s="59" t="s">
        <v>1477</v>
      </c>
      <c r="E1675" s="59" t="s">
        <v>71</v>
      </c>
    </row>
    <row r="1676" spans="1:5">
      <c r="A1676" s="59" t="s">
        <v>746</v>
      </c>
      <c r="B1676" s="59" t="s">
        <v>747</v>
      </c>
      <c r="C1676" s="59" t="s">
        <v>1669</v>
      </c>
      <c r="D1676" t="s">
        <v>4408</v>
      </c>
      <c r="E1676" t="s">
        <v>122</v>
      </c>
    </row>
    <row r="1677" spans="1:5">
      <c r="A1677" s="59" t="s">
        <v>4415</v>
      </c>
      <c r="B1677" s="59" t="s">
        <v>4416</v>
      </c>
      <c r="C1677" s="59" t="s">
        <v>1669</v>
      </c>
      <c r="D1677" s="59" t="s">
        <v>1371</v>
      </c>
      <c r="E1677" s="59" t="s">
        <v>1456</v>
      </c>
    </row>
    <row r="1678" spans="1:5">
      <c r="A1678" s="59" t="s">
        <v>4417</v>
      </c>
      <c r="B1678" s="59" t="s">
        <v>4418</v>
      </c>
      <c r="C1678" s="59" t="s">
        <v>1669</v>
      </c>
      <c r="D1678" s="59" t="s">
        <v>1371</v>
      </c>
      <c r="E1678" s="59" t="s">
        <v>71</v>
      </c>
    </row>
    <row r="1679" spans="1:5">
      <c r="A1679" s="59" t="s">
        <v>4419</v>
      </c>
      <c r="B1679" s="59" t="s">
        <v>4420</v>
      </c>
      <c r="C1679" s="59" t="s">
        <v>1669</v>
      </c>
      <c r="D1679" s="59" t="s">
        <v>1477</v>
      </c>
      <c r="E1679" s="59" t="s">
        <v>71</v>
      </c>
    </row>
    <row r="1680" spans="1:5">
      <c r="A1680" s="59" t="s">
        <v>929</v>
      </c>
      <c r="B1680" s="59" t="s">
        <v>4421</v>
      </c>
      <c r="C1680" s="59" t="s">
        <v>1669</v>
      </c>
      <c r="D1680" s="59" t="s">
        <v>1458</v>
      </c>
      <c r="E1680" s="59" t="s">
        <v>71</v>
      </c>
    </row>
    <row r="1681" spans="1:5">
      <c r="A1681" s="59" t="s">
        <v>4422</v>
      </c>
      <c r="B1681" s="59" t="s">
        <v>4423</v>
      </c>
      <c r="C1681" s="59" t="s">
        <v>1669</v>
      </c>
      <c r="D1681" s="59" t="s">
        <v>1458</v>
      </c>
      <c r="E1681" s="59" t="s">
        <v>71</v>
      </c>
    </row>
    <row r="1682" spans="1:5">
      <c r="A1682" s="59" t="s">
        <v>4424</v>
      </c>
      <c r="B1682" s="59" t="s">
        <v>4425</v>
      </c>
      <c r="C1682" s="59" t="s">
        <v>1669</v>
      </c>
      <c r="D1682" s="59" t="s">
        <v>1371</v>
      </c>
      <c r="E1682" s="59" t="s">
        <v>71</v>
      </c>
    </row>
    <row r="1683" spans="1:5">
      <c r="A1683" s="59" t="s">
        <v>4426</v>
      </c>
      <c r="B1683" s="59" t="s">
        <v>4427</v>
      </c>
      <c r="C1683" s="59" t="s">
        <v>1669</v>
      </c>
      <c r="D1683" s="59" t="s">
        <v>1455</v>
      </c>
      <c r="E1683" s="59" t="s">
        <v>71</v>
      </c>
    </row>
    <row r="1684" spans="1:5">
      <c r="A1684" s="59" t="s">
        <v>4428</v>
      </c>
      <c r="B1684" s="59" t="s">
        <v>4429</v>
      </c>
      <c r="C1684" s="59" t="s">
        <v>1669</v>
      </c>
      <c r="D1684" s="59" t="s">
        <v>1477</v>
      </c>
      <c r="E1684" s="59" t="s">
        <v>71</v>
      </c>
    </row>
    <row r="1685" spans="1:5">
      <c r="A1685" s="59" t="s">
        <v>4430</v>
      </c>
      <c r="B1685" s="59" t="s">
        <v>4431</v>
      </c>
      <c r="C1685" s="59" t="s">
        <v>1669</v>
      </c>
      <c r="D1685" s="59" t="s">
        <v>1458</v>
      </c>
      <c r="E1685" s="59" t="s">
        <v>71</v>
      </c>
    </row>
    <row r="1686" spans="1:5">
      <c r="A1686" s="59" t="s">
        <v>4432</v>
      </c>
      <c r="B1686" s="59" t="s">
        <v>3480</v>
      </c>
      <c r="C1686" s="59" t="s">
        <v>1669</v>
      </c>
      <c r="D1686" s="59" t="s">
        <v>1395</v>
      </c>
      <c r="E1686" s="59" t="s">
        <v>1456</v>
      </c>
    </row>
    <row r="1687" spans="1:5">
      <c r="A1687" s="59" t="s">
        <v>526</v>
      </c>
      <c r="B1687" s="59" t="s">
        <v>527</v>
      </c>
      <c r="C1687" s="59" t="s">
        <v>1669</v>
      </c>
      <c r="D1687" s="59" t="s">
        <v>1371</v>
      </c>
      <c r="E1687" s="59" t="s">
        <v>71</v>
      </c>
    </row>
    <row r="1688" spans="1:5">
      <c r="A1688" s="59" t="s">
        <v>4433</v>
      </c>
      <c r="B1688" s="59" t="s">
        <v>4434</v>
      </c>
      <c r="C1688" s="59" t="s">
        <v>1669</v>
      </c>
      <c r="D1688" s="59" t="s">
        <v>1395</v>
      </c>
      <c r="E1688" s="59" t="s">
        <v>71</v>
      </c>
    </row>
    <row r="1689" spans="1:5">
      <c r="A1689" s="59" t="s">
        <v>4435</v>
      </c>
      <c r="B1689" s="59" t="s">
        <v>4436</v>
      </c>
      <c r="C1689" s="59" t="s">
        <v>1669</v>
      </c>
      <c r="D1689" s="59" t="s">
        <v>1395</v>
      </c>
      <c r="E1689" s="59" t="s">
        <v>71</v>
      </c>
    </row>
    <row r="1690" spans="1:5">
      <c r="A1690" s="59" t="s">
        <v>1621</v>
      </c>
      <c r="B1690" s="59" t="s">
        <v>1414</v>
      </c>
      <c r="C1690" s="59" t="s">
        <v>1669</v>
      </c>
      <c r="D1690" s="59" t="s">
        <v>1371</v>
      </c>
      <c r="E1690" s="59" t="s">
        <v>122</v>
      </c>
    </row>
    <row r="1691" spans="1:5">
      <c r="A1691" s="59" t="s">
        <v>4437</v>
      </c>
      <c r="B1691" s="59" t="s">
        <v>1373</v>
      </c>
      <c r="C1691" s="59" t="s">
        <v>1669</v>
      </c>
      <c r="D1691" s="59" t="s">
        <v>1371</v>
      </c>
      <c r="E1691" s="59" t="s">
        <v>122</v>
      </c>
    </row>
    <row r="1692" spans="1:5">
      <c r="A1692" s="59" t="s">
        <v>4438</v>
      </c>
      <c r="B1692" s="59" t="s">
        <v>4439</v>
      </c>
      <c r="C1692" s="59" t="s">
        <v>1669</v>
      </c>
      <c r="D1692" s="59" t="s">
        <v>1395</v>
      </c>
      <c r="E1692" s="59" t="s">
        <v>71</v>
      </c>
    </row>
    <row r="1693" spans="1:5">
      <c r="A1693" s="59" t="s">
        <v>4440</v>
      </c>
      <c r="B1693" s="59" t="s">
        <v>4441</v>
      </c>
      <c r="C1693" s="59" t="s">
        <v>1669</v>
      </c>
      <c r="D1693" s="65" t="s">
        <v>598</v>
      </c>
      <c r="E1693" s="65" t="s">
        <v>71</v>
      </c>
    </row>
    <row r="1694" spans="1:5">
      <c r="A1694" s="59" t="s">
        <v>954</v>
      </c>
      <c r="B1694" s="59" t="s">
        <v>4442</v>
      </c>
      <c r="C1694" s="59" t="s">
        <v>1669</v>
      </c>
      <c r="D1694" s="59" t="s">
        <v>89</v>
      </c>
      <c r="E1694" s="59" t="s">
        <v>71</v>
      </c>
    </row>
    <row r="1695" spans="1:5">
      <c r="A1695" s="59" t="s">
        <v>2555</v>
      </c>
      <c r="B1695" s="59" t="s">
        <v>2556</v>
      </c>
      <c r="C1695" s="59" t="s">
        <v>1669</v>
      </c>
      <c r="D1695" s="59" t="s">
        <v>1458</v>
      </c>
      <c r="E1695" s="59" t="s">
        <v>71</v>
      </c>
    </row>
    <row r="1696" spans="1:5">
      <c r="A1696" s="59" t="s">
        <v>91</v>
      </c>
      <c r="B1696" s="59" t="s">
        <v>4443</v>
      </c>
      <c r="C1696" s="59" t="s">
        <v>1669</v>
      </c>
      <c r="D1696" s="59" t="s">
        <v>89</v>
      </c>
      <c r="E1696" s="59" t="s">
        <v>71</v>
      </c>
    </row>
    <row r="1697" spans="1:5">
      <c r="A1697" s="59" t="s">
        <v>4444</v>
      </c>
      <c r="B1697" s="59" t="s">
        <v>4445</v>
      </c>
      <c r="C1697" s="59" t="s">
        <v>1669</v>
      </c>
      <c r="D1697" s="59" t="s">
        <v>1455</v>
      </c>
      <c r="E1697" s="59" t="s">
        <v>1456</v>
      </c>
    </row>
    <row r="1698" spans="1:5">
      <c r="A1698" s="59" t="s">
        <v>4446</v>
      </c>
      <c r="B1698" s="59" t="s">
        <v>4447</v>
      </c>
      <c r="C1698" s="59" t="s">
        <v>1669</v>
      </c>
      <c r="D1698" s="59" t="s">
        <v>1455</v>
      </c>
      <c r="E1698" s="59" t="s">
        <v>1456</v>
      </c>
    </row>
    <row r="1699" spans="1:5">
      <c r="A1699" s="59" t="s">
        <v>4448</v>
      </c>
      <c r="B1699" s="59" t="s">
        <v>4449</v>
      </c>
      <c r="C1699" s="59" t="s">
        <v>1669</v>
      </c>
      <c r="D1699" s="59" t="s">
        <v>1371</v>
      </c>
      <c r="E1699" s="59" t="s">
        <v>71</v>
      </c>
    </row>
    <row r="1700" spans="1:5">
      <c r="A1700" s="59" t="s">
        <v>1392</v>
      </c>
      <c r="B1700" s="59" t="s">
        <v>1760</v>
      </c>
      <c r="C1700" s="59" t="s">
        <v>1669</v>
      </c>
      <c r="D1700" s="65" t="s">
        <v>0</v>
      </c>
      <c r="E1700" s="65" t="s">
        <v>122</v>
      </c>
    </row>
    <row r="1701" spans="1:5">
      <c r="A1701" s="59" t="s">
        <v>4450</v>
      </c>
      <c r="B1701" s="59" t="s">
        <v>4451</v>
      </c>
      <c r="C1701" s="59" t="s">
        <v>1669</v>
      </c>
      <c r="D1701" s="59" t="s">
        <v>1477</v>
      </c>
      <c r="E1701" s="59" t="s">
        <v>71</v>
      </c>
    </row>
    <row r="1702" spans="1:5">
      <c r="A1702" s="59" t="s">
        <v>4452</v>
      </c>
      <c r="B1702" s="59" t="s">
        <v>4453</v>
      </c>
      <c r="C1702" s="59" t="s">
        <v>1669</v>
      </c>
      <c r="D1702" s="59" t="s">
        <v>1477</v>
      </c>
      <c r="E1702" s="59" t="s">
        <v>71</v>
      </c>
    </row>
    <row r="1703" spans="1:5">
      <c r="A1703" s="59" t="s">
        <v>4454</v>
      </c>
      <c r="B1703" s="59" t="s">
        <v>1746</v>
      </c>
      <c r="C1703" s="59" t="s">
        <v>1669</v>
      </c>
      <c r="D1703" s="59" t="s">
        <v>0</v>
      </c>
      <c r="E1703" s="59" t="s">
        <v>122</v>
      </c>
    </row>
    <row r="1704" spans="1:5">
      <c r="A1704" s="59" t="s">
        <v>4455</v>
      </c>
      <c r="B1704" s="59" t="s">
        <v>1755</v>
      </c>
      <c r="C1704" s="59" t="s">
        <v>1669</v>
      </c>
      <c r="D1704" s="59" t="s">
        <v>0</v>
      </c>
      <c r="E1704" s="59" t="s">
        <v>122</v>
      </c>
    </row>
    <row r="1705" spans="1:5">
      <c r="A1705" s="59" t="s">
        <v>4456</v>
      </c>
      <c r="B1705" s="59" t="s">
        <v>4457</v>
      </c>
      <c r="C1705" s="59" t="s">
        <v>1669</v>
      </c>
      <c r="D1705" s="59" t="s">
        <v>1395</v>
      </c>
      <c r="E1705" s="59" t="s">
        <v>1456</v>
      </c>
    </row>
    <row r="1706" spans="1:5">
      <c r="A1706" s="59" t="s">
        <v>4458</v>
      </c>
      <c r="B1706" s="59" t="s">
        <v>4459</v>
      </c>
      <c r="C1706" s="59" t="s">
        <v>1669</v>
      </c>
      <c r="D1706" s="65" t="s">
        <v>1395</v>
      </c>
      <c r="E1706" s="65" t="s">
        <v>71</v>
      </c>
    </row>
    <row r="1707" spans="1:5">
      <c r="A1707" s="59" t="s">
        <v>4460</v>
      </c>
      <c r="B1707" s="59" t="s">
        <v>4461</v>
      </c>
      <c r="C1707" s="59" t="s">
        <v>1669</v>
      </c>
      <c r="D1707" s="65" t="s">
        <v>598</v>
      </c>
      <c r="E1707" s="65" t="s">
        <v>71</v>
      </c>
    </row>
    <row r="1708" spans="1:5">
      <c r="A1708" s="59" t="s">
        <v>4462</v>
      </c>
      <c r="B1708" s="59" t="s">
        <v>4463</v>
      </c>
      <c r="C1708" s="59" t="s">
        <v>1669</v>
      </c>
      <c r="D1708" s="65" t="s">
        <v>598</v>
      </c>
      <c r="E1708" s="65" t="s">
        <v>71</v>
      </c>
    </row>
    <row r="1709" spans="1:5">
      <c r="A1709" s="59" t="s">
        <v>4464</v>
      </c>
      <c r="B1709" s="59" t="s">
        <v>4465</v>
      </c>
      <c r="C1709" s="59" t="s">
        <v>1669</v>
      </c>
      <c r="D1709" s="65" t="s">
        <v>598</v>
      </c>
      <c r="E1709" s="65" t="s">
        <v>71</v>
      </c>
    </row>
    <row r="1710" spans="1:5">
      <c r="A1710" s="59" t="s">
        <v>4466</v>
      </c>
      <c r="B1710" s="59" t="s">
        <v>4467</v>
      </c>
      <c r="C1710" s="59" t="s">
        <v>1669</v>
      </c>
      <c r="D1710" s="59" t="s">
        <v>1395</v>
      </c>
      <c r="E1710" s="59" t="s">
        <v>1456</v>
      </c>
    </row>
    <row r="1711" spans="1:5">
      <c r="A1711" s="59" t="s">
        <v>511</v>
      </c>
      <c r="B1711" s="59" t="s">
        <v>508</v>
      </c>
      <c r="C1711" s="59" t="s">
        <v>1669</v>
      </c>
      <c r="D1711" s="59" t="s">
        <v>1458</v>
      </c>
      <c r="E1711" s="59" t="s">
        <v>71</v>
      </c>
    </row>
    <row r="1712" spans="1:5">
      <c r="A1712" s="59" t="s">
        <v>4468</v>
      </c>
      <c r="B1712" s="59" t="s">
        <v>4469</v>
      </c>
      <c r="C1712" s="59" t="s">
        <v>1669</v>
      </c>
      <c r="D1712" s="59" t="s">
        <v>1477</v>
      </c>
      <c r="E1712" s="59" t="s">
        <v>71</v>
      </c>
    </row>
    <row r="1713" spans="1:5">
      <c r="A1713" s="59" t="s">
        <v>4470</v>
      </c>
      <c r="B1713" s="59" t="s">
        <v>4471</v>
      </c>
      <c r="C1713" s="59" t="s">
        <v>1669</v>
      </c>
      <c r="D1713" s="59" t="s">
        <v>1371</v>
      </c>
      <c r="E1713" s="59" t="s">
        <v>71</v>
      </c>
    </row>
    <row r="1714" spans="1:5">
      <c r="A1714" s="59" t="s">
        <v>4472</v>
      </c>
      <c r="B1714" s="59" t="s">
        <v>4473</v>
      </c>
      <c r="C1714" s="59" t="s">
        <v>1669</v>
      </c>
      <c r="D1714" s="59" t="s">
        <v>1395</v>
      </c>
      <c r="E1714" s="59" t="s">
        <v>71</v>
      </c>
    </row>
    <row r="1715" spans="1:5">
      <c r="A1715" s="59" t="s">
        <v>4474</v>
      </c>
      <c r="B1715" s="59" t="s">
        <v>4475</v>
      </c>
      <c r="C1715" s="59" t="s">
        <v>1669</v>
      </c>
      <c r="D1715" s="59" t="s">
        <v>1455</v>
      </c>
      <c r="E1715" s="59" t="s">
        <v>71</v>
      </c>
    </row>
    <row r="1716" spans="1:5">
      <c r="A1716" s="59" t="s">
        <v>429</v>
      </c>
      <c r="B1716" s="59" t="s">
        <v>430</v>
      </c>
      <c r="C1716" s="59" t="s">
        <v>1669</v>
      </c>
      <c r="D1716" s="59" t="s">
        <v>1407</v>
      </c>
      <c r="E1716" s="59" t="s">
        <v>31</v>
      </c>
    </row>
    <row r="1717" spans="1:5">
      <c r="A1717" s="59" t="s">
        <v>4476</v>
      </c>
      <c r="B1717" s="59" t="s">
        <v>4477</v>
      </c>
      <c r="C1717" s="59" t="s">
        <v>1669</v>
      </c>
      <c r="D1717" s="59" t="s">
        <v>1395</v>
      </c>
      <c r="E1717" s="59" t="s">
        <v>71</v>
      </c>
    </row>
    <row r="1718" spans="1:5">
      <c r="A1718" s="59" t="s">
        <v>4478</v>
      </c>
      <c r="B1718" s="59" t="s">
        <v>4479</v>
      </c>
      <c r="C1718" s="59" t="s">
        <v>1669</v>
      </c>
      <c r="D1718" s="59" t="s">
        <v>1371</v>
      </c>
      <c r="E1718" s="59" t="s">
        <v>71</v>
      </c>
    </row>
    <row r="1719" spans="1:5">
      <c r="A1719" s="59" t="s">
        <v>4480</v>
      </c>
      <c r="B1719" s="59" t="s">
        <v>4481</v>
      </c>
      <c r="C1719" s="59" t="s">
        <v>1669</v>
      </c>
      <c r="D1719" s="59" t="s">
        <v>1458</v>
      </c>
      <c r="E1719" s="59" t="s">
        <v>71</v>
      </c>
    </row>
    <row r="1720" spans="1:5">
      <c r="A1720" s="59" t="s">
        <v>4482</v>
      </c>
      <c r="B1720" s="59" t="s">
        <v>4483</v>
      </c>
      <c r="C1720" s="59" t="s">
        <v>1669</v>
      </c>
      <c r="D1720" s="59" t="s">
        <v>1395</v>
      </c>
      <c r="E1720" s="59" t="s">
        <v>1456</v>
      </c>
    </row>
    <row r="1721" spans="1:5">
      <c r="A1721" s="59" t="s">
        <v>4484</v>
      </c>
      <c r="B1721" s="59" t="s">
        <v>4485</v>
      </c>
      <c r="C1721" s="59" t="s">
        <v>1669</v>
      </c>
      <c r="D1721" s="59" t="s">
        <v>1395</v>
      </c>
      <c r="E1721" s="59" t="s">
        <v>71</v>
      </c>
    </row>
    <row r="1722" spans="1:5">
      <c r="A1722" s="59" t="s">
        <v>4486</v>
      </c>
      <c r="B1722" s="59" t="s">
        <v>4487</v>
      </c>
      <c r="C1722" s="59" t="s">
        <v>1669</v>
      </c>
      <c r="D1722" s="59" t="s">
        <v>1395</v>
      </c>
      <c r="E1722" s="59" t="s">
        <v>71</v>
      </c>
    </row>
    <row r="1723" spans="1:5">
      <c r="A1723" s="59" t="s">
        <v>4488</v>
      </c>
      <c r="B1723" s="59" t="s">
        <v>968</v>
      </c>
      <c r="C1723" s="59" t="s">
        <v>1669</v>
      </c>
      <c r="D1723" s="59" t="s">
        <v>1455</v>
      </c>
      <c r="E1723" s="59" t="s">
        <v>71</v>
      </c>
    </row>
    <row r="1724" spans="1:5">
      <c r="A1724" s="59" t="s">
        <v>4489</v>
      </c>
      <c r="B1724" s="59" t="s">
        <v>1559</v>
      </c>
      <c r="C1724" s="59" t="s">
        <v>1669</v>
      </c>
      <c r="D1724" s="59" t="s">
        <v>1371</v>
      </c>
      <c r="E1724" s="59" t="s">
        <v>71</v>
      </c>
    </row>
    <row r="1725" spans="1:5">
      <c r="A1725" s="59" t="s">
        <v>4490</v>
      </c>
      <c r="B1725" s="59" t="s">
        <v>4491</v>
      </c>
      <c r="C1725" s="59" t="s">
        <v>1669</v>
      </c>
      <c r="D1725" s="59" t="s">
        <v>1455</v>
      </c>
      <c r="E1725" s="59" t="s">
        <v>71</v>
      </c>
    </row>
    <row r="1726" spans="1:5">
      <c r="A1726" s="59" t="s">
        <v>159</v>
      </c>
      <c r="B1726" s="59" t="s">
        <v>160</v>
      </c>
      <c r="C1726" s="59" t="s">
        <v>1669</v>
      </c>
      <c r="D1726" s="59" t="s">
        <v>1455</v>
      </c>
      <c r="E1726" s="59" t="s">
        <v>71</v>
      </c>
    </row>
    <row r="1727" spans="1:5">
      <c r="A1727" s="59" t="s">
        <v>4492</v>
      </c>
      <c r="B1727" s="59" t="s">
        <v>4493</v>
      </c>
      <c r="C1727" s="59" t="s">
        <v>1669</v>
      </c>
      <c r="D1727" s="59" t="s">
        <v>1477</v>
      </c>
      <c r="E1727" s="59" t="s">
        <v>71</v>
      </c>
    </row>
    <row r="1728" spans="1:5">
      <c r="A1728" s="59" t="s">
        <v>4494</v>
      </c>
      <c r="B1728" s="59" t="s">
        <v>4495</v>
      </c>
      <c r="C1728" s="59" t="s">
        <v>1669</v>
      </c>
      <c r="D1728" s="65" t="s">
        <v>1395</v>
      </c>
      <c r="E1728" s="65" t="s">
        <v>1456</v>
      </c>
    </row>
    <row r="1729" spans="1:5">
      <c r="A1729" s="59" t="s">
        <v>4496</v>
      </c>
      <c r="B1729" s="59" t="s">
        <v>4497</v>
      </c>
      <c r="C1729" s="59" t="s">
        <v>1669</v>
      </c>
      <c r="D1729" s="59" t="s">
        <v>0</v>
      </c>
      <c r="E1729" s="59" t="s">
        <v>122</v>
      </c>
    </row>
    <row r="1730" spans="1:5">
      <c r="A1730" s="59" t="s">
        <v>4498</v>
      </c>
      <c r="B1730" s="59" t="s">
        <v>4499</v>
      </c>
      <c r="C1730" s="59" t="s">
        <v>1669</v>
      </c>
      <c r="D1730" s="59" t="s">
        <v>1477</v>
      </c>
      <c r="E1730" s="59" t="s">
        <v>71</v>
      </c>
    </row>
    <row r="1731" spans="1:5">
      <c r="A1731" s="59" t="s">
        <v>4500</v>
      </c>
      <c r="B1731" s="59" t="s">
        <v>4501</v>
      </c>
      <c r="C1731" s="59" t="s">
        <v>1669</v>
      </c>
      <c r="D1731" s="59" t="s">
        <v>1458</v>
      </c>
      <c r="E1731" s="59" t="s">
        <v>71</v>
      </c>
    </row>
    <row r="1732" spans="1:5">
      <c r="A1732" s="59" t="s">
        <v>4502</v>
      </c>
      <c r="B1732" s="59" t="s">
        <v>2405</v>
      </c>
      <c r="C1732" s="59" t="s">
        <v>1669</v>
      </c>
      <c r="D1732" s="59" t="s">
        <v>1477</v>
      </c>
      <c r="E1732" s="59" t="s">
        <v>71</v>
      </c>
    </row>
    <row r="1733" spans="1:5">
      <c r="A1733" s="59" t="s">
        <v>322</v>
      </c>
      <c r="B1733" s="59" t="s">
        <v>323</v>
      </c>
      <c r="C1733" s="59" t="s">
        <v>1669</v>
      </c>
      <c r="D1733" s="59" t="s">
        <v>1395</v>
      </c>
      <c r="E1733" s="59" t="s">
        <v>1456</v>
      </c>
    </row>
    <row r="1734" spans="1:5">
      <c r="A1734" s="59" t="s">
        <v>4503</v>
      </c>
      <c r="B1734" s="59" t="s">
        <v>4504</v>
      </c>
      <c r="C1734" s="59" t="s">
        <v>1669</v>
      </c>
      <c r="D1734" s="65" t="s">
        <v>598</v>
      </c>
      <c r="E1734" s="65" t="s">
        <v>71</v>
      </c>
    </row>
    <row r="1735" spans="1:5">
      <c r="A1735" s="59" t="s">
        <v>4505</v>
      </c>
      <c r="B1735" s="59" t="s">
        <v>4506</v>
      </c>
      <c r="C1735" s="59" t="s">
        <v>1669</v>
      </c>
      <c r="D1735" s="65" t="s">
        <v>1455</v>
      </c>
      <c r="E1735" s="65" t="s">
        <v>71</v>
      </c>
    </row>
    <row r="1736" spans="1:5">
      <c r="A1736" s="59" t="s">
        <v>1017</v>
      </c>
      <c r="B1736" s="59" t="s">
        <v>4507</v>
      </c>
      <c r="C1736" s="59" t="s">
        <v>1669</v>
      </c>
      <c r="D1736" t="s">
        <v>1458</v>
      </c>
      <c r="E1736" t="s">
        <v>71</v>
      </c>
    </row>
    <row r="1737" spans="1:5">
      <c r="A1737" s="59" t="s">
        <v>927</v>
      </c>
      <c r="B1737" s="59" t="s">
        <v>1612</v>
      </c>
      <c r="C1737" s="59" t="s">
        <v>1669</v>
      </c>
      <c r="D1737" t="s">
        <v>1458</v>
      </c>
      <c r="E1737" t="s">
        <v>71</v>
      </c>
    </row>
    <row r="1738" spans="1:5">
      <c r="A1738" s="59" t="s">
        <v>4508</v>
      </c>
      <c r="B1738" s="59" t="s">
        <v>4509</v>
      </c>
      <c r="C1738" s="59" t="s">
        <v>1669</v>
      </c>
      <c r="D1738" s="59" t="s">
        <v>1371</v>
      </c>
      <c r="E1738" s="59" t="s">
        <v>71</v>
      </c>
    </row>
    <row r="1739" spans="1:5">
      <c r="A1739" s="59" t="s">
        <v>4510</v>
      </c>
      <c r="B1739" s="59" t="s">
        <v>4511</v>
      </c>
      <c r="C1739" s="59" t="s">
        <v>1669</v>
      </c>
      <c r="D1739" s="59" t="s">
        <v>1458</v>
      </c>
      <c r="E1739" s="59" t="s">
        <v>71</v>
      </c>
    </row>
    <row r="1740" spans="1:5">
      <c r="A1740" s="59" t="s">
        <v>4512</v>
      </c>
      <c r="B1740" s="59" t="s">
        <v>4513</v>
      </c>
      <c r="C1740" s="59" t="s">
        <v>1669</v>
      </c>
      <c r="D1740" s="59" t="s">
        <v>1395</v>
      </c>
      <c r="E1740" s="59" t="s">
        <v>71</v>
      </c>
    </row>
    <row r="1741" spans="1:5">
      <c r="A1741" s="59" t="s">
        <v>382</v>
      </c>
      <c r="B1741" s="59" t="s">
        <v>383</v>
      </c>
      <c r="C1741" s="59" t="s">
        <v>1669</v>
      </c>
      <c r="D1741" s="59" t="s">
        <v>1371</v>
      </c>
      <c r="E1741" s="59" t="s">
        <v>71</v>
      </c>
    </row>
    <row r="1742" spans="1:5">
      <c r="A1742" s="59" t="s">
        <v>4514</v>
      </c>
      <c r="B1742" s="59" t="s">
        <v>4515</v>
      </c>
      <c r="C1742" s="59" t="s">
        <v>1669</v>
      </c>
      <c r="D1742" s="65" t="s">
        <v>598</v>
      </c>
      <c r="E1742" s="65" t="s">
        <v>71</v>
      </c>
    </row>
    <row r="1743" spans="1:5">
      <c r="A1743" s="59" t="s">
        <v>4516</v>
      </c>
      <c r="B1743" s="59" t="s">
        <v>4410</v>
      </c>
      <c r="C1743" s="59" t="s">
        <v>1669</v>
      </c>
      <c r="D1743" s="59" t="s">
        <v>1477</v>
      </c>
      <c r="E1743" s="59" t="s">
        <v>71</v>
      </c>
    </row>
    <row r="1744" spans="1:5">
      <c r="A1744" s="59" t="s">
        <v>4517</v>
      </c>
      <c r="B1744" s="59" t="s">
        <v>4518</v>
      </c>
      <c r="C1744" s="59" t="s">
        <v>1669</v>
      </c>
      <c r="D1744" s="59" t="s">
        <v>1455</v>
      </c>
      <c r="E1744" s="59" t="s">
        <v>71</v>
      </c>
    </row>
    <row r="1745" spans="1:5">
      <c r="A1745" s="59" t="s">
        <v>4519</v>
      </c>
      <c r="B1745" s="59" t="s">
        <v>96</v>
      </c>
      <c r="C1745" s="59" t="s">
        <v>1669</v>
      </c>
      <c r="D1745" s="59" t="s">
        <v>1477</v>
      </c>
      <c r="E1745" s="59" t="s">
        <v>122</v>
      </c>
    </row>
    <row r="1746" spans="1:5">
      <c r="A1746" s="59" t="s">
        <v>4520</v>
      </c>
      <c r="B1746" s="59" t="s">
        <v>4521</v>
      </c>
      <c r="C1746" s="59" t="s">
        <v>1669</v>
      </c>
      <c r="D1746" s="59" t="s">
        <v>89</v>
      </c>
      <c r="E1746" s="59" t="s">
        <v>71</v>
      </c>
    </row>
    <row r="1747" spans="1:5">
      <c r="A1747" s="59" t="s">
        <v>4522</v>
      </c>
      <c r="B1747" s="59" t="s">
        <v>4523</v>
      </c>
      <c r="C1747" s="59" t="s">
        <v>1669</v>
      </c>
      <c r="D1747" s="59" t="s">
        <v>1458</v>
      </c>
      <c r="E1747" s="59" t="s">
        <v>71</v>
      </c>
    </row>
    <row r="1748" spans="1:5">
      <c r="A1748" s="59" t="s">
        <v>4524</v>
      </c>
      <c r="B1748" s="59" t="s">
        <v>4525</v>
      </c>
      <c r="C1748" s="59" t="s">
        <v>1669</v>
      </c>
      <c r="D1748" s="59" t="s">
        <v>1371</v>
      </c>
      <c r="E1748" s="59" t="s">
        <v>71</v>
      </c>
    </row>
    <row r="1749" spans="1:5">
      <c r="A1749" s="59" t="s">
        <v>4526</v>
      </c>
      <c r="B1749" s="59" t="s">
        <v>4527</v>
      </c>
      <c r="C1749" s="59" t="s">
        <v>1669</v>
      </c>
      <c r="D1749" s="59" t="s">
        <v>1455</v>
      </c>
      <c r="E1749" s="59" t="s">
        <v>71</v>
      </c>
    </row>
    <row r="1750" spans="1:5">
      <c r="A1750" s="59" t="s">
        <v>4528</v>
      </c>
      <c r="B1750" s="59" t="s">
        <v>4529</v>
      </c>
      <c r="C1750" s="59" t="s">
        <v>1669</v>
      </c>
      <c r="D1750" s="59" t="s">
        <v>1395</v>
      </c>
      <c r="E1750" s="59" t="s">
        <v>71</v>
      </c>
    </row>
    <row r="1751" spans="1:5">
      <c r="A1751" s="59" t="s">
        <v>4530</v>
      </c>
      <c r="B1751" s="59" t="s">
        <v>4531</v>
      </c>
      <c r="C1751" s="59" t="s">
        <v>1669</v>
      </c>
      <c r="D1751" s="59" t="s">
        <v>1371</v>
      </c>
      <c r="E1751" s="59" t="s">
        <v>71</v>
      </c>
    </row>
    <row r="1752" spans="1:5">
      <c r="A1752" s="59" t="s">
        <v>4532</v>
      </c>
      <c r="B1752" s="59" t="s">
        <v>4533</v>
      </c>
      <c r="C1752" s="59" t="s">
        <v>1669</v>
      </c>
      <c r="D1752" s="59" t="s">
        <v>1458</v>
      </c>
      <c r="E1752" s="59" t="s">
        <v>71</v>
      </c>
    </row>
    <row r="1753" spans="1:5">
      <c r="A1753" s="59" t="s">
        <v>4534</v>
      </c>
      <c r="B1753" s="59" t="s">
        <v>4535</v>
      </c>
      <c r="C1753" s="59" t="s">
        <v>1669</v>
      </c>
      <c r="D1753" s="59" t="s">
        <v>1407</v>
      </c>
      <c r="E1753" s="59" t="s">
        <v>31</v>
      </c>
    </row>
    <row r="1754" spans="1:5">
      <c r="A1754" s="59" t="s">
        <v>4536</v>
      </c>
      <c r="B1754" s="59" t="s">
        <v>4537</v>
      </c>
      <c r="C1754" s="59" t="s">
        <v>1669</v>
      </c>
      <c r="D1754" s="59" t="s">
        <v>1477</v>
      </c>
      <c r="E1754" s="59" t="s">
        <v>71</v>
      </c>
    </row>
    <row r="1755" spans="1:5">
      <c r="A1755" s="59" t="s">
        <v>4538</v>
      </c>
      <c r="B1755" s="59" t="s">
        <v>4539</v>
      </c>
      <c r="C1755" s="59" t="s">
        <v>1669</v>
      </c>
      <c r="D1755" s="59" t="s">
        <v>1395</v>
      </c>
      <c r="E1755" s="59" t="s">
        <v>71</v>
      </c>
    </row>
    <row r="1756" spans="1:5">
      <c r="A1756" s="59" t="s">
        <v>4540</v>
      </c>
      <c r="B1756" s="59" t="s">
        <v>1757</v>
      </c>
      <c r="C1756" s="59" t="s">
        <v>1669</v>
      </c>
      <c r="D1756" s="59" t="s">
        <v>0</v>
      </c>
      <c r="E1756" s="59" t="s">
        <v>122</v>
      </c>
    </row>
    <row r="1757" spans="1:5">
      <c r="A1757" s="59" t="s">
        <v>4541</v>
      </c>
      <c r="B1757" s="59" t="s">
        <v>1761</v>
      </c>
      <c r="C1757" s="59" t="s">
        <v>1669</v>
      </c>
      <c r="D1757" s="59" t="s">
        <v>0</v>
      </c>
      <c r="E1757" s="59" t="s">
        <v>122</v>
      </c>
    </row>
    <row r="1758" spans="1:5">
      <c r="A1758" s="59" t="s">
        <v>4542</v>
      </c>
      <c r="B1758" s="59" t="s">
        <v>4543</v>
      </c>
      <c r="C1758" s="59" t="s">
        <v>1669</v>
      </c>
      <c r="D1758" s="65" t="s">
        <v>1407</v>
      </c>
      <c r="E1758" s="65" t="s">
        <v>71</v>
      </c>
    </row>
    <row r="1759" spans="1:5">
      <c r="A1759" s="59" t="s">
        <v>4544</v>
      </c>
      <c r="B1759" s="59" t="s">
        <v>4545</v>
      </c>
      <c r="C1759" s="59" t="s">
        <v>1669</v>
      </c>
      <c r="D1759" s="59" t="s">
        <v>1371</v>
      </c>
      <c r="E1759" s="59" t="s">
        <v>1456</v>
      </c>
    </row>
    <row r="1760" spans="1:5">
      <c r="A1760" s="59" t="s">
        <v>4546</v>
      </c>
      <c r="B1760" s="59" t="s">
        <v>4547</v>
      </c>
      <c r="C1760" s="59" t="s">
        <v>1669</v>
      </c>
      <c r="D1760" s="59" t="s">
        <v>1407</v>
      </c>
      <c r="E1760" s="59" t="s">
        <v>31</v>
      </c>
    </row>
    <row r="1761" spans="1:5">
      <c r="A1761" s="59" t="s">
        <v>4548</v>
      </c>
      <c r="B1761" s="59" t="s">
        <v>4549</v>
      </c>
      <c r="C1761" s="59" t="s">
        <v>1669</v>
      </c>
      <c r="D1761" s="65" t="s">
        <v>598</v>
      </c>
      <c r="E1761" s="65" t="s">
        <v>71</v>
      </c>
    </row>
    <row r="1762" spans="1:5">
      <c r="A1762" s="59" t="s">
        <v>4550</v>
      </c>
      <c r="B1762" s="59" t="s">
        <v>4551</v>
      </c>
      <c r="C1762" s="59" t="s">
        <v>1669</v>
      </c>
      <c r="D1762" s="59" t="s">
        <v>0</v>
      </c>
      <c r="E1762" s="59" t="s">
        <v>122</v>
      </c>
    </row>
    <row r="1763" spans="1:5">
      <c r="A1763" s="59" t="s">
        <v>4552</v>
      </c>
      <c r="B1763" s="59" t="s">
        <v>4553</v>
      </c>
      <c r="C1763" s="59" t="s">
        <v>1669</v>
      </c>
      <c r="D1763" s="65" t="s">
        <v>598</v>
      </c>
      <c r="E1763" s="65" t="s">
        <v>71</v>
      </c>
    </row>
    <row r="1764" spans="1:5">
      <c r="A1764" s="59" t="s">
        <v>4554</v>
      </c>
      <c r="B1764" s="59" t="s">
        <v>4555</v>
      </c>
      <c r="C1764" s="59" t="s">
        <v>1669</v>
      </c>
      <c r="D1764" s="59" t="s">
        <v>1371</v>
      </c>
      <c r="E1764" s="59" t="s">
        <v>71</v>
      </c>
    </row>
    <row r="1765" spans="1:5">
      <c r="A1765" s="59" t="s">
        <v>4556</v>
      </c>
      <c r="B1765" s="59" t="s">
        <v>4557</v>
      </c>
      <c r="C1765" s="59" t="s">
        <v>1669</v>
      </c>
      <c r="D1765" s="59" t="s">
        <v>1395</v>
      </c>
      <c r="E1765" s="59" t="s">
        <v>1456</v>
      </c>
    </row>
    <row r="1766" spans="1:5">
      <c r="A1766" s="59" t="s">
        <v>4558</v>
      </c>
      <c r="B1766" s="59" t="s">
        <v>4559</v>
      </c>
      <c r="C1766" s="59" t="s">
        <v>1669</v>
      </c>
      <c r="D1766" s="65" t="s">
        <v>598</v>
      </c>
      <c r="E1766" s="65" t="s">
        <v>71</v>
      </c>
    </row>
    <row r="1767" spans="1:5">
      <c r="A1767" s="59" t="s">
        <v>457</v>
      </c>
      <c r="B1767" s="59" t="s">
        <v>458</v>
      </c>
      <c r="C1767" s="59" t="s">
        <v>1669</v>
      </c>
      <c r="D1767" s="59" t="s">
        <v>1371</v>
      </c>
      <c r="E1767" s="59" t="s">
        <v>1456</v>
      </c>
    </row>
    <row r="1768" spans="1:5">
      <c r="A1768" s="59" t="s">
        <v>4560</v>
      </c>
      <c r="B1768" s="59" t="s">
        <v>4561</v>
      </c>
      <c r="C1768" s="59" t="s">
        <v>1669</v>
      </c>
      <c r="D1768" s="65" t="s">
        <v>598</v>
      </c>
      <c r="E1768" s="65" t="s">
        <v>71</v>
      </c>
    </row>
    <row r="1769" spans="1:5">
      <c r="A1769" s="59" t="s">
        <v>4562</v>
      </c>
      <c r="B1769" s="59" t="s">
        <v>4563</v>
      </c>
      <c r="C1769" s="59" t="s">
        <v>1669</v>
      </c>
      <c r="D1769" s="59" t="s">
        <v>1458</v>
      </c>
      <c r="E1769" s="59" t="s">
        <v>71</v>
      </c>
    </row>
    <row r="1770" spans="1:5">
      <c r="A1770" s="59" t="s">
        <v>4564</v>
      </c>
      <c r="B1770" s="59" t="s">
        <v>4565</v>
      </c>
      <c r="C1770" s="59" t="s">
        <v>1669</v>
      </c>
      <c r="D1770" s="65" t="s">
        <v>598</v>
      </c>
      <c r="E1770" s="65" t="s">
        <v>71</v>
      </c>
    </row>
    <row r="1771" spans="1:5">
      <c r="A1771" s="59" t="s">
        <v>4566</v>
      </c>
      <c r="B1771" s="59" t="s">
        <v>4567</v>
      </c>
      <c r="C1771" s="59" t="s">
        <v>1669</v>
      </c>
      <c r="D1771" s="65" t="s">
        <v>1477</v>
      </c>
      <c r="E1771" s="65" t="s">
        <v>71</v>
      </c>
    </row>
    <row r="1772" spans="1:5">
      <c r="A1772" s="59" t="s">
        <v>4568</v>
      </c>
      <c r="B1772" s="59" t="s">
        <v>4569</v>
      </c>
      <c r="C1772" s="59" t="s">
        <v>1669</v>
      </c>
      <c r="D1772" s="59" t="s">
        <v>0</v>
      </c>
      <c r="E1772" s="59" t="s">
        <v>122</v>
      </c>
    </row>
    <row r="1773" spans="1:5">
      <c r="A1773" s="59" t="s">
        <v>4570</v>
      </c>
      <c r="B1773" s="59" t="s">
        <v>4571</v>
      </c>
      <c r="C1773" s="59" t="s">
        <v>1669</v>
      </c>
      <c r="D1773" s="64" t="s">
        <v>1477</v>
      </c>
      <c r="E1773" s="59" t="s">
        <v>71</v>
      </c>
    </row>
    <row r="1774" spans="1:5">
      <c r="A1774" s="59" t="s">
        <v>4572</v>
      </c>
      <c r="B1774" s="59" t="s">
        <v>4573</v>
      </c>
      <c r="C1774" s="59" t="s">
        <v>1669</v>
      </c>
      <c r="D1774" s="65" t="s">
        <v>598</v>
      </c>
      <c r="E1774" s="65" t="s">
        <v>71</v>
      </c>
    </row>
    <row r="1775" spans="1:5">
      <c r="A1775" s="59" t="s">
        <v>4574</v>
      </c>
      <c r="B1775" s="59" t="s">
        <v>4575</v>
      </c>
      <c r="C1775" s="59" t="s">
        <v>1669</v>
      </c>
      <c r="D1775" s="59" t="s">
        <v>1395</v>
      </c>
      <c r="E1775" s="59" t="s">
        <v>71</v>
      </c>
    </row>
    <row r="1776" spans="1:5">
      <c r="A1776" s="59"/>
      <c r="B1776" s="59"/>
      <c r="C1776" s="59" t="s">
        <v>1669</v>
      </c>
    </row>
    <row r="1777" spans="1:5">
      <c r="A1777" s="59" t="s">
        <v>4576</v>
      </c>
      <c r="B1777" s="59" t="s">
        <v>4577</v>
      </c>
      <c r="C1777" s="59" t="s">
        <v>1669</v>
      </c>
      <c r="D1777" s="65" t="s">
        <v>1455</v>
      </c>
      <c r="E1777" s="65" t="s">
        <v>71</v>
      </c>
    </row>
    <row r="1778" spans="1:5">
      <c r="A1778" s="59" t="s">
        <v>4578</v>
      </c>
      <c r="B1778" s="59" t="s">
        <v>4579</v>
      </c>
      <c r="C1778" s="59" t="s">
        <v>1669</v>
      </c>
      <c r="D1778" s="65" t="s">
        <v>598</v>
      </c>
      <c r="E1778" s="65" t="s">
        <v>71</v>
      </c>
    </row>
    <row r="1779" spans="1:5">
      <c r="A1779" s="59" t="s">
        <v>4580</v>
      </c>
      <c r="B1779" s="59" t="s">
        <v>4581</v>
      </c>
      <c r="C1779" s="59" t="s">
        <v>1669</v>
      </c>
      <c r="D1779" s="65" t="s">
        <v>598</v>
      </c>
      <c r="E1779" s="65" t="s">
        <v>71</v>
      </c>
    </row>
    <row r="1780" spans="1:5">
      <c r="A1780" s="59" t="s">
        <v>4582</v>
      </c>
      <c r="B1780" s="59" t="s">
        <v>4583</v>
      </c>
      <c r="C1780" s="59" t="s">
        <v>1669</v>
      </c>
      <c r="D1780" s="59" t="s">
        <v>1371</v>
      </c>
      <c r="E1780" s="59" t="s">
        <v>71</v>
      </c>
    </row>
    <row r="1781" spans="1:5">
      <c r="A1781" s="59" t="s">
        <v>4584</v>
      </c>
      <c r="B1781" s="59" t="s">
        <v>4585</v>
      </c>
      <c r="C1781" s="59" t="s">
        <v>1669</v>
      </c>
      <c r="D1781" s="59" t="s">
        <v>1477</v>
      </c>
      <c r="E1781" s="59" t="s">
        <v>71</v>
      </c>
    </row>
    <row r="1782" spans="1:5">
      <c r="A1782" s="59" t="s">
        <v>4586</v>
      </c>
      <c r="B1782" s="59" t="s">
        <v>4587</v>
      </c>
      <c r="C1782" s="59" t="s">
        <v>1669</v>
      </c>
      <c r="D1782" s="65" t="s">
        <v>1455</v>
      </c>
      <c r="E1782" s="65" t="s">
        <v>71</v>
      </c>
    </row>
    <row r="1783" spans="1:5">
      <c r="A1783" s="59" t="s">
        <v>4588</v>
      </c>
      <c r="B1783" s="59" t="s">
        <v>4589</v>
      </c>
      <c r="C1783" s="59" t="s">
        <v>1669</v>
      </c>
      <c r="D1783" s="59" t="s">
        <v>1455</v>
      </c>
      <c r="E1783" s="59" t="s">
        <v>71</v>
      </c>
    </row>
    <row r="1784" spans="1:5">
      <c r="A1784" s="59" t="s">
        <v>4590</v>
      </c>
      <c r="B1784" s="59" t="s">
        <v>4591</v>
      </c>
      <c r="C1784" s="59" t="s">
        <v>1669</v>
      </c>
      <c r="D1784" s="59" t="s">
        <v>0</v>
      </c>
      <c r="E1784" s="59" t="s">
        <v>122</v>
      </c>
    </row>
    <row r="1785" spans="1:5">
      <c r="A1785" s="59" t="s">
        <v>938</v>
      </c>
      <c r="B1785" s="59" t="s">
        <v>4592</v>
      </c>
      <c r="C1785" s="59" t="s">
        <v>1669</v>
      </c>
      <c r="D1785" s="59" t="s">
        <v>1395</v>
      </c>
      <c r="E1785" s="59" t="s">
        <v>71</v>
      </c>
    </row>
    <row r="1786" spans="1:5">
      <c r="A1786" s="59" t="s">
        <v>4593</v>
      </c>
      <c r="B1786" s="59" t="s">
        <v>4594</v>
      </c>
      <c r="C1786" s="59" t="s">
        <v>1669</v>
      </c>
      <c r="D1786" s="59" t="s">
        <v>1455</v>
      </c>
      <c r="E1786" s="59" t="s">
        <v>71</v>
      </c>
    </row>
    <row r="1787" spans="1:5">
      <c r="A1787" s="59"/>
      <c r="B1787" s="59"/>
      <c r="C1787" s="59" t="s">
        <v>1669</v>
      </c>
    </row>
    <row r="1788" spans="1:5">
      <c r="A1788" s="59" t="s">
        <v>803</v>
      </c>
      <c r="B1788" s="59" t="s">
        <v>804</v>
      </c>
      <c r="C1788" s="59" t="s">
        <v>1669</v>
      </c>
      <c r="D1788" s="59" t="s">
        <v>1395</v>
      </c>
      <c r="E1788" s="59" t="s">
        <v>71</v>
      </c>
    </row>
    <row r="1789" spans="1:5">
      <c r="A1789" s="59" t="s">
        <v>841</v>
      </c>
      <c r="B1789" s="59" t="s">
        <v>842</v>
      </c>
      <c r="C1789" s="59" t="s">
        <v>1669</v>
      </c>
      <c r="D1789" s="59" t="s">
        <v>1455</v>
      </c>
      <c r="E1789" s="59" t="s">
        <v>71</v>
      </c>
    </row>
    <row r="1790" spans="1:5">
      <c r="A1790" s="59" t="s">
        <v>985</v>
      </c>
      <c r="B1790" s="59" t="s">
        <v>4595</v>
      </c>
      <c r="C1790" s="59" t="s">
        <v>1669</v>
      </c>
      <c r="D1790" s="59" t="s">
        <v>1458</v>
      </c>
      <c r="E1790" s="59" t="s">
        <v>71</v>
      </c>
    </row>
    <row r="1791" spans="1:5">
      <c r="A1791" s="59" t="s">
        <v>853</v>
      </c>
      <c r="B1791" s="59" t="s">
        <v>854</v>
      </c>
      <c r="C1791" s="59" t="s">
        <v>1669</v>
      </c>
      <c r="D1791" s="59" t="s">
        <v>1455</v>
      </c>
      <c r="E1791" s="59" t="s">
        <v>1456</v>
      </c>
    </row>
    <row r="1792" spans="1:5">
      <c r="A1792" s="59" t="s">
        <v>4596</v>
      </c>
      <c r="B1792" s="59" t="s">
        <v>1761</v>
      </c>
      <c r="C1792" s="59" t="s">
        <v>1669</v>
      </c>
      <c r="D1792" s="59" t="s">
        <v>0</v>
      </c>
      <c r="E1792" s="59" t="s">
        <v>122</v>
      </c>
    </row>
    <row r="1793" spans="1:5">
      <c r="A1793" s="59" t="s">
        <v>4597</v>
      </c>
      <c r="B1793" s="59" t="s">
        <v>4598</v>
      </c>
      <c r="C1793" s="59" t="s">
        <v>1669</v>
      </c>
      <c r="D1793" s="59" t="s">
        <v>1371</v>
      </c>
      <c r="E1793" s="59" t="s">
        <v>1456</v>
      </c>
    </row>
    <row r="1794" spans="1:5">
      <c r="A1794" s="59"/>
      <c r="B1794" s="59"/>
      <c r="C1794" s="59" t="s">
        <v>1669</v>
      </c>
    </row>
    <row r="1795" spans="1:5">
      <c r="A1795" s="59" t="s">
        <v>4599</v>
      </c>
      <c r="B1795" s="59" t="s">
        <v>4600</v>
      </c>
      <c r="C1795" s="59" t="s">
        <v>1669</v>
      </c>
      <c r="D1795" s="65" t="s">
        <v>598</v>
      </c>
      <c r="E1795" s="65" t="s">
        <v>71</v>
      </c>
    </row>
    <row r="1796" spans="1:5">
      <c r="A1796" s="59" t="s">
        <v>4601</v>
      </c>
      <c r="B1796" s="59" t="s">
        <v>4602</v>
      </c>
      <c r="C1796" s="59" t="s">
        <v>1669</v>
      </c>
      <c r="D1796" s="59" t="s">
        <v>1477</v>
      </c>
      <c r="E1796" s="59" t="s">
        <v>71</v>
      </c>
    </row>
    <row r="1797" spans="1:5">
      <c r="A1797" s="59" t="s">
        <v>4603</v>
      </c>
      <c r="B1797" s="59" t="s">
        <v>4604</v>
      </c>
      <c r="C1797" s="59" t="s">
        <v>1669</v>
      </c>
      <c r="D1797" s="59" t="s">
        <v>1371</v>
      </c>
      <c r="E1797" s="59" t="s">
        <v>71</v>
      </c>
    </row>
    <row r="1798" spans="1:5">
      <c r="A1798" s="59"/>
      <c r="B1798" s="59"/>
      <c r="C1798" s="59" t="s">
        <v>1669</v>
      </c>
    </row>
    <row r="1799" spans="1:5">
      <c r="A1799" s="59" t="s">
        <v>4605</v>
      </c>
      <c r="B1799" s="59" t="s">
        <v>4606</v>
      </c>
      <c r="C1799" s="59" t="s">
        <v>1669</v>
      </c>
      <c r="D1799" s="59" t="s">
        <v>1458</v>
      </c>
      <c r="E1799" s="59" t="s">
        <v>71</v>
      </c>
    </row>
    <row r="1800" spans="1:5">
      <c r="A1800" s="59" t="s">
        <v>729</v>
      </c>
      <c r="B1800" s="59" t="s">
        <v>730</v>
      </c>
      <c r="C1800" s="59" t="s">
        <v>1669</v>
      </c>
      <c r="D1800" s="59" t="s">
        <v>1477</v>
      </c>
      <c r="E1800" s="59" t="s">
        <v>71</v>
      </c>
    </row>
    <row r="1801" spans="1:5">
      <c r="A1801" s="59" t="s">
        <v>4607</v>
      </c>
      <c r="B1801" s="59" t="s">
        <v>1757</v>
      </c>
      <c r="C1801" s="59" t="s">
        <v>1669</v>
      </c>
      <c r="D1801" s="59" t="s">
        <v>0</v>
      </c>
      <c r="E1801" s="59" t="s">
        <v>122</v>
      </c>
    </row>
    <row r="1802" spans="1:5">
      <c r="A1802" s="59" t="s">
        <v>4608</v>
      </c>
      <c r="B1802" s="59" t="s">
        <v>4609</v>
      </c>
      <c r="C1802" s="59" t="s">
        <v>1669</v>
      </c>
      <c r="D1802" s="59" t="s">
        <v>1395</v>
      </c>
      <c r="E1802" s="59" t="s">
        <v>1456</v>
      </c>
    </row>
    <row r="1803" spans="1:5">
      <c r="A1803" s="59" t="s">
        <v>1010</v>
      </c>
      <c r="B1803" s="59" t="s">
        <v>4610</v>
      </c>
      <c r="C1803" s="59" t="s">
        <v>1669</v>
      </c>
      <c r="D1803" s="65" t="s">
        <v>598</v>
      </c>
      <c r="E1803" s="65" t="s">
        <v>71</v>
      </c>
    </row>
    <row r="1804" spans="1:5">
      <c r="A1804" s="59" t="s">
        <v>319</v>
      </c>
      <c r="B1804" s="59" t="s">
        <v>132</v>
      </c>
      <c r="C1804" s="59" t="s">
        <v>1669</v>
      </c>
      <c r="D1804" s="59" t="s">
        <v>0</v>
      </c>
      <c r="E1804" s="59" t="s">
        <v>122</v>
      </c>
    </row>
    <row r="1805" spans="1:5">
      <c r="A1805" s="59" t="s">
        <v>4611</v>
      </c>
      <c r="B1805" s="59" t="s">
        <v>4612</v>
      </c>
      <c r="C1805" s="59" t="s">
        <v>1669</v>
      </c>
      <c r="D1805" s="59" t="s">
        <v>1458</v>
      </c>
      <c r="E1805" s="59" t="s">
        <v>71</v>
      </c>
    </row>
    <row r="1806" spans="1:5">
      <c r="A1806" s="59" t="s">
        <v>4613</v>
      </c>
      <c r="B1806" s="59" t="s">
        <v>4614</v>
      </c>
      <c r="C1806" s="59" t="s">
        <v>1669</v>
      </c>
      <c r="D1806" s="59" t="s">
        <v>1458</v>
      </c>
      <c r="E1806" s="59" t="s">
        <v>71</v>
      </c>
    </row>
    <row r="1807" spans="1:5">
      <c r="A1807" s="59" t="s">
        <v>4615</v>
      </c>
      <c r="B1807" s="59" t="s">
        <v>4616</v>
      </c>
      <c r="C1807" s="59" t="s">
        <v>1669</v>
      </c>
      <c r="D1807" s="59" t="s">
        <v>1477</v>
      </c>
      <c r="E1807" s="59" t="s">
        <v>71</v>
      </c>
    </row>
    <row r="1808" spans="1:5">
      <c r="A1808" s="59" t="s">
        <v>4617</v>
      </c>
      <c r="B1808" s="59" t="s">
        <v>4618</v>
      </c>
      <c r="C1808" s="59" t="s">
        <v>1669</v>
      </c>
      <c r="D1808" s="59" t="s">
        <v>1477</v>
      </c>
      <c r="E1808" s="59" t="s">
        <v>71</v>
      </c>
    </row>
    <row r="1809" spans="1:5">
      <c r="A1809" s="59" t="s">
        <v>4619</v>
      </c>
      <c r="B1809" s="59" t="s">
        <v>4620</v>
      </c>
      <c r="C1809" s="59" t="s">
        <v>1669</v>
      </c>
      <c r="D1809" s="59" t="s">
        <v>1455</v>
      </c>
      <c r="E1809" s="59" t="s">
        <v>71</v>
      </c>
    </row>
    <row r="1810" spans="1:5">
      <c r="A1810" s="59" t="s">
        <v>440</v>
      </c>
      <c r="B1810" s="59" t="s">
        <v>441</v>
      </c>
      <c r="C1810" s="59" t="s">
        <v>1669</v>
      </c>
      <c r="D1810" s="65" t="s">
        <v>1395</v>
      </c>
      <c r="E1810" s="65" t="s">
        <v>1456</v>
      </c>
    </row>
    <row r="1811" spans="1:5">
      <c r="A1811" s="59" t="s">
        <v>4621</v>
      </c>
      <c r="B1811" s="59" t="s">
        <v>1738</v>
      </c>
      <c r="C1811" s="59" t="s">
        <v>1669</v>
      </c>
      <c r="D1811" s="59" t="s">
        <v>0</v>
      </c>
      <c r="E1811" s="59" t="s">
        <v>122</v>
      </c>
    </row>
    <row r="1812" spans="1:5">
      <c r="A1812" s="59" t="s">
        <v>4622</v>
      </c>
      <c r="B1812" s="59" t="s">
        <v>4623</v>
      </c>
      <c r="C1812" s="59" t="s">
        <v>1669</v>
      </c>
      <c r="D1812" s="59" t="s">
        <v>1458</v>
      </c>
      <c r="E1812" s="59" t="s">
        <v>71</v>
      </c>
    </row>
    <row r="1813" spans="1:5">
      <c r="A1813" s="59" t="s">
        <v>4624</v>
      </c>
      <c r="B1813" s="59" t="s">
        <v>4625</v>
      </c>
      <c r="C1813" s="59" t="s">
        <v>1669</v>
      </c>
      <c r="D1813" s="59" t="s">
        <v>1395</v>
      </c>
      <c r="E1813" s="59" t="s">
        <v>71</v>
      </c>
    </row>
    <row r="1814" spans="1:5">
      <c r="A1814" s="59" t="s">
        <v>4405</v>
      </c>
      <c r="B1814" s="59" t="s">
        <v>4248</v>
      </c>
      <c r="C1814" s="59" t="s">
        <v>1669</v>
      </c>
      <c r="D1814" s="59" t="s">
        <v>1477</v>
      </c>
      <c r="E1814" s="59" t="s">
        <v>71</v>
      </c>
    </row>
    <row r="1815" spans="1:5">
      <c r="A1815" s="59" t="s">
        <v>4626</v>
      </c>
      <c r="B1815" s="59" t="s">
        <v>4627</v>
      </c>
      <c r="C1815" s="59" t="s">
        <v>1669</v>
      </c>
      <c r="D1815" s="59" t="s">
        <v>1458</v>
      </c>
      <c r="E1815" s="59" t="s">
        <v>71</v>
      </c>
    </row>
    <row r="1816" spans="1:5">
      <c r="A1816" s="59" t="s">
        <v>4628</v>
      </c>
      <c r="B1816" s="59" t="s">
        <v>4629</v>
      </c>
      <c r="C1816" s="59" t="s">
        <v>1669</v>
      </c>
      <c r="D1816" s="59" t="s">
        <v>1371</v>
      </c>
      <c r="E1816" s="59" t="s">
        <v>1456</v>
      </c>
    </row>
    <row r="1817" spans="1:5">
      <c r="A1817" s="59" t="s">
        <v>4630</v>
      </c>
      <c r="B1817" s="59" t="s">
        <v>4631</v>
      </c>
      <c r="C1817" s="59" t="s">
        <v>1669</v>
      </c>
      <c r="D1817" s="59" t="s">
        <v>1395</v>
      </c>
      <c r="E1817" s="59" t="s">
        <v>71</v>
      </c>
    </row>
    <row r="1818" spans="1:5">
      <c r="A1818" s="59" t="s">
        <v>4632</v>
      </c>
      <c r="B1818" s="59" t="s">
        <v>4632</v>
      </c>
      <c r="C1818" s="59" t="s">
        <v>1669</v>
      </c>
      <c r="D1818" s="59" t="s">
        <v>1477</v>
      </c>
      <c r="E1818" s="59" t="s">
        <v>71</v>
      </c>
    </row>
    <row r="1819" spans="1:5">
      <c r="A1819" s="59" t="s">
        <v>3473</v>
      </c>
      <c r="B1819" s="59" t="s">
        <v>4633</v>
      </c>
      <c r="C1819" s="59" t="s">
        <v>1669</v>
      </c>
      <c r="D1819" s="59" t="s">
        <v>1395</v>
      </c>
      <c r="E1819" s="59" t="s">
        <v>1456</v>
      </c>
    </row>
    <row r="1820" spans="1:5">
      <c r="A1820" s="59" t="s">
        <v>241</v>
      </c>
      <c r="B1820" s="59" t="s">
        <v>242</v>
      </c>
      <c r="C1820" s="59" t="s">
        <v>1669</v>
      </c>
      <c r="D1820" s="59" t="s">
        <v>1455</v>
      </c>
      <c r="E1820" s="59" t="s">
        <v>71</v>
      </c>
    </row>
    <row r="1821" spans="1:5">
      <c r="A1821" s="59" t="s">
        <v>4634</v>
      </c>
      <c r="B1821" s="59" t="s">
        <v>4635</v>
      </c>
      <c r="C1821" s="59" t="s">
        <v>438</v>
      </c>
      <c r="D1821" s="59" t="s">
        <v>1395</v>
      </c>
      <c r="E1821" s="59" t="s">
        <v>71</v>
      </c>
    </row>
    <row r="1822" spans="1:5">
      <c r="A1822" s="59" t="s">
        <v>4636</v>
      </c>
      <c r="B1822" s="59" t="s">
        <v>4637</v>
      </c>
      <c r="C1822" s="59" t="s">
        <v>156</v>
      </c>
      <c r="D1822" s="59" t="s">
        <v>1455</v>
      </c>
      <c r="E1822" s="59" t="s">
        <v>71</v>
      </c>
    </row>
    <row r="1823" spans="1:5">
      <c r="A1823" s="59" t="s">
        <v>4638</v>
      </c>
      <c r="B1823" s="59" t="s">
        <v>4639</v>
      </c>
      <c r="C1823" s="59" t="s">
        <v>438</v>
      </c>
      <c r="D1823" s="59" t="s">
        <v>1395</v>
      </c>
      <c r="E1823" s="59" t="s">
        <v>71</v>
      </c>
    </row>
    <row r="1824" spans="1:5">
      <c r="A1824" s="59" t="s">
        <v>4640</v>
      </c>
      <c r="B1824" s="59" t="s">
        <v>4641</v>
      </c>
      <c r="C1824" s="59" t="s">
        <v>325</v>
      </c>
      <c r="D1824" s="59" t="s">
        <v>1477</v>
      </c>
      <c r="E1824" s="59" t="s">
        <v>1456</v>
      </c>
    </row>
    <row r="1825" spans="1:5">
      <c r="A1825" s="59" t="s">
        <v>4399</v>
      </c>
      <c r="B1825" s="59" t="s">
        <v>4400</v>
      </c>
      <c r="C1825" s="59" t="s">
        <v>329</v>
      </c>
      <c r="D1825" s="59" t="s">
        <v>1477</v>
      </c>
      <c r="E1825" s="59" t="s">
        <v>71</v>
      </c>
    </row>
    <row r="1826" spans="1:5">
      <c r="A1826" s="59" t="s">
        <v>4642</v>
      </c>
      <c r="B1826" s="59" t="s">
        <v>4643</v>
      </c>
      <c r="C1826" s="59" t="s">
        <v>181</v>
      </c>
      <c r="D1826" s="65" t="s">
        <v>1477</v>
      </c>
      <c r="E1826" s="65" t="s">
        <v>71</v>
      </c>
    </row>
    <row r="1827" spans="1:5">
      <c r="A1827" s="59" t="s">
        <v>4415</v>
      </c>
      <c r="B1827" s="59" t="s">
        <v>4416</v>
      </c>
      <c r="C1827" s="59" t="s">
        <v>455</v>
      </c>
      <c r="D1827" s="59" t="s">
        <v>1371</v>
      </c>
      <c r="E1827" s="59" t="s">
        <v>71</v>
      </c>
    </row>
    <row r="1828" spans="1:5">
      <c r="A1828" s="59" t="s">
        <v>4644</v>
      </c>
      <c r="B1828" s="59" t="s">
        <v>4645</v>
      </c>
      <c r="C1828" s="59" t="s">
        <v>194</v>
      </c>
      <c r="D1828" s="59" t="s">
        <v>1477</v>
      </c>
      <c r="E1828" s="59" t="s">
        <v>71</v>
      </c>
    </row>
    <row r="1829" spans="1:5">
      <c r="A1829" s="59" t="s">
        <v>4646</v>
      </c>
      <c r="B1829" s="59" t="s">
        <v>4647</v>
      </c>
      <c r="C1829" s="59" t="s">
        <v>653</v>
      </c>
      <c r="D1829" s="65" t="s">
        <v>1455</v>
      </c>
      <c r="E1829" s="65" t="s">
        <v>71</v>
      </c>
    </row>
    <row r="1830" spans="1:5">
      <c r="A1830" s="59" t="s">
        <v>732</v>
      </c>
      <c r="B1830" s="59" t="s">
        <v>733</v>
      </c>
      <c r="C1830" s="59" t="s">
        <v>488</v>
      </c>
      <c r="D1830" s="59" t="s">
        <v>1371</v>
      </c>
      <c r="E1830" s="59" t="s">
        <v>71</v>
      </c>
    </row>
    <row r="1831" spans="1:5">
      <c r="A1831" s="59" t="s">
        <v>4648</v>
      </c>
      <c r="B1831" s="59" t="s">
        <v>4649</v>
      </c>
      <c r="C1831" s="59" t="s">
        <v>447</v>
      </c>
      <c r="D1831" s="59" t="s">
        <v>1455</v>
      </c>
      <c r="E1831" s="59" t="s">
        <v>71</v>
      </c>
    </row>
    <row r="1832" spans="1:5">
      <c r="A1832" s="59" t="s">
        <v>4650</v>
      </c>
      <c r="B1832" s="59" t="s">
        <v>4651</v>
      </c>
      <c r="C1832" s="59" t="s">
        <v>377</v>
      </c>
      <c r="D1832" s="65" t="s">
        <v>598</v>
      </c>
      <c r="E1832" s="65" t="s">
        <v>71</v>
      </c>
    </row>
    <row r="1833" spans="1:5">
      <c r="A1833" s="59" t="s">
        <v>4407</v>
      </c>
      <c r="B1833" s="59" t="s">
        <v>1400</v>
      </c>
      <c r="C1833" s="59" t="s">
        <v>4652</v>
      </c>
      <c r="D1833" s="65" t="s">
        <v>1395</v>
      </c>
      <c r="E1833" s="65" t="s">
        <v>122</v>
      </c>
    </row>
    <row r="1834" spans="1:5">
      <c r="A1834" t="s">
        <v>4653</v>
      </c>
      <c r="B1834" t="s">
        <v>4654</v>
      </c>
      <c r="C1834" s="59" t="s">
        <v>285</v>
      </c>
      <c r="D1834" s="65" t="s">
        <v>1477</v>
      </c>
      <c r="E1834" s="65" t="s">
        <v>71</v>
      </c>
    </row>
    <row r="1835" spans="1:5">
      <c r="A1835" t="s">
        <v>4655</v>
      </c>
      <c r="B1835" t="s">
        <v>4656</v>
      </c>
      <c r="C1835" s="59" t="s">
        <v>892</v>
      </c>
      <c r="D1835" s="59" t="s">
        <v>1455</v>
      </c>
      <c r="E1835" s="59" t="s">
        <v>71</v>
      </c>
    </row>
    <row r="1836" spans="1:5">
      <c r="A1836" t="s">
        <v>4657</v>
      </c>
      <c r="B1836" t="s">
        <v>4658</v>
      </c>
      <c r="C1836" s="59" t="s">
        <v>291</v>
      </c>
      <c r="D1836" s="59" t="s">
        <v>1395</v>
      </c>
      <c r="E1836" s="59" t="s">
        <v>71</v>
      </c>
    </row>
    <row r="1837" spans="1:5">
      <c r="A1837" t="s">
        <v>4659</v>
      </c>
      <c r="B1837" t="s">
        <v>4660</v>
      </c>
      <c r="C1837" s="59" t="s">
        <v>1402</v>
      </c>
      <c r="D1837" s="59" t="s">
        <v>1395</v>
      </c>
      <c r="E1837" s="59" t="s">
        <v>1456</v>
      </c>
    </row>
    <row r="1838" spans="1:5">
      <c r="A1838" t="s">
        <v>4661</v>
      </c>
      <c r="B1838" t="s">
        <v>4662</v>
      </c>
      <c r="C1838" s="59" t="s">
        <v>501</v>
      </c>
      <c r="D1838" s="59" t="s">
        <v>1395</v>
      </c>
      <c r="E1838" s="59" t="s">
        <v>71</v>
      </c>
    </row>
    <row r="1839" spans="1:5">
      <c r="A1839" t="s">
        <v>4663</v>
      </c>
      <c r="B1839" t="s">
        <v>4664</v>
      </c>
      <c r="C1839" s="59"/>
      <c r="D1839" s="59"/>
      <c r="E1839" s="59"/>
    </row>
    <row r="1840" spans="1:5">
      <c r="A1840" s="59" t="s">
        <v>4665</v>
      </c>
      <c r="B1840" s="59" t="s">
        <v>4666</v>
      </c>
      <c r="C1840" s="59" t="s">
        <v>513</v>
      </c>
      <c r="D1840" s="59" t="s">
        <v>1477</v>
      </c>
      <c r="E1840" s="59" t="s">
        <v>71</v>
      </c>
    </row>
    <row r="1841" spans="1:5">
      <c r="A1841" s="59" t="s">
        <v>4667</v>
      </c>
      <c r="B1841" s="59" t="s">
        <v>4668</v>
      </c>
      <c r="C1841" s="59" t="s">
        <v>181</v>
      </c>
      <c r="D1841" s="65" t="s">
        <v>1477</v>
      </c>
      <c r="E1841" s="65" t="s">
        <v>71</v>
      </c>
    </row>
    <row r="1842" spans="1:5">
      <c r="A1842" s="59" t="s">
        <v>3862</v>
      </c>
      <c r="B1842" s="59" t="s">
        <v>118</v>
      </c>
      <c r="C1842" s="59" t="s">
        <v>115</v>
      </c>
      <c r="D1842" s="65" t="s">
        <v>1477</v>
      </c>
      <c r="E1842" s="65" t="s">
        <v>122</v>
      </c>
    </row>
    <row r="1843" spans="1:5">
      <c r="A1843" s="59" t="s">
        <v>4669</v>
      </c>
      <c r="B1843" s="59" t="s">
        <v>4670</v>
      </c>
      <c r="C1843" s="59" t="s">
        <v>501</v>
      </c>
      <c r="D1843" s="59" t="s">
        <v>1395</v>
      </c>
      <c r="E1843" s="59" t="s">
        <v>71</v>
      </c>
    </row>
    <row r="1844" spans="1:5">
      <c r="A1844" s="59" t="s">
        <v>920</v>
      </c>
      <c r="B1844" s="59" t="s">
        <v>4671</v>
      </c>
      <c r="C1844" s="59" t="s">
        <v>919</v>
      </c>
      <c r="D1844" s="59" t="s">
        <v>1477</v>
      </c>
      <c r="E1844" s="59" t="s">
        <v>71</v>
      </c>
    </row>
    <row r="1845" spans="1:5">
      <c r="A1845" s="59" t="s">
        <v>4672</v>
      </c>
      <c r="B1845" s="59" t="s">
        <v>4673</v>
      </c>
      <c r="C1845" s="59" t="s">
        <v>475</v>
      </c>
      <c r="D1845" s="59" t="s">
        <v>1395</v>
      </c>
      <c r="E1845" s="59" t="s">
        <v>71</v>
      </c>
    </row>
    <row r="1846" spans="1:5">
      <c r="A1846" s="59" t="s">
        <v>4674</v>
      </c>
      <c r="B1846" s="59" t="s">
        <v>4675</v>
      </c>
      <c r="C1846" s="59" t="s">
        <v>89</v>
      </c>
      <c r="D1846" s="65" t="s">
        <v>89</v>
      </c>
      <c r="E1846" s="59" t="s">
        <v>1456</v>
      </c>
    </row>
    <row r="1847" spans="1:5">
      <c r="A1847" s="59" t="s">
        <v>4676</v>
      </c>
      <c r="B1847" s="59" t="s">
        <v>4677</v>
      </c>
      <c r="C1847" s="59" t="s">
        <v>484</v>
      </c>
      <c r="D1847" s="59" t="s">
        <v>1455</v>
      </c>
      <c r="E1847" s="59" t="s">
        <v>71</v>
      </c>
    </row>
    <row r="1848" spans="1:5">
      <c r="A1848" s="59" t="s">
        <v>4632</v>
      </c>
      <c r="B1848" s="59" t="s">
        <v>4678</v>
      </c>
      <c r="C1848" s="59" t="s">
        <v>960</v>
      </c>
      <c r="D1848" s="59" t="s">
        <v>1477</v>
      </c>
      <c r="E1848" s="59" t="s">
        <v>71</v>
      </c>
    </row>
    <row r="1849" spans="1:5">
      <c r="A1849" s="59" t="s">
        <v>4679</v>
      </c>
      <c r="B1849" s="59" t="s">
        <v>4680</v>
      </c>
      <c r="C1849" s="59" t="s">
        <v>926</v>
      </c>
      <c r="D1849" s="59" t="s">
        <v>1458</v>
      </c>
      <c r="E1849" s="59" t="s">
        <v>71</v>
      </c>
    </row>
    <row r="1850" spans="1:5">
      <c r="A1850" s="59"/>
      <c r="B1850" s="59"/>
      <c r="C1850" s="59"/>
      <c r="D1850" s="65"/>
      <c r="E1850" s="65"/>
    </row>
    <row r="1851" spans="1:5">
      <c r="A1851" s="59" t="s">
        <v>4681</v>
      </c>
      <c r="B1851" s="59" t="s">
        <v>4682</v>
      </c>
      <c r="C1851" s="59" t="s">
        <v>181</v>
      </c>
      <c r="D1851" s="65" t="s">
        <v>1477</v>
      </c>
      <c r="E1851" s="65" t="s">
        <v>71</v>
      </c>
    </row>
    <row r="1852" spans="1:5">
      <c r="A1852" s="59" t="s">
        <v>4683</v>
      </c>
      <c r="B1852" s="59" t="s">
        <v>4684</v>
      </c>
      <c r="C1852" s="59" t="s">
        <v>952</v>
      </c>
      <c r="D1852" s="59" t="s">
        <v>1458</v>
      </c>
      <c r="E1852" s="59" t="s">
        <v>71</v>
      </c>
    </row>
    <row r="1853" spans="1:5">
      <c r="A1853" s="59" t="s">
        <v>4685</v>
      </c>
      <c r="B1853" s="59" t="s">
        <v>4686</v>
      </c>
      <c r="C1853" s="59" t="s">
        <v>935</v>
      </c>
      <c r="D1853" s="59" t="s">
        <v>1477</v>
      </c>
      <c r="E1853" s="59" t="s">
        <v>71</v>
      </c>
    </row>
    <row r="1854" spans="1:5">
      <c r="A1854" s="59" t="s">
        <v>4687</v>
      </c>
      <c r="B1854" s="59" t="s">
        <v>4688</v>
      </c>
      <c r="C1854" s="59" t="s">
        <v>884</v>
      </c>
      <c r="D1854" s="65" t="s">
        <v>1395</v>
      </c>
      <c r="E1854" s="65" t="s">
        <v>71</v>
      </c>
    </row>
    <row r="1855" spans="1:5">
      <c r="A1855" s="59" t="s">
        <v>4498</v>
      </c>
      <c r="B1855" s="59" t="s">
        <v>4499</v>
      </c>
      <c r="C1855" s="59" t="s">
        <v>1401</v>
      </c>
      <c r="D1855" s="59" t="s">
        <v>1477</v>
      </c>
      <c r="E1855" s="59" t="s">
        <v>71</v>
      </c>
    </row>
    <row r="1856" spans="1:5">
      <c r="A1856" s="59" t="s">
        <v>4689</v>
      </c>
      <c r="B1856" s="59" t="s">
        <v>4690</v>
      </c>
      <c r="C1856" s="59" t="s">
        <v>272</v>
      </c>
      <c r="D1856" s="59" t="s">
        <v>1458</v>
      </c>
      <c r="E1856" s="59" t="s">
        <v>71</v>
      </c>
    </row>
    <row r="1857" spans="1:5">
      <c r="A1857" s="59" t="s">
        <v>4691</v>
      </c>
      <c r="B1857" s="59" t="s">
        <v>4692</v>
      </c>
      <c r="C1857" s="59"/>
      <c r="D1857" s="59"/>
      <c r="E1857" s="59"/>
    </row>
    <row r="1858" spans="1:5">
      <c r="A1858" s="59" t="s">
        <v>4693</v>
      </c>
      <c r="B1858" s="59" t="s">
        <v>4694</v>
      </c>
      <c r="C1858" s="59" t="s">
        <v>952</v>
      </c>
      <c r="D1858" s="59" t="s">
        <v>1458</v>
      </c>
      <c r="E1858" s="59" t="s">
        <v>71</v>
      </c>
    </row>
    <row r="1859" spans="1:5">
      <c r="A1859" s="59" t="s">
        <v>4437</v>
      </c>
      <c r="B1859" s="59" t="s">
        <v>1373</v>
      </c>
      <c r="C1859" s="59" t="s">
        <v>1415</v>
      </c>
      <c r="D1859" s="65" t="s">
        <v>1477</v>
      </c>
      <c r="E1859" s="65" t="s">
        <v>122</v>
      </c>
    </row>
    <row r="1860" spans="1:5">
      <c r="A1860" s="59" t="s">
        <v>979</v>
      </c>
      <c r="B1860" s="59" t="s">
        <v>4695</v>
      </c>
      <c r="C1860" s="59" t="s">
        <v>315</v>
      </c>
      <c r="D1860" s="59" t="s">
        <v>1458</v>
      </c>
      <c r="E1860" s="59" t="s">
        <v>71</v>
      </c>
    </row>
    <row r="1861" spans="1:5">
      <c r="A1861" s="59" t="s">
        <v>4311</v>
      </c>
      <c r="B1861" s="59" t="s">
        <v>4312</v>
      </c>
      <c r="C1861" s="59" t="s">
        <v>4696</v>
      </c>
      <c r="D1861" s="65" t="s">
        <v>1477</v>
      </c>
      <c r="E1861" s="65" t="s">
        <v>122</v>
      </c>
    </row>
    <row r="1862" spans="1:5">
      <c r="A1862" s="59" t="s">
        <v>4697</v>
      </c>
      <c r="B1862" s="59" t="s">
        <v>4698</v>
      </c>
      <c r="C1862" s="59" t="s">
        <v>249</v>
      </c>
      <c r="D1862" s="59" t="s">
        <v>1477</v>
      </c>
      <c r="E1862" s="59" t="s">
        <v>71</v>
      </c>
    </row>
    <row r="1863" spans="1:5">
      <c r="A1863" s="59" t="s">
        <v>4699</v>
      </c>
      <c r="B1863" s="59" t="s">
        <v>4700</v>
      </c>
      <c r="C1863" s="59" t="s">
        <v>288</v>
      </c>
      <c r="D1863" s="59" t="s">
        <v>1371</v>
      </c>
      <c r="E1863" s="59" t="s">
        <v>71</v>
      </c>
    </row>
    <row r="1864" spans="1:5">
      <c r="A1864" s="59" t="s">
        <v>4701</v>
      </c>
      <c r="B1864" s="59" t="s">
        <v>4702</v>
      </c>
      <c r="C1864" s="59" t="s">
        <v>727</v>
      </c>
      <c r="D1864" s="59" t="s">
        <v>1477</v>
      </c>
      <c r="E1864" s="59" t="s">
        <v>71</v>
      </c>
    </row>
    <row r="1865" spans="1:5">
      <c r="A1865" s="59" t="s">
        <v>990</v>
      </c>
      <c r="B1865" s="59" t="s">
        <v>4703</v>
      </c>
      <c r="C1865" s="59" t="s">
        <v>108</v>
      </c>
      <c r="D1865" s="59" t="s">
        <v>1458</v>
      </c>
      <c r="E1865" s="59" t="s">
        <v>71</v>
      </c>
    </row>
    <row r="1866" spans="1:5">
      <c r="A1866" s="59" t="s">
        <v>4704</v>
      </c>
      <c r="B1866" s="59" t="s">
        <v>4705</v>
      </c>
      <c r="C1866" s="59" t="s">
        <v>488</v>
      </c>
      <c r="D1866" s="59" t="s">
        <v>1371</v>
      </c>
      <c r="E1866" s="59" t="s">
        <v>71</v>
      </c>
    </row>
    <row r="1867" spans="1:5">
      <c r="A1867" s="59" t="s">
        <v>4706</v>
      </c>
      <c r="B1867" s="59" t="s">
        <v>4707</v>
      </c>
      <c r="C1867" s="59" t="s">
        <v>653</v>
      </c>
      <c r="D1867" s="65" t="s">
        <v>1455</v>
      </c>
      <c r="E1867" s="65" t="s">
        <v>71</v>
      </c>
    </row>
    <row r="1868" spans="1:5">
      <c r="A1868" s="59" t="s">
        <v>3366</v>
      </c>
      <c r="B1868" s="59" t="s">
        <v>3367</v>
      </c>
      <c r="C1868" s="59" t="s">
        <v>1401</v>
      </c>
      <c r="D1868" s="59" t="s">
        <v>1477</v>
      </c>
      <c r="E1868" s="59" t="s">
        <v>71</v>
      </c>
    </row>
    <row r="1869" spans="1:5">
      <c r="A1869" s="59" t="s">
        <v>1003</v>
      </c>
      <c r="B1869" s="59" t="s">
        <v>4708</v>
      </c>
      <c r="C1869" s="59" t="s">
        <v>969</v>
      </c>
      <c r="D1869" s="59" t="s">
        <v>1395</v>
      </c>
      <c r="E1869" s="59" t="s">
        <v>71</v>
      </c>
    </row>
    <row r="1870" spans="1:5">
      <c r="A1870" s="59" t="s">
        <v>4709</v>
      </c>
      <c r="B1870" s="59" t="s">
        <v>4710</v>
      </c>
      <c r="C1870" s="59" t="s">
        <v>916</v>
      </c>
      <c r="D1870" s="59" t="s">
        <v>1455</v>
      </c>
      <c r="E1870" s="59" t="s">
        <v>71</v>
      </c>
    </row>
    <row r="1871" spans="1:5">
      <c r="A1871" s="59" t="s">
        <v>4711</v>
      </c>
      <c r="B1871" s="59" t="s">
        <v>4712</v>
      </c>
      <c r="C1871" s="59" t="s">
        <v>1002</v>
      </c>
      <c r="D1871" s="65" t="s">
        <v>0</v>
      </c>
      <c r="E1871" s="65" t="s">
        <v>122</v>
      </c>
    </row>
    <row r="1872" spans="1:5">
      <c r="A1872" s="59" t="s">
        <v>4347</v>
      </c>
      <c r="B1872" s="59" t="s">
        <v>4713</v>
      </c>
      <c r="C1872" s="59" t="s">
        <v>1416</v>
      </c>
      <c r="D1872" s="65" t="s">
        <v>1477</v>
      </c>
      <c r="E1872" s="65" t="s">
        <v>122</v>
      </c>
    </row>
    <row r="1873" spans="1:5">
      <c r="A1873" s="59" t="s">
        <v>4714</v>
      </c>
      <c r="B1873" s="59" t="s">
        <v>3302</v>
      </c>
      <c r="C1873" s="59" t="s">
        <v>956</v>
      </c>
      <c r="D1873" s="59" t="s">
        <v>1371</v>
      </c>
      <c r="E1873" s="59" t="s">
        <v>71</v>
      </c>
    </row>
    <row r="1874" spans="1:5">
      <c r="A1874" s="59" t="s">
        <v>282</v>
      </c>
      <c r="B1874" s="59" t="s">
        <v>283</v>
      </c>
      <c r="C1874" s="59" t="s">
        <v>62</v>
      </c>
      <c r="D1874" s="59" t="s">
        <v>1395</v>
      </c>
      <c r="E1874" s="59" t="s">
        <v>71</v>
      </c>
    </row>
    <row r="1875" spans="1:5">
      <c r="A1875" s="59" t="s">
        <v>4715</v>
      </c>
      <c r="B1875" s="59" t="s">
        <v>4716</v>
      </c>
      <c r="C1875" s="59" t="s">
        <v>862</v>
      </c>
      <c r="D1875" s="59" t="s">
        <v>1395</v>
      </c>
      <c r="E1875" s="59" t="s">
        <v>71</v>
      </c>
    </row>
    <row r="1876" spans="1:5">
      <c r="A1876" s="59" t="s">
        <v>4717</v>
      </c>
      <c r="B1876" s="59" t="s">
        <v>4718</v>
      </c>
      <c r="C1876" s="59" t="s">
        <v>431</v>
      </c>
      <c r="D1876" s="59" t="s">
        <v>1477</v>
      </c>
      <c r="E1876" s="59" t="s">
        <v>1456</v>
      </c>
    </row>
    <row r="1877" spans="1:5">
      <c r="A1877" s="59" t="s">
        <v>4719</v>
      </c>
      <c r="B1877" s="59" t="s">
        <v>4720</v>
      </c>
      <c r="C1877" s="59" t="s">
        <v>83</v>
      </c>
      <c r="D1877" s="59" t="s">
        <v>1458</v>
      </c>
      <c r="E1877" s="59" t="s">
        <v>71</v>
      </c>
    </row>
    <row r="1878" spans="1:5">
      <c r="A1878" s="59" t="s">
        <v>4721</v>
      </c>
      <c r="B1878" s="59" t="s">
        <v>4722</v>
      </c>
      <c r="C1878" s="59" t="s">
        <v>377</v>
      </c>
      <c r="D1878" s="65" t="s">
        <v>598</v>
      </c>
      <c r="E1878" s="65" t="s">
        <v>71</v>
      </c>
    </row>
    <row r="1879" spans="1:5">
      <c r="A1879" s="59" t="s">
        <v>4723</v>
      </c>
      <c r="B1879" s="59" t="s">
        <v>4724</v>
      </c>
      <c r="C1879" s="59" t="s">
        <v>377</v>
      </c>
      <c r="D1879" s="65" t="s">
        <v>598</v>
      </c>
      <c r="E1879" s="65" t="s">
        <v>71</v>
      </c>
    </row>
    <row r="1880" spans="1:5">
      <c r="A1880" s="59"/>
      <c r="B1880" s="59"/>
      <c r="C1880" s="59"/>
      <c r="D1880" s="65"/>
      <c r="E1880" s="65"/>
    </row>
    <row r="1881" spans="1:5">
      <c r="A1881" s="59" t="s">
        <v>4725</v>
      </c>
      <c r="B1881" s="59" t="s">
        <v>4726</v>
      </c>
      <c r="C1881" s="59" t="s">
        <v>1014</v>
      </c>
      <c r="D1881" s="59" t="s">
        <v>1458</v>
      </c>
      <c r="E1881" s="59" t="s">
        <v>71</v>
      </c>
    </row>
    <row r="1882" spans="1:5">
      <c r="A1882" s="59" t="s">
        <v>4727</v>
      </c>
      <c r="B1882" s="59" t="s">
        <v>4728</v>
      </c>
      <c r="C1882" s="59" t="s">
        <v>377</v>
      </c>
      <c r="D1882" s="65" t="s">
        <v>598</v>
      </c>
      <c r="E1882" s="65" t="s">
        <v>71</v>
      </c>
    </row>
    <row r="1883" spans="1:5" s="65" customFormat="1" ht="13.2">
      <c r="A1883" s="59" t="s">
        <v>2961</v>
      </c>
      <c r="B1883" s="59" t="s">
        <v>2962</v>
      </c>
      <c r="C1883" s="59" t="s">
        <v>1408</v>
      </c>
      <c r="D1883" s="65" t="s">
        <v>124</v>
      </c>
      <c r="E1883" s="65" t="s">
        <v>122</v>
      </c>
    </row>
    <row r="1884" spans="1:5" s="65" customFormat="1" ht="13.2">
      <c r="A1884" s="59" t="s">
        <v>2963</v>
      </c>
      <c r="B1884" s="59" t="s">
        <v>2962</v>
      </c>
      <c r="C1884" s="59" t="s">
        <v>1422</v>
      </c>
      <c r="D1884" s="65" t="s">
        <v>122</v>
      </c>
      <c r="E1884" s="65" t="s">
        <v>122</v>
      </c>
    </row>
    <row r="1885" spans="1:5">
      <c r="A1885" s="59" t="s">
        <v>4729</v>
      </c>
      <c r="B1885" s="59" t="s">
        <v>4730</v>
      </c>
      <c r="C1885" s="59" t="s">
        <v>315</v>
      </c>
      <c r="D1885" s="59" t="s">
        <v>1458</v>
      </c>
      <c r="E1885" s="59" t="s">
        <v>71</v>
      </c>
    </row>
    <row r="1886" spans="1:5">
      <c r="A1886" s="59" t="s">
        <v>4196</v>
      </c>
      <c r="B1886" s="59" t="s">
        <v>4731</v>
      </c>
      <c r="C1886" s="59" t="s">
        <v>4732</v>
      </c>
      <c r="D1886" s="65" t="s">
        <v>93</v>
      </c>
      <c r="E1886" s="65" t="s">
        <v>122</v>
      </c>
    </row>
    <row r="1887" spans="1:5">
      <c r="A1887" s="59" t="s">
        <v>746</v>
      </c>
      <c r="B1887" s="59" t="s">
        <v>4733</v>
      </c>
      <c r="C1887" s="59" t="s">
        <v>745</v>
      </c>
      <c r="D1887" t="s">
        <v>1395</v>
      </c>
      <c r="E1887" s="65" t="s">
        <v>122</v>
      </c>
    </row>
    <row r="1888" spans="1:5">
      <c r="A1888" s="59" t="s">
        <v>4632</v>
      </c>
      <c r="B1888" s="59" t="s">
        <v>4678</v>
      </c>
      <c r="C1888" s="59" t="s">
        <v>960</v>
      </c>
      <c r="D1888" s="59" t="s">
        <v>1477</v>
      </c>
      <c r="E1888" s="59" t="s">
        <v>71</v>
      </c>
    </row>
    <row r="1889" spans="1:5">
      <c r="A1889" s="59" t="s">
        <v>4734</v>
      </c>
      <c r="B1889" s="59" t="s">
        <v>4735</v>
      </c>
      <c r="C1889" s="59" t="s">
        <v>431</v>
      </c>
      <c r="D1889" s="59" t="s">
        <v>1477</v>
      </c>
      <c r="E1889" s="59" t="s">
        <v>1456</v>
      </c>
    </row>
    <row r="1890" spans="1:5">
      <c r="A1890" s="59" t="s">
        <v>4736</v>
      </c>
      <c r="B1890" s="59" t="s">
        <v>3514</v>
      </c>
      <c r="C1890" s="59" t="s">
        <v>653</v>
      </c>
      <c r="D1890" s="65" t="s">
        <v>1455</v>
      </c>
      <c r="E1890" s="65" t="s">
        <v>71</v>
      </c>
    </row>
    <row r="1891" spans="1:5">
      <c r="A1891" s="59" t="s">
        <v>4737</v>
      </c>
      <c r="B1891" s="59" t="s">
        <v>4738</v>
      </c>
      <c r="C1891" s="59" t="s">
        <v>921</v>
      </c>
      <c r="D1891" s="59" t="s">
        <v>1477</v>
      </c>
      <c r="E1891" s="59" t="s">
        <v>71</v>
      </c>
    </row>
    <row r="1892" spans="1:5">
      <c r="A1892" t="s">
        <v>4739</v>
      </c>
      <c r="B1892" s="59" t="s">
        <v>4740</v>
      </c>
      <c r="C1892" s="59" t="s">
        <v>226</v>
      </c>
      <c r="D1892" s="59" t="s">
        <v>1371</v>
      </c>
      <c r="E1892" s="59" t="s">
        <v>71</v>
      </c>
    </row>
    <row r="1893" spans="1:5">
      <c r="A1893" t="s">
        <v>4741</v>
      </c>
      <c r="B1893" s="59" t="s">
        <v>4742</v>
      </c>
      <c r="C1893" s="59" t="s">
        <v>325</v>
      </c>
      <c r="D1893" s="59" t="s">
        <v>1477</v>
      </c>
      <c r="E1893" s="59" t="s">
        <v>1456</v>
      </c>
    </row>
    <row r="1894" spans="1:5">
      <c r="A1894" t="s">
        <v>977</v>
      </c>
      <c r="B1894" t="s">
        <v>4743</v>
      </c>
      <c r="C1894" s="59" t="s">
        <v>89</v>
      </c>
      <c r="D1894" s="65" t="s">
        <v>89</v>
      </c>
      <c r="E1894" s="59" t="s">
        <v>1456</v>
      </c>
    </row>
    <row r="1895" spans="1:5">
      <c r="A1895" t="s">
        <v>4744</v>
      </c>
      <c r="B1895" s="59" t="s">
        <v>4745</v>
      </c>
      <c r="C1895" s="59" t="s">
        <v>181</v>
      </c>
      <c r="D1895" s="65" t="s">
        <v>1477</v>
      </c>
      <c r="E1895" s="65" t="s">
        <v>71</v>
      </c>
    </row>
    <row r="1896" spans="1:5">
      <c r="A1896" t="s">
        <v>4746</v>
      </c>
      <c r="B1896" t="s">
        <v>4747</v>
      </c>
      <c r="C1896" s="59" t="s">
        <v>156</v>
      </c>
      <c r="D1896" s="59" t="s">
        <v>1455</v>
      </c>
      <c r="E1896" s="59" t="s">
        <v>71</v>
      </c>
    </row>
    <row r="1897" spans="1:5">
      <c r="A1897" t="s">
        <v>4748</v>
      </c>
      <c r="B1897" s="59" t="s">
        <v>4749</v>
      </c>
      <c r="C1897" s="59" t="s">
        <v>1014</v>
      </c>
      <c r="D1897" s="59" t="s">
        <v>1458</v>
      </c>
      <c r="E1897" s="59" t="s">
        <v>71</v>
      </c>
    </row>
    <row r="1898" spans="1:5">
      <c r="A1898" t="s">
        <v>4750</v>
      </c>
      <c r="B1898" t="s">
        <v>4751</v>
      </c>
      <c r="C1898" s="59" t="s">
        <v>438</v>
      </c>
      <c r="D1898" s="59" t="s">
        <v>1395</v>
      </c>
      <c r="E1898" s="59" t="s">
        <v>71</v>
      </c>
    </row>
    <row r="1899" spans="1:5">
      <c r="A1899" t="s">
        <v>4752</v>
      </c>
      <c r="B1899" s="59" t="s">
        <v>4753</v>
      </c>
      <c r="C1899" s="59" t="s">
        <v>315</v>
      </c>
      <c r="D1899" s="59" t="s">
        <v>1458</v>
      </c>
      <c r="E1899" s="59" t="s">
        <v>71</v>
      </c>
    </row>
    <row r="1900" spans="1:5">
      <c r="A1900" t="s">
        <v>4754</v>
      </c>
      <c r="B1900" t="s">
        <v>4755</v>
      </c>
      <c r="C1900" s="59" t="s">
        <v>244</v>
      </c>
      <c r="D1900" s="59" t="s">
        <v>1458</v>
      </c>
      <c r="E1900" s="59" t="s">
        <v>71</v>
      </c>
    </row>
    <row r="1901" spans="1:5">
      <c r="A1901" t="s">
        <v>4756</v>
      </c>
      <c r="B1901" s="59" t="s">
        <v>4757</v>
      </c>
      <c r="C1901" s="59" t="s">
        <v>438</v>
      </c>
      <c r="D1901" s="59" t="s">
        <v>1395</v>
      </c>
      <c r="E1901" s="59" t="s">
        <v>71</v>
      </c>
    </row>
    <row r="1902" spans="1:5">
      <c r="A1902" t="s">
        <v>4758</v>
      </c>
      <c r="B1902" t="s">
        <v>4759</v>
      </c>
      <c r="C1902" s="59" t="s">
        <v>181</v>
      </c>
      <c r="D1902" s="65" t="s">
        <v>1477</v>
      </c>
      <c r="E1902" s="65" t="s">
        <v>71</v>
      </c>
    </row>
    <row r="1903" spans="1:5">
      <c r="A1903" t="s">
        <v>237</v>
      </c>
      <c r="B1903" s="59" t="s">
        <v>238</v>
      </c>
      <c r="C1903" s="59" t="s">
        <v>1562</v>
      </c>
      <c r="D1903" s="59" t="s">
        <v>1407</v>
      </c>
      <c r="E1903" s="59" t="s">
        <v>31</v>
      </c>
    </row>
    <row r="1904" spans="1:5">
      <c r="A1904" t="s">
        <v>4760</v>
      </c>
      <c r="B1904" t="s">
        <v>4761</v>
      </c>
      <c r="C1904" s="59" t="s">
        <v>325</v>
      </c>
      <c r="D1904" s="59" t="s">
        <v>1477</v>
      </c>
      <c r="E1904" s="59" t="s">
        <v>1456</v>
      </c>
    </row>
    <row r="1905" spans="1:5">
      <c r="A1905" t="s">
        <v>111</v>
      </c>
      <c r="B1905" s="59" t="s">
        <v>112</v>
      </c>
      <c r="C1905" s="59" t="s">
        <v>108</v>
      </c>
      <c r="D1905" s="59" t="s">
        <v>1458</v>
      </c>
      <c r="E1905" s="59" t="s">
        <v>71</v>
      </c>
    </row>
    <row r="1906" spans="1:5">
      <c r="A1906" t="s">
        <v>2963</v>
      </c>
      <c r="B1906" t="s">
        <v>1365</v>
      </c>
      <c r="C1906" s="59" t="s">
        <v>881</v>
      </c>
      <c r="D1906" s="65" t="s">
        <v>124</v>
      </c>
      <c r="E1906" s="59" t="s">
        <v>122</v>
      </c>
    </row>
    <row r="1907" spans="1:5">
      <c r="A1907" t="s">
        <v>556</v>
      </c>
      <c r="B1907" s="59" t="s">
        <v>557</v>
      </c>
      <c r="C1907" s="59" t="s">
        <v>239</v>
      </c>
      <c r="D1907" s="59" t="s">
        <v>117</v>
      </c>
      <c r="E1907" s="59" t="s">
        <v>71</v>
      </c>
    </row>
    <row r="1908" spans="1:5">
      <c r="A1908" t="s">
        <v>2963</v>
      </c>
      <c r="B1908" t="s">
        <v>1365</v>
      </c>
      <c r="C1908" t="s">
        <v>4762</v>
      </c>
      <c r="D1908" s="59" t="s">
        <v>124</v>
      </c>
      <c r="E1908" s="59"/>
    </row>
    <row r="1909" spans="1:5">
      <c r="A1909" t="s">
        <v>4763</v>
      </c>
      <c r="B1909" s="59" t="s">
        <v>4764</v>
      </c>
      <c r="C1909" s="59" t="s">
        <v>513</v>
      </c>
      <c r="D1909" s="59" t="s">
        <v>4765</v>
      </c>
      <c r="E1909" s="59" t="s">
        <v>71</v>
      </c>
    </row>
    <row r="1910" spans="1:5">
      <c r="A1910" t="s">
        <v>1427</v>
      </c>
      <c r="B1910" t="s">
        <v>1427</v>
      </c>
      <c r="C1910" s="59" t="s">
        <v>1427</v>
      </c>
      <c r="D1910" s="59" t="s">
        <v>122</v>
      </c>
      <c r="E1910" s="59" t="s">
        <v>122</v>
      </c>
    </row>
    <row r="1911" spans="1:5">
      <c r="A1911" s="59"/>
      <c r="B1911" s="59"/>
      <c r="C1911" s="59"/>
      <c r="D1911" s="65"/>
      <c r="E1911" s="65"/>
    </row>
    <row r="1912" spans="1:5">
      <c r="A1912" t="s">
        <v>4766</v>
      </c>
      <c r="B1912" t="s">
        <v>4767</v>
      </c>
      <c r="C1912" s="59" t="s">
        <v>1521</v>
      </c>
      <c r="D1912" s="59" t="s">
        <v>1371</v>
      </c>
      <c r="E1912" s="59" t="s">
        <v>1456</v>
      </c>
    </row>
    <row r="1913" spans="1:5">
      <c r="A1913" t="s">
        <v>4768</v>
      </c>
      <c r="B1913" t="s">
        <v>4769</v>
      </c>
      <c r="C1913" s="59" t="s">
        <v>926</v>
      </c>
      <c r="D1913" s="59" t="s">
        <v>1458</v>
      </c>
      <c r="E1913" s="59" t="s">
        <v>71</v>
      </c>
    </row>
    <row r="1914" spans="1:5">
      <c r="A1914" t="s">
        <v>4770</v>
      </c>
      <c r="B1914" t="s">
        <v>4771</v>
      </c>
      <c r="C1914" s="59" t="s">
        <v>377</v>
      </c>
      <c r="D1914" s="65" t="s">
        <v>598</v>
      </c>
      <c r="E1914" s="65" t="s">
        <v>71</v>
      </c>
    </row>
    <row r="1915" spans="1:5">
      <c r="A1915" t="s">
        <v>4772</v>
      </c>
      <c r="B1915" t="s">
        <v>4773</v>
      </c>
      <c r="C1915" s="59" t="s">
        <v>921</v>
      </c>
      <c r="D1915" s="59" t="s">
        <v>1477</v>
      </c>
      <c r="E1915" s="59" t="s">
        <v>71</v>
      </c>
    </row>
    <row r="1916" spans="1:5">
      <c r="A1916" t="s">
        <v>974</v>
      </c>
      <c r="B1916" t="s">
        <v>2628</v>
      </c>
      <c r="C1916" s="59" t="s">
        <v>973</v>
      </c>
      <c r="D1916" s="59" t="s">
        <v>1455</v>
      </c>
      <c r="E1916" s="59" t="s">
        <v>71</v>
      </c>
    </row>
    <row r="1917" spans="1:5">
      <c r="A1917" t="s">
        <v>4774</v>
      </c>
      <c r="B1917" t="s">
        <v>2751</v>
      </c>
      <c r="C1917" s="59" t="s">
        <v>89</v>
      </c>
      <c r="D1917" s="65" t="s">
        <v>89</v>
      </c>
      <c r="E1917" s="59" t="s">
        <v>1456</v>
      </c>
    </row>
    <row r="1918" spans="1:5">
      <c r="A1918" t="s">
        <v>4775</v>
      </c>
      <c r="B1918" t="s">
        <v>4776</v>
      </c>
      <c r="C1918" s="59" t="s">
        <v>272</v>
      </c>
      <c r="D1918" s="59" t="s">
        <v>1458</v>
      </c>
      <c r="E1918" s="59" t="s">
        <v>71</v>
      </c>
    </row>
    <row r="1919" spans="1:5">
      <c r="A1919" t="s">
        <v>2443</v>
      </c>
      <c r="B1919" s="59" t="s">
        <v>4777</v>
      </c>
      <c r="C1919" s="59" t="s">
        <v>4778</v>
      </c>
      <c r="D1919" t="s">
        <v>1458</v>
      </c>
      <c r="E1919" t="s">
        <v>122</v>
      </c>
    </row>
    <row r="1920" spans="1:5">
      <c r="A1920" t="s">
        <v>4779</v>
      </c>
      <c r="B1920" t="s">
        <v>4780</v>
      </c>
      <c r="C1920" s="59" t="s">
        <v>727</v>
      </c>
      <c r="D1920" t="s">
        <v>1477</v>
      </c>
      <c r="E1920" t="s">
        <v>71</v>
      </c>
    </row>
    <row r="1921" spans="1:5">
      <c r="A1921" s="59"/>
      <c r="B1921" s="59"/>
      <c r="C1921" s="59"/>
      <c r="D1921" s="65"/>
      <c r="E1921" s="65"/>
    </row>
    <row r="1922" spans="1:5">
      <c r="A1922" t="s">
        <v>251</v>
      </c>
      <c r="B1922" t="s">
        <v>252</v>
      </c>
      <c r="C1922" s="59" t="s">
        <v>249</v>
      </c>
      <c r="D1922" s="59" t="s">
        <v>1477</v>
      </c>
      <c r="E1922" s="59" t="s">
        <v>71</v>
      </c>
    </row>
    <row r="1923" spans="1:5">
      <c r="B1923" s="59"/>
      <c r="C1923" s="59"/>
      <c r="D1923" s="65"/>
      <c r="E1923" s="65"/>
    </row>
    <row r="1924" spans="1:5">
      <c r="A1924" t="s">
        <v>4711</v>
      </c>
      <c r="B1924" t="s">
        <v>4781</v>
      </c>
      <c r="C1924" s="59" t="s">
        <v>1430</v>
      </c>
      <c r="D1924" t="s">
        <v>124</v>
      </c>
      <c r="E1924" t="s">
        <v>122</v>
      </c>
    </row>
    <row r="1925" spans="1:5">
      <c r="A1925" t="s">
        <v>4782</v>
      </c>
      <c r="B1925" t="s">
        <v>4783</v>
      </c>
      <c r="C1925" t="s">
        <v>781</v>
      </c>
      <c r="D1925" t="s">
        <v>1477</v>
      </c>
      <c r="E1925" t="s">
        <v>71</v>
      </c>
    </row>
    <row r="1926" spans="1:5">
      <c r="A1926" t="s">
        <v>4784</v>
      </c>
      <c r="B1926" t="s">
        <v>4785</v>
      </c>
      <c r="C1926" s="59" t="s">
        <v>900</v>
      </c>
      <c r="D1926" s="59" t="s">
        <v>1455</v>
      </c>
      <c r="E1926" s="59" t="s">
        <v>71</v>
      </c>
    </row>
    <row r="1927" spans="1:5">
      <c r="A1927" t="s">
        <v>4786</v>
      </c>
      <c r="B1927" t="s">
        <v>4787</v>
      </c>
      <c r="C1927" s="59" t="s">
        <v>1409</v>
      </c>
      <c r="D1927" s="59" t="s">
        <v>1371</v>
      </c>
      <c r="E1927" s="59" t="s">
        <v>71</v>
      </c>
    </row>
    <row r="1928" spans="1:5">
      <c r="A1928" t="s">
        <v>4788</v>
      </c>
      <c r="B1928" t="s">
        <v>4789</v>
      </c>
      <c r="C1928" s="59" t="s">
        <v>900</v>
      </c>
      <c r="D1928" s="59" t="s">
        <v>1455</v>
      </c>
      <c r="E1928" s="59" t="s">
        <v>71</v>
      </c>
    </row>
    <row r="1929" spans="1:5">
      <c r="A1929" t="s">
        <v>4790</v>
      </c>
      <c r="B1929" t="s">
        <v>4791</v>
      </c>
      <c r="C1929" s="59" t="s">
        <v>1014</v>
      </c>
      <c r="D1929" s="59" t="s">
        <v>1458</v>
      </c>
      <c r="E1929" s="59" t="s">
        <v>71</v>
      </c>
    </row>
    <row r="1930" spans="1:5">
      <c r="A1930" t="s">
        <v>965</v>
      </c>
      <c r="B1930" s="59" t="s">
        <v>75</v>
      </c>
      <c r="C1930" s="59" t="s">
        <v>964</v>
      </c>
      <c r="D1930" t="s">
        <v>1458</v>
      </c>
      <c r="E1930" t="s">
        <v>122</v>
      </c>
    </row>
    <row r="1931" spans="1:5">
      <c r="A1931" t="s">
        <v>4792</v>
      </c>
      <c r="B1931" t="s">
        <v>4793</v>
      </c>
      <c r="C1931" s="59" t="s">
        <v>1480</v>
      </c>
      <c r="D1931" s="59" t="s">
        <v>1455</v>
      </c>
      <c r="E1931" s="59" t="s">
        <v>71</v>
      </c>
    </row>
    <row r="1932" spans="1:5">
      <c r="A1932" t="s">
        <v>4794</v>
      </c>
      <c r="B1932" t="s">
        <v>4795</v>
      </c>
      <c r="C1932" s="59" t="s">
        <v>935</v>
      </c>
      <c r="D1932" s="59" t="s">
        <v>1477</v>
      </c>
      <c r="E1932" s="59" t="s">
        <v>71</v>
      </c>
    </row>
    <row r="1933" spans="1:5">
      <c r="A1933" t="s">
        <v>816</v>
      </c>
      <c r="B1933" t="s">
        <v>817</v>
      </c>
      <c r="C1933" t="s">
        <v>781</v>
      </c>
      <c r="D1933" t="s">
        <v>1477</v>
      </c>
      <c r="E1933" t="s">
        <v>71</v>
      </c>
    </row>
    <row r="1934" spans="1:5">
      <c r="A1934" t="s">
        <v>4796</v>
      </c>
      <c r="B1934" t="s">
        <v>1470</v>
      </c>
      <c r="C1934" s="59" t="s">
        <v>89</v>
      </c>
      <c r="D1934" s="65" t="s">
        <v>89</v>
      </c>
      <c r="E1934" s="59" t="s">
        <v>1456</v>
      </c>
    </row>
    <row r="1935" spans="1:5">
      <c r="A1935" t="s">
        <v>4797</v>
      </c>
      <c r="B1935" t="s">
        <v>4798</v>
      </c>
      <c r="C1935" s="59" t="s">
        <v>475</v>
      </c>
      <c r="D1935" s="59" t="s">
        <v>1395</v>
      </c>
      <c r="E1935" s="59" t="s">
        <v>71</v>
      </c>
    </row>
    <row r="1936" spans="1:5">
      <c r="A1936" t="s">
        <v>4799</v>
      </c>
      <c r="B1936" t="s">
        <v>4800</v>
      </c>
      <c r="C1936" s="59" t="s">
        <v>108</v>
      </c>
      <c r="D1936" s="59" t="s">
        <v>1458</v>
      </c>
      <c r="E1936" s="59" t="s">
        <v>71</v>
      </c>
    </row>
    <row r="1937" spans="1:5">
      <c r="A1937" t="s">
        <v>4801</v>
      </c>
      <c r="B1937" t="s">
        <v>4802</v>
      </c>
      <c r="C1937" s="59" t="s">
        <v>108</v>
      </c>
      <c r="D1937" s="59" t="s">
        <v>1458</v>
      </c>
      <c r="E1937" s="59" t="s">
        <v>71</v>
      </c>
    </row>
    <row r="1938" spans="1:5">
      <c r="A1938" t="s">
        <v>871</v>
      </c>
      <c r="B1938" t="s">
        <v>4803</v>
      </c>
      <c r="C1938" s="59" t="s">
        <v>438</v>
      </c>
      <c r="D1938" s="59" t="s">
        <v>1395</v>
      </c>
      <c r="E1938" s="59" t="s">
        <v>71</v>
      </c>
    </row>
    <row r="1939" spans="1:5">
      <c r="A1939" t="s">
        <v>945</v>
      </c>
      <c r="B1939" t="s">
        <v>4804</v>
      </c>
      <c r="C1939" s="59" t="s">
        <v>244</v>
      </c>
      <c r="D1939" s="59" t="s">
        <v>1458</v>
      </c>
      <c r="E1939" s="59" t="s">
        <v>71</v>
      </c>
    </row>
    <row r="1940" spans="1:5">
      <c r="A1940" t="s">
        <v>4805</v>
      </c>
      <c r="B1940" t="s">
        <v>4806</v>
      </c>
      <c r="C1940" s="59" t="s">
        <v>377</v>
      </c>
      <c r="D1940" s="65" t="s">
        <v>598</v>
      </c>
      <c r="E1940" s="65" t="s">
        <v>71</v>
      </c>
    </row>
    <row r="1941" spans="1:5">
      <c r="A1941" t="s">
        <v>4807</v>
      </c>
      <c r="B1941" t="s">
        <v>4808</v>
      </c>
      <c r="C1941" t="s">
        <v>781</v>
      </c>
      <c r="D1941" t="s">
        <v>1477</v>
      </c>
      <c r="E1941" t="s">
        <v>71</v>
      </c>
    </row>
    <row r="1942" spans="1:5">
      <c r="A1942" t="s">
        <v>4809</v>
      </c>
      <c r="B1942" t="s">
        <v>4810</v>
      </c>
      <c r="C1942" s="59" t="s">
        <v>1410</v>
      </c>
      <c r="D1942" s="59" t="s">
        <v>1458</v>
      </c>
      <c r="E1942" s="59" t="s">
        <v>71</v>
      </c>
    </row>
    <row r="1943" spans="1:5">
      <c r="A1943" t="s">
        <v>4811</v>
      </c>
      <c r="B1943" t="s">
        <v>4812</v>
      </c>
      <c r="C1943" s="59" t="s">
        <v>651</v>
      </c>
      <c r="D1943" s="59" t="s">
        <v>1455</v>
      </c>
      <c r="E1943" s="59" t="s">
        <v>1456</v>
      </c>
    </row>
    <row r="1944" spans="1:5">
      <c r="A1944" s="59"/>
      <c r="B1944" s="59"/>
      <c r="C1944" s="59"/>
      <c r="D1944" s="65"/>
      <c r="E1944" s="65"/>
    </row>
    <row r="1945" spans="1:5">
      <c r="A1945" t="s">
        <v>4813</v>
      </c>
      <c r="B1945" t="s">
        <v>4814</v>
      </c>
      <c r="C1945" s="59" t="s">
        <v>315</v>
      </c>
      <c r="D1945" s="59" t="s">
        <v>1458</v>
      </c>
      <c r="E1945" s="59" t="s">
        <v>71</v>
      </c>
    </row>
    <row r="1946" spans="1:5">
      <c r="A1946" t="s">
        <v>4815</v>
      </c>
      <c r="B1946" t="s">
        <v>4816</v>
      </c>
      <c r="C1946" s="59" t="s">
        <v>484</v>
      </c>
      <c r="D1946" s="59" t="s">
        <v>1455</v>
      </c>
      <c r="E1946" s="59" t="s">
        <v>71</v>
      </c>
    </row>
    <row r="1947" spans="1:5">
      <c r="A1947" s="59" t="s">
        <v>4817</v>
      </c>
      <c r="B1947" s="59" t="s">
        <v>4818</v>
      </c>
      <c r="C1947" s="59" t="s">
        <v>4819</v>
      </c>
      <c r="D1947" s="59" t="s">
        <v>1371</v>
      </c>
      <c r="E1947" s="59" t="s">
        <v>71</v>
      </c>
    </row>
    <row r="1948" spans="1:5">
      <c r="A1948" s="59" t="s">
        <v>957</v>
      </c>
      <c r="B1948" s="59" t="s">
        <v>4820</v>
      </c>
      <c r="C1948" s="59" t="s">
        <v>956</v>
      </c>
      <c r="D1948" s="59" t="s">
        <v>1371</v>
      </c>
      <c r="E1948" s="59" t="s">
        <v>1456</v>
      </c>
    </row>
    <row r="1949" spans="1:5">
      <c r="A1949" t="s">
        <v>4821</v>
      </c>
      <c r="B1949" s="59" t="s">
        <v>4822</v>
      </c>
      <c r="C1949" s="59" t="s">
        <v>653</v>
      </c>
      <c r="D1949" s="59" t="s">
        <v>1368</v>
      </c>
      <c r="E1949" s="59" t="s">
        <v>1456</v>
      </c>
    </row>
    <row r="1950" spans="1:5">
      <c r="A1950" s="59"/>
      <c r="B1950" s="59"/>
      <c r="C1950" s="59"/>
      <c r="D1950" s="59"/>
    </row>
    <row r="1951" spans="1:5">
      <c r="A1951" t="s">
        <v>4823</v>
      </c>
      <c r="B1951" s="59" t="s">
        <v>4824</v>
      </c>
      <c r="C1951" s="59" t="s">
        <v>651</v>
      </c>
      <c r="D1951" s="59" t="s">
        <v>1455</v>
      </c>
    </row>
    <row r="1952" spans="1:5">
      <c r="A1952" s="59" t="s">
        <v>4825</v>
      </c>
      <c r="B1952" s="59" t="s">
        <v>4826</v>
      </c>
      <c r="C1952" s="59" t="s">
        <v>315</v>
      </c>
      <c r="D1952" s="59" t="s">
        <v>84</v>
      </c>
    </row>
    <row r="1953" spans="1:5">
      <c r="A1953" t="s">
        <v>4827</v>
      </c>
      <c r="B1953" s="59" t="s">
        <v>4828</v>
      </c>
      <c r="C1953" s="59" t="s">
        <v>89</v>
      </c>
      <c r="D1953" s="59" t="s">
        <v>93</v>
      </c>
      <c r="E1953" s="59" t="s">
        <v>71</v>
      </c>
    </row>
    <row r="1954" spans="1:5">
      <c r="A1954" s="59" t="s">
        <v>2054</v>
      </c>
      <c r="B1954" s="59" t="s">
        <v>4829</v>
      </c>
      <c r="C1954" s="59" t="s">
        <v>447</v>
      </c>
      <c r="D1954" s="59" t="s">
        <v>117</v>
      </c>
      <c r="E1954" s="59" t="s">
        <v>1456</v>
      </c>
    </row>
    <row r="1955" spans="1:5">
      <c r="A1955" t="s">
        <v>4622</v>
      </c>
      <c r="B1955" s="59" t="s">
        <v>4623</v>
      </c>
      <c r="C1955" s="59" t="s">
        <v>941</v>
      </c>
      <c r="D1955" s="59" t="s">
        <v>84</v>
      </c>
      <c r="E1955" s="59" t="s">
        <v>71</v>
      </c>
    </row>
    <row r="1956" spans="1:5">
      <c r="A1956" s="59" t="s">
        <v>1999</v>
      </c>
      <c r="B1956" s="59" t="s">
        <v>4830</v>
      </c>
      <c r="C1956" s="59" t="s">
        <v>1013</v>
      </c>
      <c r="D1956" s="59" t="s">
        <v>4831</v>
      </c>
      <c r="E1956" s="59" t="s">
        <v>1456</v>
      </c>
    </row>
    <row r="1957" spans="1:5">
      <c r="A1957" t="s">
        <v>4488</v>
      </c>
      <c r="B1957" s="59" t="s">
        <v>968</v>
      </c>
      <c r="C1957" s="59" t="s">
        <v>156</v>
      </c>
      <c r="D1957" s="59" t="s">
        <v>1361</v>
      </c>
      <c r="E1957" s="59" t="s">
        <v>71</v>
      </c>
    </row>
    <row r="1958" spans="1:5">
      <c r="A1958" s="59" t="s">
        <v>4832</v>
      </c>
      <c r="B1958" s="59" t="s">
        <v>4833</v>
      </c>
      <c r="C1958" s="59" t="s">
        <v>214</v>
      </c>
      <c r="D1958" s="59" t="s">
        <v>1458</v>
      </c>
      <c r="E1958" s="59" t="s">
        <v>71</v>
      </c>
    </row>
    <row r="1959" spans="1:5">
      <c r="A1959" t="s">
        <v>4834</v>
      </c>
      <c r="B1959" s="59" t="s">
        <v>4835</v>
      </c>
      <c r="C1959" s="59" t="s">
        <v>593</v>
      </c>
      <c r="D1959" s="59" t="s">
        <v>1361</v>
      </c>
      <c r="E1959" s="59" t="s">
        <v>71</v>
      </c>
    </row>
    <row r="1960" spans="1:5">
      <c r="A1960" s="59" t="s">
        <v>4836</v>
      </c>
      <c r="B1960" s="59" t="s">
        <v>4837</v>
      </c>
      <c r="C1960" s="59" t="s">
        <v>89</v>
      </c>
      <c r="D1960" s="59" t="s">
        <v>4838</v>
      </c>
      <c r="E1960" s="59" t="s">
        <v>71</v>
      </c>
    </row>
    <row r="1961" spans="1:5">
      <c r="A1961" t="s">
        <v>4839</v>
      </c>
      <c r="B1961" s="59" t="s">
        <v>4840</v>
      </c>
      <c r="C1961" s="59" t="s">
        <v>653</v>
      </c>
      <c r="D1961" s="59" t="s">
        <v>1368</v>
      </c>
      <c r="E1961" s="59" t="s">
        <v>71</v>
      </c>
    </row>
    <row r="1962" spans="1:5">
      <c r="A1962" s="59" t="s">
        <v>4841</v>
      </c>
      <c r="B1962" s="59" t="s">
        <v>4842</v>
      </c>
      <c r="C1962" s="59" t="s">
        <v>4843</v>
      </c>
      <c r="D1962" s="59" t="s">
        <v>117</v>
      </c>
      <c r="E1962" s="59" t="s">
        <v>71</v>
      </c>
    </row>
    <row r="1963" spans="1:5">
      <c r="A1963" t="s">
        <v>4844</v>
      </c>
      <c r="B1963" s="59" t="s">
        <v>4845</v>
      </c>
      <c r="C1963" s="59" t="s">
        <v>4846</v>
      </c>
      <c r="D1963" s="59" t="s">
        <v>1361</v>
      </c>
      <c r="E1963" s="59" t="s">
        <v>71</v>
      </c>
    </row>
    <row r="1964" spans="1:5">
      <c r="A1964" s="59" t="s">
        <v>4847</v>
      </c>
      <c r="B1964" s="59" t="s">
        <v>85</v>
      </c>
      <c r="C1964" s="59" t="s">
        <v>1431</v>
      </c>
      <c r="D1964" s="59" t="s">
        <v>84</v>
      </c>
      <c r="E1964" s="59" t="s">
        <v>122</v>
      </c>
    </row>
    <row r="1965" spans="1:5">
      <c r="B1965" s="59"/>
      <c r="C1965" s="59"/>
      <c r="D1965" s="59"/>
      <c r="E1965" s="59"/>
    </row>
    <row r="1966" spans="1:5">
      <c r="A1966" s="59" t="s">
        <v>4848</v>
      </c>
      <c r="B1966" s="59" t="s">
        <v>4849</v>
      </c>
      <c r="C1966" s="59" t="s">
        <v>781</v>
      </c>
      <c r="D1966" s="59" t="s">
        <v>1368</v>
      </c>
      <c r="E1966" s="59" t="s">
        <v>71</v>
      </c>
    </row>
    <row r="1967" spans="1:5">
      <c r="A1967" t="s">
        <v>886</v>
      </c>
      <c r="B1967" s="59" t="s">
        <v>4850</v>
      </c>
      <c r="C1967" s="59" t="s">
        <v>884</v>
      </c>
      <c r="D1967" s="59" t="s">
        <v>1395</v>
      </c>
      <c r="E1967" s="59" t="s">
        <v>1456</v>
      </c>
    </row>
    <row r="1968" spans="1:5">
      <c r="A1968" s="59" t="s">
        <v>4851</v>
      </c>
      <c r="B1968" s="59" t="s">
        <v>4852</v>
      </c>
      <c r="C1968" s="59" t="s">
        <v>973</v>
      </c>
      <c r="D1968" s="59" t="s">
        <v>1361</v>
      </c>
      <c r="E1968" s="59" t="s">
        <v>71</v>
      </c>
    </row>
    <row r="1969" spans="1:5">
      <c r="A1969" t="s">
        <v>4853</v>
      </c>
      <c r="B1969" s="59" t="s">
        <v>4854</v>
      </c>
      <c r="C1969" s="59" t="s">
        <v>1404</v>
      </c>
      <c r="D1969" s="59" t="s">
        <v>4855</v>
      </c>
      <c r="E1969" s="59" t="s">
        <v>1456</v>
      </c>
    </row>
    <row r="1970" spans="1:5">
      <c r="A1970" s="59" t="s">
        <v>4856</v>
      </c>
      <c r="B1970" s="59" t="s">
        <v>4857</v>
      </c>
      <c r="C1970" s="59" t="s">
        <v>108</v>
      </c>
      <c r="D1970" s="59" t="s">
        <v>4855</v>
      </c>
      <c r="E1970" s="59" t="s">
        <v>1456</v>
      </c>
    </row>
    <row r="1971" spans="1:5">
      <c r="A1971" t="s">
        <v>4858</v>
      </c>
      <c r="B1971" s="59" t="s">
        <v>4859</v>
      </c>
      <c r="C1971" s="59" t="s">
        <v>89</v>
      </c>
      <c r="D1971" s="59" t="s">
        <v>93</v>
      </c>
      <c r="E1971" s="59" t="s">
        <v>71</v>
      </c>
    </row>
    <row r="1972" spans="1:5">
      <c r="A1972" s="59" t="s">
        <v>4860</v>
      </c>
      <c r="B1972" s="59" t="s">
        <v>4861</v>
      </c>
      <c r="C1972" s="59" t="s">
        <v>447</v>
      </c>
      <c r="D1972" s="59" t="s">
        <v>117</v>
      </c>
      <c r="E1972" s="59" t="s">
        <v>71</v>
      </c>
    </row>
    <row r="1973" spans="1:5">
      <c r="B1973" s="59"/>
      <c r="C1973" s="59"/>
      <c r="D1973" s="59"/>
      <c r="E1973" s="59"/>
    </row>
    <row r="1974" spans="1:5">
      <c r="A1974" s="59" t="s">
        <v>4862</v>
      </c>
      <c r="B1974" s="59" t="s">
        <v>4863</v>
      </c>
      <c r="C1974" s="59" t="s">
        <v>651</v>
      </c>
      <c r="D1974" s="59" t="s">
        <v>1368</v>
      </c>
      <c r="E1974" s="59" t="s">
        <v>71</v>
      </c>
    </row>
    <row r="1975" spans="1:5">
      <c r="A1975" t="s">
        <v>4864</v>
      </c>
      <c r="B1975" s="59" t="s">
        <v>4865</v>
      </c>
      <c r="C1975" s="59" t="s">
        <v>1419</v>
      </c>
      <c r="D1975" s="59" t="s">
        <v>1361</v>
      </c>
      <c r="E1975" s="59" t="s">
        <v>1456</v>
      </c>
    </row>
    <row r="1976" spans="1:5">
      <c r="A1976" s="59" t="s">
        <v>4866</v>
      </c>
      <c r="B1976" s="59" t="s">
        <v>4867</v>
      </c>
      <c r="C1976" s="59" t="s">
        <v>1480</v>
      </c>
      <c r="D1976" s="59" t="s">
        <v>117</v>
      </c>
      <c r="E1976" s="59" t="s">
        <v>71</v>
      </c>
    </row>
    <row r="1977" spans="1:5">
      <c r="A1977" t="s">
        <v>633</v>
      </c>
      <c r="B1977" s="59" t="s">
        <v>634</v>
      </c>
      <c r="C1977" s="59" t="s">
        <v>329</v>
      </c>
      <c r="D1977" s="59" t="s">
        <v>117</v>
      </c>
      <c r="E1977" s="59" t="s">
        <v>71</v>
      </c>
    </row>
    <row r="1978" spans="1:5">
      <c r="A1978" s="59" t="s">
        <v>4868</v>
      </c>
      <c r="B1978" s="59" t="s">
        <v>4869</v>
      </c>
      <c r="C1978" s="59" t="s">
        <v>411</v>
      </c>
      <c r="D1978" s="59" t="s">
        <v>4870</v>
      </c>
      <c r="E1978" s="59" t="s">
        <v>71</v>
      </c>
    </row>
    <row r="1979" spans="1:5">
      <c r="A1979" t="s">
        <v>4871</v>
      </c>
      <c r="B1979" s="59" t="s">
        <v>4872</v>
      </c>
      <c r="C1979" s="59" t="s">
        <v>926</v>
      </c>
      <c r="D1979" s="59" t="s">
        <v>84</v>
      </c>
      <c r="E1979" s="59" t="s">
        <v>71</v>
      </c>
    </row>
    <row r="1980" spans="1:5">
      <c r="A1980" s="59" t="s">
        <v>4873</v>
      </c>
      <c r="B1980" s="59" t="s">
        <v>4874</v>
      </c>
      <c r="C1980" s="59" t="s">
        <v>932</v>
      </c>
      <c r="D1980" s="59" t="s">
        <v>1371</v>
      </c>
      <c r="E1980" s="59" t="s">
        <v>71</v>
      </c>
    </row>
    <row r="1981" spans="1:5">
      <c r="A1981" t="s">
        <v>4875</v>
      </c>
      <c r="B1981" s="59" t="s">
        <v>4876</v>
      </c>
      <c r="C1981" s="59" t="s">
        <v>513</v>
      </c>
      <c r="D1981" s="59" t="s">
        <v>1368</v>
      </c>
      <c r="E1981" s="59" t="s">
        <v>1456</v>
      </c>
    </row>
    <row r="1982" spans="1:5">
      <c r="A1982" s="59" t="s">
        <v>4877</v>
      </c>
      <c r="B1982" s="59" t="s">
        <v>4878</v>
      </c>
      <c r="C1982" s="59" t="s">
        <v>973</v>
      </c>
      <c r="D1982" s="59" t="s">
        <v>1361</v>
      </c>
      <c r="E1982" s="59" t="s">
        <v>71</v>
      </c>
    </row>
    <row r="1983" spans="1:5">
      <c r="B1983" s="59"/>
      <c r="C1983" s="59"/>
      <c r="D1983" s="59"/>
      <c r="E1983" s="59"/>
    </row>
    <row r="1984" spans="1:5">
      <c r="A1984" s="59" t="s">
        <v>121</v>
      </c>
      <c r="B1984" s="59" t="s">
        <v>123</v>
      </c>
      <c r="C1984" s="59" t="s">
        <v>122</v>
      </c>
      <c r="D1984" s="59" t="s">
        <v>124</v>
      </c>
      <c r="E1984" s="59" t="s">
        <v>122</v>
      </c>
    </row>
    <row r="1985" spans="1:5">
      <c r="A1985" t="s">
        <v>4879</v>
      </c>
      <c r="B1985" s="59" t="s">
        <v>4880</v>
      </c>
      <c r="C1985" s="59" t="s">
        <v>1024</v>
      </c>
      <c r="D1985" s="59" t="s">
        <v>124</v>
      </c>
      <c r="E1985" s="59" t="s">
        <v>4881</v>
      </c>
    </row>
    <row r="1986" spans="1:5">
      <c r="A1986" s="59" t="s">
        <v>933</v>
      </c>
      <c r="B1986" s="59" t="s">
        <v>4882</v>
      </c>
      <c r="C1986" s="59" t="s">
        <v>306</v>
      </c>
      <c r="D1986" s="59" t="s">
        <v>117</v>
      </c>
      <c r="E1986" s="59" t="s">
        <v>71</v>
      </c>
    </row>
    <row r="1987" spans="1:5">
      <c r="A1987" t="s">
        <v>992</v>
      </c>
      <c r="B1987" s="59" t="s">
        <v>4883</v>
      </c>
      <c r="C1987" s="59" t="s">
        <v>89</v>
      </c>
      <c r="D1987" s="59" t="s">
        <v>93</v>
      </c>
      <c r="E1987" s="59" t="s">
        <v>71</v>
      </c>
    </row>
    <row r="1988" spans="1:5">
      <c r="A1988" s="59" t="s">
        <v>4884</v>
      </c>
      <c r="B1988" s="59" t="s">
        <v>4885</v>
      </c>
      <c r="C1988" s="59" t="s">
        <v>517</v>
      </c>
      <c r="D1988" s="59" t="s">
        <v>1395</v>
      </c>
      <c r="E1988" s="59" t="s">
        <v>71</v>
      </c>
    </row>
    <row r="1989" spans="1:5">
      <c r="A1989" t="s">
        <v>148</v>
      </c>
      <c r="B1989" s="59" t="s">
        <v>149</v>
      </c>
      <c r="C1989" s="59" t="s">
        <v>145</v>
      </c>
      <c r="D1989" s="59" t="s">
        <v>124</v>
      </c>
      <c r="E1989" s="59" t="s">
        <v>4886</v>
      </c>
    </row>
    <row r="1990" spans="1:5">
      <c r="A1990" t="s">
        <v>4887</v>
      </c>
      <c r="B1990" t="s">
        <v>4888</v>
      </c>
      <c r="C1990" s="59" t="s">
        <v>983</v>
      </c>
      <c r="D1990" s="59" t="s">
        <v>1371</v>
      </c>
    </row>
    <row r="1991" spans="1:5">
      <c r="A1991" t="s">
        <v>372</v>
      </c>
      <c r="B1991" t="s">
        <v>373</v>
      </c>
      <c r="C1991" s="59" t="s">
        <v>89</v>
      </c>
      <c r="D1991" t="s">
        <v>89</v>
      </c>
    </row>
    <row r="1992" spans="1:5">
      <c r="A1992" t="s">
        <v>975</v>
      </c>
      <c r="B1992" t="s">
        <v>4889</v>
      </c>
      <c r="C1992" s="59" t="s">
        <v>572</v>
      </c>
      <c r="D1992" s="59" t="s">
        <v>117</v>
      </c>
      <c r="E1992" s="59" t="s">
        <v>71</v>
      </c>
    </row>
    <row r="1993" spans="1:5">
      <c r="C1993" s="59"/>
      <c r="D1993" s="59"/>
      <c r="E1993" s="59"/>
    </row>
    <row r="1994" spans="1:5">
      <c r="C1994" s="59"/>
      <c r="D1994" s="59"/>
      <c r="E1994" s="59"/>
    </row>
    <row r="1995" spans="1:5">
      <c r="A1995" t="s">
        <v>4890</v>
      </c>
      <c r="B1995" t="s">
        <v>2371</v>
      </c>
      <c r="C1995" s="59" t="s">
        <v>311</v>
      </c>
      <c r="D1995" t="s">
        <v>1368</v>
      </c>
      <c r="E1995" s="59" t="s">
        <v>1456</v>
      </c>
    </row>
    <row r="1996" spans="1:5">
      <c r="A1996" t="s">
        <v>4891</v>
      </c>
      <c r="B1996" t="s">
        <v>4892</v>
      </c>
      <c r="C1996" s="59" t="s">
        <v>4893</v>
      </c>
      <c r="D1996" t="s">
        <v>73</v>
      </c>
      <c r="E1996" s="59" t="s">
        <v>1456</v>
      </c>
    </row>
    <row r="1997" spans="1:5">
      <c r="A1997" t="s">
        <v>4894</v>
      </c>
      <c r="B1997" t="s">
        <v>4895</v>
      </c>
      <c r="C1997" s="59" t="s">
        <v>89</v>
      </c>
      <c r="D1997" t="s">
        <v>93</v>
      </c>
      <c r="E1997" s="59" t="s">
        <v>1456</v>
      </c>
    </row>
    <row r="1998" spans="1:5">
      <c r="C1998" s="59"/>
      <c r="E1998" s="59"/>
    </row>
    <row r="1999" spans="1:5">
      <c r="A1999" t="s">
        <v>4896</v>
      </c>
      <c r="B1999" t="s">
        <v>4897</v>
      </c>
      <c r="C1999" s="59" t="s">
        <v>484</v>
      </c>
      <c r="D1999" t="s">
        <v>1361</v>
      </c>
      <c r="E1999" s="59" t="s">
        <v>71</v>
      </c>
    </row>
    <row r="2000" spans="1:5">
      <c r="A2000" t="s">
        <v>4898</v>
      </c>
      <c r="B2000" t="s">
        <v>4899</v>
      </c>
      <c r="C2000" s="59" t="s">
        <v>4900</v>
      </c>
      <c r="D2000" t="s">
        <v>122</v>
      </c>
      <c r="E2000" s="59" t="s">
        <v>122</v>
      </c>
    </row>
    <row r="2001" spans="1:5">
      <c r="A2001" t="s">
        <v>4901</v>
      </c>
      <c r="B2001" t="s">
        <v>4902</v>
      </c>
      <c r="C2001" s="59" t="s">
        <v>884</v>
      </c>
      <c r="D2001" s="59" t="s">
        <v>1395</v>
      </c>
      <c r="E2001" s="59" t="s">
        <v>1456</v>
      </c>
    </row>
    <row r="2002" spans="1:5">
      <c r="A2002" t="s">
        <v>4903</v>
      </c>
      <c r="B2002" t="s">
        <v>4904</v>
      </c>
      <c r="C2002" s="59" t="s">
        <v>329</v>
      </c>
      <c r="D2002" s="59" t="s">
        <v>117</v>
      </c>
      <c r="E2002" s="59" t="s">
        <v>71</v>
      </c>
    </row>
    <row r="2003" spans="1:5">
      <c r="A2003" t="s">
        <v>4905</v>
      </c>
      <c r="B2003" t="s">
        <v>4906</v>
      </c>
      <c r="C2003" t="s">
        <v>926</v>
      </c>
      <c r="D2003" t="s">
        <v>84</v>
      </c>
      <c r="E2003" t="s">
        <v>71</v>
      </c>
    </row>
    <row r="2004" spans="1:5">
      <c r="A2004" t="s">
        <v>4907</v>
      </c>
      <c r="B2004" t="s">
        <v>4908</v>
      </c>
      <c r="C2004" s="59" t="s">
        <v>602</v>
      </c>
      <c r="D2004" s="59" t="s">
        <v>1477</v>
      </c>
      <c r="E2004" s="59" t="s">
        <v>71</v>
      </c>
    </row>
    <row r="2005" spans="1:5">
      <c r="C2005" s="59"/>
      <c r="E2005" s="59"/>
    </row>
    <row r="2006" spans="1:5">
      <c r="A2006" t="s">
        <v>259</v>
      </c>
      <c r="B2006" t="s">
        <v>260</v>
      </c>
      <c r="C2006" s="59" t="s">
        <v>214</v>
      </c>
      <c r="D2006" s="59" t="s">
        <v>1458</v>
      </c>
      <c r="E2006" s="59" t="s">
        <v>71</v>
      </c>
    </row>
    <row r="2007" spans="1:5">
      <c r="A2007" t="s">
        <v>4909</v>
      </c>
      <c r="B2007" t="s">
        <v>4910</v>
      </c>
      <c r="C2007" s="59" t="s">
        <v>517</v>
      </c>
      <c r="D2007" s="59" t="s">
        <v>1395</v>
      </c>
      <c r="E2007" s="59" t="s">
        <v>71</v>
      </c>
    </row>
    <row r="2008" spans="1:5">
      <c r="A2008" t="s">
        <v>4911</v>
      </c>
      <c r="B2008" t="s">
        <v>4912</v>
      </c>
      <c r="C2008" s="59" t="s">
        <v>431</v>
      </c>
      <c r="D2008" s="59" t="s">
        <v>1477</v>
      </c>
      <c r="E2008" s="59" t="s">
        <v>71</v>
      </c>
    </row>
    <row r="2009" spans="1:5">
      <c r="A2009" t="s">
        <v>293</v>
      </c>
      <c r="B2009" s="59" t="s">
        <v>294</v>
      </c>
      <c r="C2009" s="59" t="s">
        <v>973</v>
      </c>
      <c r="D2009" s="59" t="s">
        <v>1361</v>
      </c>
      <c r="E2009" s="59" t="s">
        <v>71</v>
      </c>
    </row>
    <row r="2010" spans="1:5">
      <c r="A2010" s="59" t="s">
        <v>4913</v>
      </c>
      <c r="B2010" t="s">
        <v>4914</v>
      </c>
      <c r="C2010" s="59" t="s">
        <v>892</v>
      </c>
      <c r="D2010" s="59" t="s">
        <v>1455</v>
      </c>
      <c r="E2010" s="59" t="s">
        <v>71</v>
      </c>
    </row>
    <row r="2011" spans="1:5">
      <c r="A2011" t="s">
        <v>4915</v>
      </c>
      <c r="B2011" t="s">
        <v>4916</v>
      </c>
      <c r="D2011" s="59" t="s">
        <v>1458</v>
      </c>
      <c r="E2011" s="59" t="s">
        <v>71</v>
      </c>
    </row>
    <row r="2012" spans="1:5">
      <c r="A2012" t="s">
        <v>4917</v>
      </c>
      <c r="B2012" t="s">
        <v>4918</v>
      </c>
      <c r="C2012" s="59" t="s">
        <v>602</v>
      </c>
      <c r="D2012" s="59" t="s">
        <v>1477</v>
      </c>
      <c r="E2012" s="59" t="s">
        <v>71</v>
      </c>
    </row>
    <row r="2013" spans="1:5">
      <c r="A2013" t="s">
        <v>4919</v>
      </c>
      <c r="B2013" t="s">
        <v>4920</v>
      </c>
      <c r="C2013" t="s">
        <v>431</v>
      </c>
      <c r="D2013" s="59" t="s">
        <v>1477</v>
      </c>
      <c r="E2013" s="59" t="s">
        <v>1456</v>
      </c>
    </row>
    <row r="2014" spans="1:5">
      <c r="A2014" t="s">
        <v>4921</v>
      </c>
      <c r="B2014" t="s">
        <v>4922</v>
      </c>
      <c r="C2014" t="s">
        <v>1401</v>
      </c>
      <c r="D2014" t="s">
        <v>1477</v>
      </c>
      <c r="E2014" s="59" t="s">
        <v>71</v>
      </c>
    </row>
    <row r="2015" spans="1:5">
      <c r="A2015" t="s">
        <v>4923</v>
      </c>
      <c r="B2015" t="s">
        <v>4924</v>
      </c>
      <c r="C2015" t="s">
        <v>492</v>
      </c>
      <c r="D2015" t="s">
        <v>1395</v>
      </c>
      <c r="E2015" s="59" t="s">
        <v>71</v>
      </c>
    </row>
    <row r="2016" spans="1:5">
      <c r="A2016" t="s">
        <v>4925</v>
      </c>
      <c r="B2016" t="s">
        <v>4926</v>
      </c>
      <c r="C2016" t="s">
        <v>492</v>
      </c>
      <c r="D2016" t="s">
        <v>1395</v>
      </c>
      <c r="E2016" t="s">
        <v>71</v>
      </c>
    </row>
    <row r="2017" spans="1:5">
      <c r="A2017" t="s">
        <v>4927</v>
      </c>
      <c r="B2017" t="s">
        <v>1369</v>
      </c>
      <c r="C2017" t="s">
        <v>122</v>
      </c>
      <c r="D2017" t="s">
        <v>122</v>
      </c>
      <c r="E2017" s="59" t="s">
        <v>122</v>
      </c>
    </row>
    <row r="2018" spans="1:5">
      <c r="A2018" s="67" t="s">
        <v>4928</v>
      </c>
      <c r="B2018" t="s">
        <v>4929</v>
      </c>
      <c r="C2018" t="s">
        <v>89</v>
      </c>
      <c r="D2018" t="s">
        <v>1477</v>
      </c>
      <c r="E2018" s="59" t="s">
        <v>71</v>
      </c>
    </row>
    <row r="2019" spans="1:5">
      <c r="A2019" t="s">
        <v>4930</v>
      </c>
      <c r="B2019" t="s">
        <v>4931</v>
      </c>
      <c r="D2019" t="s">
        <v>1477</v>
      </c>
      <c r="E2019" s="59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transmittal</vt:lpstr>
      <vt:lpstr>2026 mapping</vt:lpstr>
      <vt:lpstr>data source</vt:lpstr>
    </vt:vector>
  </TitlesOfParts>
  <Company>Absa Bank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SAMMY ODINDO (KE)</dc:creator>
  <cp:lastModifiedBy>SAMMY ODINDO (KE)</cp:lastModifiedBy>
  <dcterms:created xsi:type="dcterms:W3CDTF">2026-05-19T06:31:17Z</dcterms:created>
  <dcterms:modified xsi:type="dcterms:W3CDTF">2026-05-19T06:44:30Z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5b93d1f-0ad4-4957-b824-94d94a84c1c8_Enabled">
    <vt:lpwstr>true</vt:lpwstr>
  </property>
  <property fmtid="{D5CDD505-2E9C-101B-9397-08002B2CF9AE}" pid="3" name="MSIP_Label_e5b93d1f-0ad4-4957-b824-94d94a84c1c8_SetDate">
    <vt:lpwstr>2026-05-19T06:44:19Z</vt:lpwstr>
  </property>
  <property fmtid="{D5CDD505-2E9C-101B-9397-08002B2CF9AE}" pid="4" name="MSIP_Label_e5b93d1f-0ad4-4957-b824-94d94a84c1c8_Method">
    <vt:lpwstr>Standard</vt:lpwstr>
  </property>
  <property fmtid="{D5CDD505-2E9C-101B-9397-08002B2CF9AE}" pid="5" name="MSIP_Label_e5b93d1f-0ad4-4957-b824-94d94a84c1c8_Name">
    <vt:lpwstr>Internal Only</vt:lpwstr>
  </property>
  <property fmtid="{D5CDD505-2E9C-101B-9397-08002B2CF9AE}" pid="6" name="MSIP_Label_e5b93d1f-0ad4-4957-b824-94d94a84c1c8_SiteId">
    <vt:lpwstr>5be1f46d-495f-465b-9507-996e8c8cdcb6</vt:lpwstr>
  </property>
  <property fmtid="{D5CDD505-2E9C-101B-9397-08002B2CF9AE}" pid="7" name="MSIP_Label_e5b93d1f-0ad4-4957-b824-94d94a84c1c8_ActionId">
    <vt:lpwstr>858de5a0-eeea-4fe6-83d8-ea1fc23a7963</vt:lpwstr>
  </property>
  <property fmtid="{D5CDD505-2E9C-101B-9397-08002B2CF9AE}" pid="8" name="MSIP_Label_e5b93d1f-0ad4-4957-b824-94d94a84c1c8_ContentBits">
    <vt:lpwstr>0</vt:lpwstr>
  </property>
  <property fmtid="{D5CDD505-2E9C-101B-9397-08002B2CF9AE}" pid="9" name="MSIP_Label_e5b93d1f-0ad4-4957-b824-94d94a84c1c8_Tag">
    <vt:lpwstr>10, 3, 0, 1</vt:lpwstr>
  </property>
</Properties>
</file>